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rmulario de Ingreso" sheetId="1" state="visible" r:id="rId3"/>
    <sheet name="Base de Datos" sheetId="2" state="visible" r:id="rId4"/>
    <sheet name="Libro Diario" sheetId="3" state="visible" r:id="rId5"/>
    <sheet name="Balance de Comprobación" sheetId="4" state="visible" r:id="rId6"/>
    <sheet name="Estado de Resultados" sheetId="5" state="visible" r:id="rId7"/>
    <sheet name="Estado de Situación Financiera" sheetId="6" state="visible" r:id="rId8"/>
    <sheet name="Plan de Cuentas" sheetId="7" state="visible" r:id="rId9"/>
    <sheet name="PCGE 2019 (detalle)" sheetId="8" state="visible" r:id="rId10"/>
    <sheet name="Instrucciones Macro"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<sst xmlns="http://schemas.openxmlformats.org/spreadsheetml/2006/main" count="12352" uniqueCount="2647">
  <si>
    <t xml:space="preserve">APLICATIVO DE REGISTRO CONTABLE</t>
  </si>
  <si>
    <t xml:space="preserve">FORMULARIO DE INGRESO (INTERFAZ TIPO APP)</t>
  </si>
  <si>
    <t xml:space="preserve">Complete los campos amarillos y presione el botón REGISTRAR. El registro se guardará automáticamente en 'Base de Datos' y en el 'Libro Diario' (requiere la macro indicada en la hoja Instrucciones).</t>
  </si>
  <si>
    <t xml:space="preserve">Cuenta contable (Código):</t>
  </si>
  <si>
    <t xml:space="preserve">Contra-cuenta (con la que hace match / cuadra):</t>
  </si>
  <si>
    <t xml:space="preserve">Monto (S/):</t>
  </si>
  <si>
    <t xml:space="preserve">Observación:</t>
  </si>
  <si>
    <t xml:space="preserve">Tipo de movimiento (¿la cuenta principal es Ingreso o Salida?):</t>
  </si>
  <si>
    <t xml:space="preserve">▶  REGISTRAR INGRESO</t>
  </si>
  <si>
    <t xml:space="preserve">Este recuadro es el botón visual. Para que quede clicable de verdad y registre el dato automáticamente, asígnele la macro 'RegistrarIngreso' (ver hoja 'Instrucciones Macro'). Es un procedimiento de 2 minutos, una sola vez.</t>
  </si>
  <si>
    <t xml:space="preserve">BASE DE DATOS DE REGISTROS (histórico infinito)</t>
  </si>
  <si>
    <t xml:space="preserve">Cada fila es un registro hecho desde 'Formulario de Ingreso'. Con la macro instalada se completa solo; también puede escribir aquí directamente si no usa la macro. Estos mismos datos deben reflejarse como asiento (Debe/Haber) en el Libro Diario para que el valor contable cuadre.</t>
  </si>
  <si>
    <t xml:space="preserve">N°</t>
  </si>
  <si>
    <t xml:space="preserve">Fecha</t>
  </si>
  <si>
    <t xml:space="preserve">Hora</t>
  </si>
  <si>
    <t xml:space="preserve">Código Cuenta</t>
  </si>
  <si>
    <t xml:space="preserve">Denominación Cuenta</t>
  </si>
  <si>
    <t xml:space="preserve">Código Contra-cuenta</t>
  </si>
  <si>
    <t xml:space="preserve">Denominación Contra-cuenta</t>
  </si>
  <si>
    <t xml:space="preserve">Monto (S/)</t>
  </si>
  <si>
    <t xml:space="preserve">Observación</t>
  </si>
  <si>
    <t xml:space="preserve">101</t>
  </si>
  <si>
    <t xml:space="preserve">5011</t>
  </si>
  <si>
    <t xml:space="preserve">Aporte de capital en efectivo (ejemplo)</t>
  </si>
  <si>
    <t xml:space="preserve">LIBRO DIARIO</t>
  </si>
  <si>
    <t xml:space="preserve">Registre aquí cada operación: una fila por cada cuenta que interviene (Debe o Haber). Todo asiento debe tener Debe = Haber. La Denominación se completa sola al escribir el Código (seleccione de la lista desplegable). Ejemplo ya cargado: aporte de capital en efectivo S/ 10.</t>
  </si>
  <si>
    <t xml:space="preserve">N° Asiento</t>
  </si>
  <si>
    <t xml:space="preserve">Código</t>
  </si>
  <si>
    <t xml:space="preserve">Denominación</t>
  </si>
  <si>
    <t xml:space="preserve">Glosa / Descripción</t>
  </si>
  <si>
    <t xml:space="preserve">Debe (S/)</t>
  </si>
  <si>
    <t xml:space="preserve">Haber (S/)</t>
  </si>
  <si>
    <t xml:space="preserve">Aporte de capital en efectivo - Caja</t>
  </si>
  <si>
    <t xml:space="preserve">Aporte de capital en efectivo - Capital social (acciones)</t>
  </si>
  <si>
    <t xml:space="preserve">TOTALES (deben ser iguales)</t>
  </si>
  <si>
    <t xml:space="preserve">Diferencia (debe ser 0):</t>
  </si>
  <si>
    <t xml:space="preserve">BALANCE DE COMPROBACIÓN</t>
  </si>
  <si>
    <t xml:space="preserve">Se genera automáticamente a partir del Libro Diario: suma los movimientos de cada cuenta del Plan de Cuentas. No requiere edición manual.</t>
  </si>
  <si>
    <t xml:space="preserve">Elemento</t>
  </si>
  <si>
    <t xml:space="preserve">Saldo Deudor (S/)</t>
  </si>
  <si>
    <t xml:space="preserve">Saldo Acreedor (S/)</t>
  </si>
  <si>
    <t xml:space="preserve">Caja</t>
  </si>
  <si>
    <t xml:space="preserve">1</t>
  </si>
  <si>
    <t xml:space="preserve">102</t>
  </si>
  <si>
    <t xml:space="preserve">Fondos fijos</t>
  </si>
  <si>
    <t xml:space="preserve">1031</t>
  </si>
  <si>
    <t xml:space="preserve">Efectivo en tránsito</t>
  </si>
  <si>
    <t xml:space="preserve">1032</t>
  </si>
  <si>
    <t xml:space="preserve">Cheques en tránsito</t>
  </si>
  <si>
    <t xml:space="preserve">1041</t>
  </si>
  <si>
    <t xml:space="preserve">Cuentas corrientes operativas</t>
  </si>
  <si>
    <t xml:space="preserve">1042</t>
  </si>
  <si>
    <t xml:space="preserve">Cuentas corrientes para fines específicos</t>
  </si>
  <si>
    <t xml:space="preserve">1051</t>
  </si>
  <si>
    <t xml:space="preserve">Otro equivalentes de efectivo</t>
  </si>
  <si>
    <t xml:space="preserve">1061</t>
  </si>
  <si>
    <t xml:space="preserve">Depósitos de ahorro</t>
  </si>
  <si>
    <t xml:space="preserve">1062</t>
  </si>
  <si>
    <t xml:space="preserve">Depósitos a plazo</t>
  </si>
  <si>
    <t xml:space="preserve">1071</t>
  </si>
  <si>
    <t xml:space="preserve">Fondos en garantía</t>
  </si>
  <si>
    <t xml:space="preserve">1072</t>
  </si>
  <si>
    <t xml:space="preserve">Fondos retenidos por mandato de la autoridad</t>
  </si>
  <si>
    <t xml:space="preserve">1073</t>
  </si>
  <si>
    <t xml:space="preserve">Otros fondos sujetos a restricción</t>
  </si>
  <si>
    <t xml:space="preserve">11111</t>
  </si>
  <si>
    <t xml:space="preserve">Costo</t>
  </si>
  <si>
    <t xml:space="preserve">11112</t>
  </si>
  <si>
    <t xml:space="preserve">Valor Razonable</t>
  </si>
  <si>
    <t xml:space="preserve">11121</t>
  </si>
  <si>
    <t xml:space="preserve">11122</t>
  </si>
  <si>
    <t xml:space="preserve">11131</t>
  </si>
  <si>
    <t xml:space="preserve">11132</t>
  </si>
  <si>
    <t xml:space="preserve">11141</t>
  </si>
  <si>
    <t xml:space="preserve">11142</t>
  </si>
  <si>
    <t xml:space="preserve">11151</t>
  </si>
  <si>
    <t xml:space="preserve">11152</t>
  </si>
  <si>
    <t xml:space="preserve">11211</t>
  </si>
  <si>
    <t xml:space="preserve">11212</t>
  </si>
  <si>
    <t xml:space="preserve">11311</t>
  </si>
  <si>
    <t xml:space="preserve">11312</t>
  </si>
  <si>
    <t xml:space="preserve">11321</t>
  </si>
  <si>
    <t xml:space="preserve">11322</t>
  </si>
  <si>
    <t xml:space="preserve">1211</t>
  </si>
  <si>
    <t xml:space="preserve">No emitidas</t>
  </si>
  <si>
    <t xml:space="preserve">1212</t>
  </si>
  <si>
    <t xml:space="preserve">Emitidas en cartera</t>
  </si>
  <si>
    <t xml:space="preserve">1213</t>
  </si>
  <si>
    <t xml:space="preserve">En cobranza</t>
  </si>
  <si>
    <t xml:space="preserve">1214</t>
  </si>
  <si>
    <t xml:space="preserve">En descuento</t>
  </si>
  <si>
    <t xml:space="preserve">122</t>
  </si>
  <si>
    <t xml:space="preserve">Anticipos de clientes</t>
  </si>
  <si>
    <t xml:space="preserve">1232</t>
  </si>
  <si>
    <t xml:space="preserve">En cartera</t>
  </si>
  <si>
    <t xml:space="preserve">1233</t>
  </si>
  <si>
    <t xml:space="preserve">1234</t>
  </si>
  <si>
    <t xml:space="preserve">1311</t>
  </si>
  <si>
    <t xml:space="preserve">1312</t>
  </si>
  <si>
    <t xml:space="preserve">1313</t>
  </si>
  <si>
    <t xml:space="preserve">1314</t>
  </si>
  <si>
    <t xml:space="preserve">1321</t>
  </si>
  <si>
    <t xml:space="preserve">Anticipos recibidos</t>
  </si>
  <si>
    <t xml:space="preserve">1331</t>
  </si>
  <si>
    <t xml:space="preserve">1332</t>
  </si>
  <si>
    <t xml:space="preserve">1333</t>
  </si>
  <si>
    <t xml:space="preserve">1411</t>
  </si>
  <si>
    <t xml:space="preserve">Préstamos</t>
  </si>
  <si>
    <t xml:space="preserve">1412</t>
  </si>
  <si>
    <t xml:space="preserve">Adelanto de remuneraciones</t>
  </si>
  <si>
    <t xml:space="preserve">1413</t>
  </si>
  <si>
    <t xml:space="preserve">Entregas a rendir cuenta</t>
  </si>
  <si>
    <t xml:space="preserve">1419</t>
  </si>
  <si>
    <t xml:space="preserve">Otras cuentas por cobrar al personal</t>
  </si>
  <si>
    <t xml:space="preserve">1421</t>
  </si>
  <si>
    <t xml:space="preserve">Suscripciones por cobrar a socios o accionistas</t>
  </si>
  <si>
    <t xml:space="preserve">1422</t>
  </si>
  <si>
    <t xml:space="preserve">1431</t>
  </si>
  <si>
    <t xml:space="preserve">1432</t>
  </si>
  <si>
    <t xml:space="preserve">Adelanto de dietas</t>
  </si>
  <si>
    <t xml:space="preserve">1433</t>
  </si>
  <si>
    <t xml:space="preserve">149</t>
  </si>
  <si>
    <t xml:space="preserve">Diversas</t>
  </si>
  <si>
    <t xml:space="preserve">1611</t>
  </si>
  <si>
    <t xml:space="preserve">Con garantía</t>
  </si>
  <si>
    <t xml:space="preserve">1612</t>
  </si>
  <si>
    <t xml:space="preserve">Sin garantía</t>
  </si>
  <si>
    <t xml:space="preserve">1621</t>
  </si>
  <si>
    <t xml:space="preserve">Compañías aseguradoras</t>
  </si>
  <si>
    <t xml:space="preserve">1622</t>
  </si>
  <si>
    <t xml:space="preserve">Transportadoras</t>
  </si>
  <si>
    <t xml:space="preserve">1623</t>
  </si>
  <si>
    <t xml:space="preserve">Servicios públicos</t>
  </si>
  <si>
    <t xml:space="preserve">1624</t>
  </si>
  <si>
    <t xml:space="preserve">Tributos</t>
  </si>
  <si>
    <t xml:space="preserve">1629</t>
  </si>
  <si>
    <t xml:space="preserve">Otras</t>
  </si>
  <si>
    <t xml:space="preserve">1631</t>
  </si>
  <si>
    <t xml:space="preserve">Intereses</t>
  </si>
  <si>
    <t xml:space="preserve">1632</t>
  </si>
  <si>
    <t xml:space="preserve">Regalías</t>
  </si>
  <si>
    <t xml:space="preserve">1633</t>
  </si>
  <si>
    <t xml:space="preserve">Dividendos</t>
  </si>
  <si>
    <t xml:space="preserve">1641</t>
  </si>
  <si>
    <t xml:space="preserve">Préstamos de instituciones financieras</t>
  </si>
  <si>
    <t xml:space="preserve">1642</t>
  </si>
  <si>
    <t xml:space="preserve">Préstamos de instituciones no financieras</t>
  </si>
  <si>
    <t xml:space="preserve">1643</t>
  </si>
  <si>
    <t xml:space="preserve">Depósitos en garantía por alquileres</t>
  </si>
  <si>
    <t xml:space="preserve">1649</t>
  </si>
  <si>
    <t xml:space="preserve">Otros depósitos en garantía</t>
  </si>
  <si>
    <t xml:space="preserve">1651</t>
  </si>
  <si>
    <t xml:space="preserve">Inversión mobiliaria</t>
  </si>
  <si>
    <t xml:space="preserve">1652</t>
  </si>
  <si>
    <t xml:space="preserve">Propiedades de inversión</t>
  </si>
  <si>
    <t xml:space="preserve">1653</t>
  </si>
  <si>
    <t xml:space="preserve">Propiedad, planta y equipo</t>
  </si>
  <si>
    <t xml:space="preserve">1654</t>
  </si>
  <si>
    <t xml:space="preserve">Intangibles</t>
  </si>
  <si>
    <t xml:space="preserve">1655</t>
  </si>
  <si>
    <t xml:space="preserve">Activos biológicos</t>
  </si>
  <si>
    <t xml:space="preserve">1659</t>
  </si>
  <si>
    <t xml:space="preserve">Otros activos inmovilizados</t>
  </si>
  <si>
    <t xml:space="preserve">16611</t>
  </si>
  <si>
    <t xml:space="preserve">16612</t>
  </si>
  <si>
    <t xml:space="preserve">Valor razonable</t>
  </si>
  <si>
    <t xml:space="preserve">16621</t>
  </si>
  <si>
    <t xml:space="preserve">16622</t>
  </si>
  <si>
    <t xml:space="preserve">1671</t>
  </si>
  <si>
    <t xml:space="preserve">Pagos a cuenta del impuesto a la renta</t>
  </si>
  <si>
    <t xml:space="preserve">1672</t>
  </si>
  <si>
    <t xml:space="preserve">Pagos a cuenta de ITAN</t>
  </si>
  <si>
    <t xml:space="preserve">1673</t>
  </si>
  <si>
    <t xml:space="preserve">IGV por acreditar en compras</t>
  </si>
  <si>
    <t xml:space="preserve">1674</t>
  </si>
  <si>
    <t xml:space="preserve">IGV por acreditar no domiciliados</t>
  </si>
  <si>
    <t xml:space="preserve">1675</t>
  </si>
  <si>
    <t xml:space="preserve">Obras por impuestos</t>
  </si>
  <si>
    <t xml:space="preserve">1691</t>
  </si>
  <si>
    <t xml:space="preserve">Entregas a rendir cuenta a terceros</t>
  </si>
  <si>
    <t xml:space="preserve">1699</t>
  </si>
  <si>
    <t xml:space="preserve">Otras cuentas por cobrar diversas</t>
  </si>
  <si>
    <t xml:space="preserve">1711</t>
  </si>
  <si>
    <t xml:space="preserve">1712</t>
  </si>
  <si>
    <t xml:space="preserve">1731</t>
  </si>
  <si>
    <t xml:space="preserve">1732</t>
  </si>
  <si>
    <t xml:space="preserve">1733</t>
  </si>
  <si>
    <t xml:space="preserve">1741</t>
  </si>
  <si>
    <t xml:space="preserve">1742</t>
  </si>
  <si>
    <t xml:space="preserve">1743</t>
  </si>
  <si>
    <t xml:space="preserve">1749</t>
  </si>
  <si>
    <t xml:space="preserve">1751</t>
  </si>
  <si>
    <t xml:space="preserve">1752</t>
  </si>
  <si>
    <t xml:space="preserve">1753</t>
  </si>
  <si>
    <t xml:space="preserve">1754</t>
  </si>
  <si>
    <t xml:space="preserve">1755</t>
  </si>
  <si>
    <t xml:space="preserve">1759</t>
  </si>
  <si>
    <t xml:space="preserve">17611</t>
  </si>
  <si>
    <t xml:space="preserve">17612</t>
  </si>
  <si>
    <t xml:space="preserve">17621</t>
  </si>
  <si>
    <t xml:space="preserve">17622</t>
  </si>
  <si>
    <t xml:space="preserve">179</t>
  </si>
  <si>
    <t xml:space="preserve">181</t>
  </si>
  <si>
    <t xml:space="preserve">Costos financieros</t>
  </si>
  <si>
    <t xml:space="preserve">182</t>
  </si>
  <si>
    <t xml:space="preserve">Seguros</t>
  </si>
  <si>
    <t xml:space="preserve">183</t>
  </si>
  <si>
    <t xml:space="preserve">Alquileres</t>
  </si>
  <si>
    <t xml:space="preserve">184</t>
  </si>
  <si>
    <t xml:space="preserve">Primas pagadas por opciones</t>
  </si>
  <si>
    <t xml:space="preserve">185</t>
  </si>
  <si>
    <t xml:space="preserve">Mantenimiento de activos inmovilizados</t>
  </si>
  <si>
    <t xml:space="preserve">189</t>
  </si>
  <si>
    <t xml:space="preserve">Otros gastos contratados por anticipado</t>
  </si>
  <si>
    <t xml:space="preserve">1911</t>
  </si>
  <si>
    <t xml:space="preserve">Facturas, boletas y otros comprobantes por cobrar</t>
  </si>
  <si>
    <t xml:space="preserve">1913</t>
  </si>
  <si>
    <t xml:space="preserve">Letras por cobrar</t>
  </si>
  <si>
    <t xml:space="preserve">1921</t>
  </si>
  <si>
    <t xml:space="preserve">1923</t>
  </si>
  <si>
    <t xml:space="preserve">1931</t>
  </si>
  <si>
    <t xml:space="preserve">Personal</t>
  </si>
  <si>
    <t xml:space="preserve">1932</t>
  </si>
  <si>
    <t xml:space="preserve">Accionistas (o socios)</t>
  </si>
  <si>
    <t xml:space="preserve">1933</t>
  </si>
  <si>
    <t xml:space="preserve">Directores</t>
  </si>
  <si>
    <t xml:space="preserve">1939</t>
  </si>
  <si>
    <t xml:space="preserve">1941</t>
  </si>
  <si>
    <t xml:space="preserve">1942</t>
  </si>
  <si>
    <t xml:space="preserve">Reclamaciones a terceros</t>
  </si>
  <si>
    <t xml:space="preserve">1943</t>
  </si>
  <si>
    <t xml:space="preserve">Intereses, regalías y dividendos</t>
  </si>
  <si>
    <t xml:space="preserve">1944</t>
  </si>
  <si>
    <t xml:space="preserve">Depósitos otorgados en garantía</t>
  </si>
  <si>
    <t xml:space="preserve">1945</t>
  </si>
  <si>
    <t xml:space="preserve">Venta de activo inmovilizado</t>
  </si>
  <si>
    <t xml:space="preserve">1946</t>
  </si>
  <si>
    <t xml:space="preserve">Activos por instrumentos financieros</t>
  </si>
  <si>
    <t xml:space="preserve">1949</t>
  </si>
  <si>
    <t xml:space="preserve">1951</t>
  </si>
  <si>
    <t xml:space="preserve">1953</t>
  </si>
  <si>
    <t xml:space="preserve">1954</t>
  </si>
  <si>
    <t xml:space="preserve">1955</t>
  </si>
  <si>
    <t xml:space="preserve">1956</t>
  </si>
  <si>
    <t xml:space="preserve">1959</t>
  </si>
  <si>
    <t xml:space="preserve">20111</t>
  </si>
  <si>
    <t xml:space="preserve">2</t>
  </si>
  <si>
    <t xml:space="preserve">20114</t>
  </si>
  <si>
    <t xml:space="preserve">21111</t>
  </si>
  <si>
    <t xml:space="preserve">21113</t>
  </si>
  <si>
    <t xml:space="preserve">Costo de financiación</t>
  </si>
  <si>
    <t xml:space="preserve">21114</t>
  </si>
  <si>
    <t xml:space="preserve">21511</t>
  </si>
  <si>
    <t xml:space="preserve">221</t>
  </si>
  <si>
    <t xml:space="preserve">Subproductos</t>
  </si>
  <si>
    <t xml:space="preserve">222</t>
  </si>
  <si>
    <t xml:space="preserve">Desechos y desperdicios</t>
  </si>
  <si>
    <t xml:space="preserve">23111</t>
  </si>
  <si>
    <t xml:space="preserve">23113</t>
  </si>
  <si>
    <t xml:space="preserve">23511</t>
  </si>
  <si>
    <t xml:space="preserve">24111</t>
  </si>
  <si>
    <t xml:space="preserve">24114</t>
  </si>
  <si>
    <t xml:space="preserve">251</t>
  </si>
  <si>
    <t xml:space="preserve">Materiales auxiliares</t>
  </si>
  <si>
    <t xml:space="preserve">2521</t>
  </si>
  <si>
    <t xml:space="preserve">Combustibles</t>
  </si>
  <si>
    <t xml:space="preserve">2522</t>
  </si>
  <si>
    <t xml:space="preserve">Lubricantes</t>
  </si>
  <si>
    <t xml:space="preserve">2523</t>
  </si>
  <si>
    <t xml:space="preserve">Energía</t>
  </si>
  <si>
    <t xml:space="preserve">2524</t>
  </si>
  <si>
    <t xml:space="preserve">Otros suministros</t>
  </si>
  <si>
    <t xml:space="preserve">253</t>
  </si>
  <si>
    <t xml:space="preserve">Repuestos</t>
  </si>
  <si>
    <t xml:space="preserve">261</t>
  </si>
  <si>
    <t xml:space="preserve">Envases</t>
  </si>
  <si>
    <t xml:space="preserve">262</t>
  </si>
  <si>
    <t xml:space="preserve">Embalajes</t>
  </si>
  <si>
    <t xml:space="preserve">27111</t>
  </si>
  <si>
    <t xml:space="preserve">27112</t>
  </si>
  <si>
    <t xml:space="preserve">Revaluación</t>
  </si>
  <si>
    <t xml:space="preserve">27114</t>
  </si>
  <si>
    <t xml:space="preserve">27121</t>
  </si>
  <si>
    <t xml:space="preserve">27122</t>
  </si>
  <si>
    <t xml:space="preserve">27123</t>
  </si>
  <si>
    <t xml:space="preserve">Costos de financiación</t>
  </si>
  <si>
    <t xml:space="preserve">27124</t>
  </si>
  <si>
    <t xml:space="preserve">27201</t>
  </si>
  <si>
    <t xml:space="preserve">27202</t>
  </si>
  <si>
    <t xml:space="preserve">27203</t>
  </si>
  <si>
    <t xml:space="preserve">27204</t>
  </si>
  <si>
    <t xml:space="preserve">27211</t>
  </si>
  <si>
    <t xml:space="preserve">27212</t>
  </si>
  <si>
    <t xml:space="preserve">27213</t>
  </si>
  <si>
    <t xml:space="preserve">27214</t>
  </si>
  <si>
    <t xml:space="preserve">27221</t>
  </si>
  <si>
    <t xml:space="preserve">27222</t>
  </si>
  <si>
    <t xml:space="preserve">27231</t>
  </si>
  <si>
    <t xml:space="preserve">27232</t>
  </si>
  <si>
    <t xml:space="preserve">27233</t>
  </si>
  <si>
    <t xml:space="preserve">27241</t>
  </si>
  <si>
    <t xml:space="preserve">27242</t>
  </si>
  <si>
    <t xml:space="preserve">27251</t>
  </si>
  <si>
    <t xml:space="preserve">27252</t>
  </si>
  <si>
    <t xml:space="preserve">27261</t>
  </si>
  <si>
    <t xml:space="preserve">27262</t>
  </si>
  <si>
    <t xml:space="preserve">27271</t>
  </si>
  <si>
    <t xml:space="preserve">27272</t>
  </si>
  <si>
    <t xml:space="preserve">27281</t>
  </si>
  <si>
    <t xml:space="preserve">27282</t>
  </si>
  <si>
    <t xml:space="preserve">27291</t>
  </si>
  <si>
    <t xml:space="preserve">27292</t>
  </si>
  <si>
    <t xml:space="preserve">27311</t>
  </si>
  <si>
    <t xml:space="preserve">27312</t>
  </si>
  <si>
    <t xml:space="preserve">27321</t>
  </si>
  <si>
    <t xml:space="preserve">27322</t>
  </si>
  <si>
    <t xml:space="preserve">27331</t>
  </si>
  <si>
    <t xml:space="preserve">27332</t>
  </si>
  <si>
    <t xml:space="preserve">27341</t>
  </si>
  <si>
    <t xml:space="preserve">27342</t>
  </si>
  <si>
    <t xml:space="preserve">27351</t>
  </si>
  <si>
    <t xml:space="preserve">27352</t>
  </si>
  <si>
    <t xml:space="preserve">27391</t>
  </si>
  <si>
    <t xml:space="preserve">27392</t>
  </si>
  <si>
    <t xml:space="preserve">27411</t>
  </si>
  <si>
    <t xml:space="preserve">27413</t>
  </si>
  <si>
    <t xml:space="preserve">27414</t>
  </si>
  <si>
    <t xml:space="preserve">27421</t>
  </si>
  <si>
    <t xml:space="preserve">27423</t>
  </si>
  <si>
    <t xml:space="preserve">27424</t>
  </si>
  <si>
    <t xml:space="preserve">27521</t>
  </si>
  <si>
    <t xml:space="preserve">27522</t>
  </si>
  <si>
    <t xml:space="preserve">27523</t>
  </si>
  <si>
    <t xml:space="preserve">27601</t>
  </si>
  <si>
    <t xml:space="preserve">27602</t>
  </si>
  <si>
    <t xml:space="preserve">27603</t>
  </si>
  <si>
    <t xml:space="preserve">27604</t>
  </si>
  <si>
    <t xml:space="preserve">27621</t>
  </si>
  <si>
    <t xml:space="preserve">27622</t>
  </si>
  <si>
    <t xml:space="preserve">27623</t>
  </si>
  <si>
    <t xml:space="preserve">27631</t>
  </si>
  <si>
    <t xml:space="preserve">27632</t>
  </si>
  <si>
    <t xml:space="preserve">27633</t>
  </si>
  <si>
    <t xml:space="preserve">27641</t>
  </si>
  <si>
    <t xml:space="preserve">27642</t>
  </si>
  <si>
    <t xml:space="preserve">27651</t>
  </si>
  <si>
    <t xml:space="preserve">27652</t>
  </si>
  <si>
    <t xml:space="preserve">27661</t>
  </si>
  <si>
    <t xml:space="preserve">27662</t>
  </si>
  <si>
    <t xml:space="preserve">27671</t>
  </si>
  <si>
    <t xml:space="preserve">27672</t>
  </si>
  <si>
    <t xml:space="preserve">27711</t>
  </si>
  <si>
    <t xml:space="preserve">27712</t>
  </si>
  <si>
    <t xml:space="preserve">27721</t>
  </si>
  <si>
    <t xml:space="preserve">27722</t>
  </si>
  <si>
    <t xml:space="preserve">27731</t>
  </si>
  <si>
    <t xml:space="preserve">27732</t>
  </si>
  <si>
    <t xml:space="preserve">27741</t>
  </si>
  <si>
    <t xml:space="preserve">27742</t>
  </si>
  <si>
    <t xml:space="preserve">27751</t>
  </si>
  <si>
    <t xml:space="preserve">27752</t>
  </si>
  <si>
    <t xml:space="preserve">27791</t>
  </si>
  <si>
    <t xml:space="preserve">27792</t>
  </si>
  <si>
    <t xml:space="preserve">27811</t>
  </si>
  <si>
    <t xml:space="preserve">27813</t>
  </si>
  <si>
    <t xml:space="preserve">27821</t>
  </si>
  <si>
    <t xml:space="preserve">27823</t>
  </si>
  <si>
    <t xml:space="preserve">27910</t>
  </si>
  <si>
    <t xml:space="preserve">Planta productora en producción</t>
  </si>
  <si>
    <t xml:space="preserve">27911</t>
  </si>
  <si>
    <t xml:space="preserve">Planta productora en desarrollo</t>
  </si>
  <si>
    <t xml:space="preserve">27912</t>
  </si>
  <si>
    <t xml:space="preserve">Terrenos</t>
  </si>
  <si>
    <t xml:space="preserve">27913</t>
  </si>
  <si>
    <t xml:space="preserve">Edificaciones</t>
  </si>
  <si>
    <t xml:space="preserve">27930</t>
  </si>
  <si>
    <t xml:space="preserve">Plantas productoras en producción</t>
  </si>
  <si>
    <t xml:space="preserve">27931</t>
  </si>
  <si>
    <t xml:space="preserve">27932</t>
  </si>
  <si>
    <t xml:space="preserve">27933</t>
  </si>
  <si>
    <t xml:space="preserve">27934</t>
  </si>
  <si>
    <t xml:space="preserve">Maquinarias y equipos de explotación</t>
  </si>
  <si>
    <t xml:space="preserve">27935</t>
  </si>
  <si>
    <t xml:space="preserve">Unidades de transporte</t>
  </si>
  <si>
    <t xml:space="preserve">27936</t>
  </si>
  <si>
    <t xml:space="preserve">Muebles y enseres</t>
  </si>
  <si>
    <t xml:space="preserve">27937</t>
  </si>
  <si>
    <t xml:space="preserve">Equipos diversos</t>
  </si>
  <si>
    <t xml:space="preserve">27938</t>
  </si>
  <si>
    <t xml:space="preserve">Herramientas y unidades de reemplazo</t>
  </si>
  <si>
    <t xml:space="preserve">27941</t>
  </si>
  <si>
    <t xml:space="preserve">Concesiones, licencias y otros derechos</t>
  </si>
  <si>
    <t xml:space="preserve">27942</t>
  </si>
  <si>
    <t xml:space="preserve">Patentes y propiedad industrial</t>
  </si>
  <si>
    <t xml:space="preserve">27943</t>
  </si>
  <si>
    <t xml:space="preserve">Programas de computadora (software)</t>
  </si>
  <si>
    <t xml:space="preserve">27944</t>
  </si>
  <si>
    <t xml:space="preserve">Costos de exploración y desarrollo</t>
  </si>
  <si>
    <t xml:space="preserve">27945</t>
  </si>
  <si>
    <t xml:space="preserve">Fórmulas, diseños y prototipos</t>
  </si>
  <si>
    <t xml:space="preserve">27949</t>
  </si>
  <si>
    <t xml:space="preserve">Otros activos intangibles</t>
  </si>
  <si>
    <t xml:space="preserve">27951</t>
  </si>
  <si>
    <t xml:space="preserve">Activos biológicos en producción</t>
  </si>
  <si>
    <t xml:space="preserve">27952</t>
  </si>
  <si>
    <t xml:space="preserve">Activos biológicos en desarrollo</t>
  </si>
  <si>
    <t xml:space="preserve">281</t>
  </si>
  <si>
    <t xml:space="preserve">Mercaderías</t>
  </si>
  <si>
    <t xml:space="preserve">284</t>
  </si>
  <si>
    <t xml:space="preserve">Materias primas</t>
  </si>
  <si>
    <t xml:space="preserve">285</t>
  </si>
  <si>
    <t xml:space="preserve">Materiales auxiliares, suministros y repuestos</t>
  </si>
  <si>
    <t xml:space="preserve">286</t>
  </si>
  <si>
    <t xml:space="preserve">Envases y embalajes</t>
  </si>
  <si>
    <t xml:space="preserve">29111</t>
  </si>
  <si>
    <t xml:space="preserve">29211</t>
  </si>
  <si>
    <t xml:space="preserve">29213</t>
  </si>
  <si>
    <t xml:space="preserve">29251</t>
  </si>
  <si>
    <t xml:space="preserve">2931</t>
  </si>
  <si>
    <t xml:space="preserve">2932</t>
  </si>
  <si>
    <t xml:space="preserve">29411</t>
  </si>
  <si>
    <t xml:space="preserve">29413</t>
  </si>
  <si>
    <t xml:space="preserve">2945</t>
  </si>
  <si>
    <t xml:space="preserve">Inventario de servicios en proceso</t>
  </si>
  <si>
    <t xml:space="preserve">29511</t>
  </si>
  <si>
    <t xml:space="preserve">2961</t>
  </si>
  <si>
    <t xml:space="preserve">2962</t>
  </si>
  <si>
    <t xml:space="preserve">Suministros</t>
  </si>
  <si>
    <t xml:space="preserve">2963</t>
  </si>
  <si>
    <t xml:space="preserve">2971</t>
  </si>
  <si>
    <t xml:space="preserve">2972</t>
  </si>
  <si>
    <t xml:space="preserve">2981</t>
  </si>
  <si>
    <t xml:space="preserve">2982</t>
  </si>
  <si>
    <t xml:space="preserve">2983</t>
  </si>
  <si>
    <t xml:space="preserve">2984</t>
  </si>
  <si>
    <t xml:space="preserve">3011</t>
  </si>
  <si>
    <t xml:space="preserve">Instrumentos financieros representativos de deuda</t>
  </si>
  <si>
    <t xml:space="preserve">3</t>
  </si>
  <si>
    <t xml:space="preserve">30221</t>
  </si>
  <si>
    <t xml:space="preserve">30224</t>
  </si>
  <si>
    <t xml:space="preserve">3021</t>
  </si>
  <si>
    <t xml:space="preserve">Certificados de suscripción preferente</t>
  </si>
  <si>
    <t xml:space="preserve">30225</t>
  </si>
  <si>
    <t xml:space="preserve">Participación patrimonial</t>
  </si>
  <si>
    <t xml:space="preserve">30231</t>
  </si>
  <si>
    <t xml:space="preserve">30234</t>
  </si>
  <si>
    <t xml:space="preserve">30235</t>
  </si>
  <si>
    <t xml:space="preserve">30241</t>
  </si>
  <si>
    <t xml:space="preserve">30244</t>
  </si>
  <si>
    <t xml:space="preserve">30245</t>
  </si>
  <si>
    <t xml:space="preserve">30281</t>
  </si>
  <si>
    <t xml:space="preserve">30284</t>
  </si>
  <si>
    <t xml:space="preserve">30285</t>
  </si>
  <si>
    <t xml:space="preserve">30311</t>
  </si>
  <si>
    <t xml:space="preserve">30314</t>
  </si>
  <si>
    <t xml:space="preserve">30321</t>
  </si>
  <si>
    <t xml:space="preserve">30324</t>
  </si>
  <si>
    <t xml:space="preserve">30411</t>
  </si>
  <si>
    <t xml:space="preserve">30414</t>
  </si>
  <si>
    <t xml:space="preserve">30415</t>
  </si>
  <si>
    <t xml:space="preserve">30421</t>
  </si>
  <si>
    <t xml:space="preserve">30424</t>
  </si>
  <si>
    <t xml:space="preserve">30425</t>
  </si>
  <si>
    <t xml:space="preserve">30811</t>
  </si>
  <si>
    <t xml:space="preserve">30814</t>
  </si>
  <si>
    <t xml:space="preserve">30821</t>
  </si>
  <si>
    <t xml:space="preserve">30824</t>
  </si>
  <si>
    <t xml:space="preserve">31111</t>
  </si>
  <si>
    <t xml:space="preserve">31112</t>
  </si>
  <si>
    <t xml:space="preserve">31114</t>
  </si>
  <si>
    <t xml:space="preserve">31121</t>
  </si>
  <si>
    <t xml:space="preserve">31122</t>
  </si>
  <si>
    <t xml:space="preserve">31124</t>
  </si>
  <si>
    <t xml:space="preserve">31211</t>
  </si>
  <si>
    <t xml:space="preserve">31212</t>
  </si>
  <si>
    <t xml:space="preserve">31213</t>
  </si>
  <si>
    <t xml:space="preserve">31214</t>
  </si>
  <si>
    <t xml:space="preserve">31311</t>
  </si>
  <si>
    <t xml:space="preserve">31312</t>
  </si>
  <si>
    <t xml:space="preserve">31313</t>
  </si>
  <si>
    <t xml:space="preserve">31314</t>
  </si>
  <si>
    <t xml:space="preserve">32111</t>
  </si>
  <si>
    <t xml:space="preserve">32112</t>
  </si>
  <si>
    <t xml:space="preserve">32114</t>
  </si>
  <si>
    <t xml:space="preserve">32121</t>
  </si>
  <si>
    <t xml:space="preserve">32122</t>
  </si>
  <si>
    <t xml:space="preserve">32123</t>
  </si>
  <si>
    <t xml:space="preserve">32124</t>
  </si>
  <si>
    <t xml:space="preserve">32201</t>
  </si>
  <si>
    <t xml:space="preserve">32202</t>
  </si>
  <si>
    <t xml:space="preserve">32203</t>
  </si>
  <si>
    <t xml:space="preserve">32211</t>
  </si>
  <si>
    <t xml:space="preserve">32212</t>
  </si>
  <si>
    <t xml:space="preserve">32213</t>
  </si>
  <si>
    <t xml:space="preserve">32221</t>
  </si>
  <si>
    <t xml:space="preserve">32222</t>
  </si>
  <si>
    <t xml:space="preserve">32231</t>
  </si>
  <si>
    <t xml:space="preserve">32232</t>
  </si>
  <si>
    <t xml:space="preserve">32233</t>
  </si>
  <si>
    <t xml:space="preserve">32241</t>
  </si>
  <si>
    <t xml:space="preserve">32242</t>
  </si>
  <si>
    <t xml:space="preserve">32243</t>
  </si>
  <si>
    <t xml:space="preserve">32251</t>
  </si>
  <si>
    <t xml:space="preserve">32252</t>
  </si>
  <si>
    <t xml:space="preserve">32261</t>
  </si>
  <si>
    <t xml:space="preserve">32262</t>
  </si>
  <si>
    <t xml:space="preserve">32271</t>
  </si>
  <si>
    <t xml:space="preserve">32272</t>
  </si>
  <si>
    <t xml:space="preserve">32281</t>
  </si>
  <si>
    <t xml:space="preserve">32282</t>
  </si>
  <si>
    <t xml:space="preserve">32301</t>
  </si>
  <si>
    <t xml:space="preserve">32302</t>
  </si>
  <si>
    <t xml:space="preserve">32321</t>
  </si>
  <si>
    <t xml:space="preserve">32331</t>
  </si>
  <si>
    <t xml:space="preserve">32332</t>
  </si>
  <si>
    <t xml:space="preserve">32341</t>
  </si>
  <si>
    <t xml:space="preserve">32342</t>
  </si>
  <si>
    <t xml:space="preserve">32351</t>
  </si>
  <si>
    <t xml:space="preserve">32352</t>
  </si>
  <si>
    <t xml:space="preserve">32361</t>
  </si>
  <si>
    <t xml:space="preserve">32362</t>
  </si>
  <si>
    <t xml:space="preserve">33011</t>
  </si>
  <si>
    <t xml:space="preserve">33012</t>
  </si>
  <si>
    <t xml:space="preserve">33013</t>
  </si>
  <si>
    <t xml:space="preserve">33014</t>
  </si>
  <si>
    <t xml:space="preserve">33021</t>
  </si>
  <si>
    <t xml:space="preserve">33022</t>
  </si>
  <si>
    <t xml:space="preserve">33023</t>
  </si>
  <si>
    <t xml:space="preserve">33024</t>
  </si>
  <si>
    <t xml:space="preserve">33111</t>
  </si>
  <si>
    <t xml:space="preserve">33112</t>
  </si>
  <si>
    <t xml:space="preserve">33211</t>
  </si>
  <si>
    <t xml:space="preserve">33212</t>
  </si>
  <si>
    <t xml:space="preserve">33213</t>
  </si>
  <si>
    <t xml:space="preserve">33241</t>
  </si>
  <si>
    <t xml:space="preserve">33242</t>
  </si>
  <si>
    <t xml:space="preserve">33243</t>
  </si>
  <si>
    <t xml:space="preserve">33251</t>
  </si>
  <si>
    <t xml:space="preserve">33252</t>
  </si>
  <si>
    <t xml:space="preserve">33253</t>
  </si>
  <si>
    <t xml:space="preserve">Costo de Financiación</t>
  </si>
  <si>
    <t xml:space="preserve">33311</t>
  </si>
  <si>
    <t xml:space="preserve">33312</t>
  </si>
  <si>
    <t xml:space="preserve">33313</t>
  </si>
  <si>
    <t xml:space="preserve">33411</t>
  </si>
  <si>
    <t xml:space="preserve">33412</t>
  </si>
  <si>
    <t xml:space="preserve">33421</t>
  </si>
  <si>
    <t xml:space="preserve">33422</t>
  </si>
  <si>
    <t xml:space="preserve">33511</t>
  </si>
  <si>
    <t xml:space="preserve">33512</t>
  </si>
  <si>
    <t xml:space="preserve">33521</t>
  </si>
  <si>
    <t xml:space="preserve">33522</t>
  </si>
  <si>
    <t xml:space="preserve">33611</t>
  </si>
  <si>
    <t xml:space="preserve">33612</t>
  </si>
  <si>
    <t xml:space="preserve">33621</t>
  </si>
  <si>
    <t xml:space="preserve">33622</t>
  </si>
  <si>
    <t xml:space="preserve">33631</t>
  </si>
  <si>
    <t xml:space="preserve">33632</t>
  </si>
  <si>
    <t xml:space="preserve">33641</t>
  </si>
  <si>
    <t xml:space="preserve">33642</t>
  </si>
  <si>
    <t xml:space="preserve">33691</t>
  </si>
  <si>
    <t xml:space="preserve">33692</t>
  </si>
  <si>
    <t xml:space="preserve">33711</t>
  </si>
  <si>
    <t xml:space="preserve">33712</t>
  </si>
  <si>
    <t xml:space="preserve">33721</t>
  </si>
  <si>
    <t xml:space="preserve">33722</t>
  </si>
  <si>
    <t xml:space="preserve">3381</t>
  </si>
  <si>
    <t xml:space="preserve">Maquinaria y equipo de explotación</t>
  </si>
  <si>
    <t xml:space="preserve">3382</t>
  </si>
  <si>
    <t xml:space="preserve">Equipo de transporte</t>
  </si>
  <si>
    <t xml:space="preserve">3383</t>
  </si>
  <si>
    <t xml:space="preserve">3386</t>
  </si>
  <si>
    <t xml:space="preserve">3387</t>
  </si>
  <si>
    <t xml:space="preserve">3391</t>
  </si>
  <si>
    <t xml:space="preserve">Adecuación de terrenos</t>
  </si>
  <si>
    <t xml:space="preserve">33921</t>
  </si>
  <si>
    <t xml:space="preserve">33922</t>
  </si>
  <si>
    <t xml:space="preserve">33931</t>
  </si>
  <si>
    <t xml:space="preserve">33932</t>
  </si>
  <si>
    <t xml:space="preserve">34111</t>
  </si>
  <si>
    <t xml:space="preserve">34112</t>
  </si>
  <si>
    <t xml:space="preserve">34121</t>
  </si>
  <si>
    <t xml:space="preserve">34122</t>
  </si>
  <si>
    <t xml:space="preserve">34191</t>
  </si>
  <si>
    <t xml:space="preserve">34192</t>
  </si>
  <si>
    <t xml:space="preserve">34211</t>
  </si>
  <si>
    <t xml:space="preserve">34212</t>
  </si>
  <si>
    <t xml:space="preserve">34221</t>
  </si>
  <si>
    <t xml:space="preserve">34222</t>
  </si>
  <si>
    <t xml:space="preserve">34311</t>
  </si>
  <si>
    <t xml:space="preserve">34312</t>
  </si>
  <si>
    <t xml:space="preserve">34411</t>
  </si>
  <si>
    <t xml:space="preserve">34412</t>
  </si>
  <si>
    <t xml:space="preserve">34413</t>
  </si>
  <si>
    <t xml:space="preserve">34421</t>
  </si>
  <si>
    <t xml:space="preserve">34422</t>
  </si>
  <si>
    <t xml:space="preserve">34423</t>
  </si>
  <si>
    <t xml:space="preserve">34511</t>
  </si>
  <si>
    <t xml:space="preserve">34512</t>
  </si>
  <si>
    <t xml:space="preserve">34521</t>
  </si>
  <si>
    <t xml:space="preserve">34522</t>
  </si>
  <si>
    <t xml:space="preserve">3471</t>
  </si>
  <si>
    <t xml:space="preserve">Plusvalía mercantil</t>
  </si>
  <si>
    <t xml:space="preserve">34911</t>
  </si>
  <si>
    <t xml:space="preserve">34912</t>
  </si>
  <si>
    <t xml:space="preserve">35111</t>
  </si>
  <si>
    <t xml:space="preserve">35113</t>
  </si>
  <si>
    <t xml:space="preserve">35114</t>
  </si>
  <si>
    <t xml:space="preserve">35121</t>
  </si>
  <si>
    <t xml:space="preserve">35123</t>
  </si>
  <si>
    <t xml:space="preserve">35124</t>
  </si>
  <si>
    <t xml:space="preserve">35211</t>
  </si>
  <si>
    <t xml:space="preserve">35213</t>
  </si>
  <si>
    <t xml:space="preserve">35214</t>
  </si>
  <si>
    <t xml:space="preserve">35221</t>
  </si>
  <si>
    <t xml:space="preserve">35223</t>
  </si>
  <si>
    <t xml:space="preserve">35224</t>
  </si>
  <si>
    <t xml:space="preserve">36111</t>
  </si>
  <si>
    <t xml:space="preserve">36112</t>
  </si>
  <si>
    <t xml:space="preserve">36121</t>
  </si>
  <si>
    <t xml:space="preserve">36122</t>
  </si>
  <si>
    <t xml:space="preserve">36123</t>
  </si>
  <si>
    <t xml:space="preserve">36131</t>
  </si>
  <si>
    <t xml:space="preserve">36132</t>
  </si>
  <si>
    <t xml:space="preserve">36133</t>
  </si>
  <si>
    <t xml:space="preserve">36211</t>
  </si>
  <si>
    <t xml:space="preserve">36212</t>
  </si>
  <si>
    <t xml:space="preserve">36221</t>
  </si>
  <si>
    <t xml:space="preserve">36222</t>
  </si>
  <si>
    <t xml:space="preserve">36223</t>
  </si>
  <si>
    <t xml:space="preserve">36311</t>
  </si>
  <si>
    <t xml:space="preserve">36312</t>
  </si>
  <si>
    <t xml:space="preserve">36321</t>
  </si>
  <si>
    <t xml:space="preserve">36322</t>
  </si>
  <si>
    <t xml:space="preserve">36323</t>
  </si>
  <si>
    <t xml:space="preserve">36331</t>
  </si>
  <si>
    <t xml:space="preserve">36332</t>
  </si>
  <si>
    <t xml:space="preserve">36333</t>
  </si>
  <si>
    <t xml:space="preserve">36341</t>
  </si>
  <si>
    <t xml:space="preserve">36342</t>
  </si>
  <si>
    <t xml:space="preserve">36351</t>
  </si>
  <si>
    <t xml:space="preserve">36352</t>
  </si>
  <si>
    <t xml:space="preserve">36361</t>
  </si>
  <si>
    <t xml:space="preserve">36362</t>
  </si>
  <si>
    <t xml:space="preserve">36401</t>
  </si>
  <si>
    <t xml:space="preserve">36402</t>
  </si>
  <si>
    <t xml:space="preserve">Planta productora en producción - Revaluación</t>
  </si>
  <si>
    <t xml:space="preserve">36403</t>
  </si>
  <si>
    <t xml:space="preserve">Planta productora en producción - Costo de financiación</t>
  </si>
  <si>
    <t xml:space="preserve">33404</t>
  </si>
  <si>
    <t xml:space="preserve">Planta productora en producción - Valor razonable</t>
  </si>
  <si>
    <t xml:space="preserve">36405</t>
  </si>
  <si>
    <t xml:space="preserve">Planta productora en desarrollo - Costo</t>
  </si>
  <si>
    <t xml:space="preserve">36406</t>
  </si>
  <si>
    <t xml:space="preserve">Planta productora en desarrollo - Revaluación</t>
  </si>
  <si>
    <t xml:space="preserve">36407</t>
  </si>
  <si>
    <t xml:space="preserve">Planta productora en desarrollo - Costo de financiación</t>
  </si>
  <si>
    <t xml:space="preserve">36408</t>
  </si>
  <si>
    <t xml:space="preserve">Planta productora en desarrollo - Valor razonable</t>
  </si>
  <si>
    <t xml:space="preserve">36411</t>
  </si>
  <si>
    <t xml:space="preserve">36412</t>
  </si>
  <si>
    <t xml:space="preserve">36421</t>
  </si>
  <si>
    <t xml:space="preserve">Edificaciones - Costo</t>
  </si>
  <si>
    <t xml:space="preserve">36422</t>
  </si>
  <si>
    <t xml:space="preserve">Edificaciones - Revaluación</t>
  </si>
  <si>
    <t xml:space="preserve">36423</t>
  </si>
  <si>
    <t xml:space="preserve">Edificaciones - Costo de financiación</t>
  </si>
  <si>
    <t xml:space="preserve">36424</t>
  </si>
  <si>
    <t xml:space="preserve">Instalaciones - Costo</t>
  </si>
  <si>
    <t xml:space="preserve">36425</t>
  </si>
  <si>
    <t xml:space="preserve">Instalaciones - Revaluación</t>
  </si>
  <si>
    <t xml:space="preserve">36426</t>
  </si>
  <si>
    <t xml:space="preserve">Instalaciones - Costo de financiación</t>
  </si>
  <si>
    <t xml:space="preserve">36427</t>
  </si>
  <si>
    <t xml:space="preserve">Mejoras en locales arrendados - Costo</t>
  </si>
  <si>
    <t xml:space="preserve">36428</t>
  </si>
  <si>
    <t xml:space="preserve">Mejoras en locales arrendados - Revaluación</t>
  </si>
  <si>
    <t xml:space="preserve">36429</t>
  </si>
  <si>
    <t xml:space="preserve">Mejoras en locales arrendados - Costo de financiación</t>
  </si>
  <si>
    <t xml:space="preserve">36431</t>
  </si>
  <si>
    <t xml:space="preserve">36432</t>
  </si>
  <si>
    <t xml:space="preserve">36433</t>
  </si>
  <si>
    <t xml:space="preserve">36441</t>
  </si>
  <si>
    <t xml:space="preserve">36442</t>
  </si>
  <si>
    <t xml:space="preserve">36451</t>
  </si>
  <si>
    <t xml:space="preserve">36452</t>
  </si>
  <si>
    <t xml:space="preserve">36461</t>
  </si>
  <si>
    <t xml:space="preserve">36462</t>
  </si>
  <si>
    <t xml:space="preserve">36471</t>
  </si>
  <si>
    <t xml:space="preserve">Herramientas - Costo</t>
  </si>
  <si>
    <t xml:space="preserve">38472</t>
  </si>
  <si>
    <t xml:space="preserve">Herramientas - Revaluación</t>
  </si>
  <si>
    <t xml:space="preserve">38473</t>
  </si>
  <si>
    <t xml:space="preserve">Unidades de reemplazo - costo</t>
  </si>
  <si>
    <t xml:space="preserve">38474</t>
  </si>
  <si>
    <t xml:space="preserve">Unidades de reemplazo - Revaluación</t>
  </si>
  <si>
    <t xml:space="preserve">36491</t>
  </si>
  <si>
    <t xml:space="preserve">36492</t>
  </si>
  <si>
    <t xml:space="preserve">36511</t>
  </si>
  <si>
    <t xml:space="preserve">36512</t>
  </si>
  <si>
    <t xml:space="preserve">36521</t>
  </si>
  <si>
    <t xml:space="preserve">36522</t>
  </si>
  <si>
    <t xml:space="preserve">36531</t>
  </si>
  <si>
    <t xml:space="preserve">36532</t>
  </si>
  <si>
    <t xml:space="preserve">36541</t>
  </si>
  <si>
    <t xml:space="preserve">36542</t>
  </si>
  <si>
    <t xml:space="preserve">36543</t>
  </si>
  <si>
    <t xml:space="preserve">36551</t>
  </si>
  <si>
    <t xml:space="preserve">36552</t>
  </si>
  <si>
    <t xml:space="preserve">3657</t>
  </si>
  <si>
    <t xml:space="preserve">36591</t>
  </si>
  <si>
    <t xml:space="preserve">36592</t>
  </si>
  <si>
    <t xml:space="preserve">36611</t>
  </si>
  <si>
    <t xml:space="preserve">36613</t>
  </si>
  <si>
    <t xml:space="preserve">36621</t>
  </si>
  <si>
    <t xml:space="preserve">36622</t>
  </si>
  <si>
    <t xml:space="preserve">36711</t>
  </si>
  <si>
    <t xml:space="preserve">36721</t>
  </si>
  <si>
    <t xml:space="preserve">36731</t>
  </si>
  <si>
    <t xml:space="preserve">3711</t>
  </si>
  <si>
    <t xml:space="preserve">Impuesto a la renta diferido – Patrimonio</t>
  </si>
  <si>
    <t xml:space="preserve">3712</t>
  </si>
  <si>
    <t xml:space="preserve">Impuesto a la renta diferido – Resultados</t>
  </si>
  <si>
    <t xml:space="preserve">3721</t>
  </si>
  <si>
    <t xml:space="preserve">Participaciones de los trabajadores diferidas – Patrimonio</t>
  </si>
  <si>
    <t xml:space="preserve">3722</t>
  </si>
  <si>
    <t xml:space="preserve">Participaciones de los trabajadores diferidas – Resultados</t>
  </si>
  <si>
    <t xml:space="preserve">3731</t>
  </si>
  <si>
    <t xml:space="preserve">Intereses no devengados en transacciones con terceros</t>
  </si>
  <si>
    <t xml:space="preserve">3732</t>
  </si>
  <si>
    <t xml:space="preserve">Intereses no devengados en medición a valor descontado</t>
  </si>
  <si>
    <t xml:space="preserve">3811</t>
  </si>
  <si>
    <t xml:space="preserve">Obras de arte</t>
  </si>
  <si>
    <t xml:space="preserve">3812</t>
  </si>
  <si>
    <t xml:space="preserve">Biblioteca</t>
  </si>
  <si>
    <t xml:space="preserve">3813</t>
  </si>
  <si>
    <t xml:space="preserve">Otros</t>
  </si>
  <si>
    <t xml:space="preserve">3821</t>
  </si>
  <si>
    <t xml:space="preserve">Monedas y joyas</t>
  </si>
  <si>
    <t xml:space="preserve">3822</t>
  </si>
  <si>
    <t xml:space="preserve">Bienes entregados en comodato</t>
  </si>
  <si>
    <t xml:space="preserve">3823</t>
  </si>
  <si>
    <t xml:space="preserve">Bienes recibidos en pago (adjudicados y realizables)</t>
  </si>
  <si>
    <t xml:space="preserve">3829</t>
  </si>
  <si>
    <t xml:space="preserve">39111</t>
  </si>
  <si>
    <t xml:space="preserve">39112</t>
  </si>
  <si>
    <t xml:space="preserve">39113</t>
  </si>
  <si>
    <t xml:space="preserve">39211</t>
  </si>
  <si>
    <t xml:space="preserve">39212</t>
  </si>
  <si>
    <t xml:space="preserve">39213</t>
  </si>
  <si>
    <t xml:space="preserve">39321</t>
  </si>
  <si>
    <t xml:space="preserve">39322</t>
  </si>
  <si>
    <t xml:space="preserve">39323</t>
  </si>
  <si>
    <t xml:space="preserve">39331</t>
  </si>
  <si>
    <t xml:space="preserve">39332</t>
  </si>
  <si>
    <t xml:space="preserve">39333</t>
  </si>
  <si>
    <t xml:space="preserve">39341</t>
  </si>
  <si>
    <t xml:space="preserve">39342</t>
  </si>
  <si>
    <t xml:space="preserve">39351</t>
  </si>
  <si>
    <t xml:space="preserve">38352</t>
  </si>
  <si>
    <t xml:space="preserve">39361</t>
  </si>
  <si>
    <t xml:space="preserve">39362</t>
  </si>
  <si>
    <t xml:space="preserve">39410</t>
  </si>
  <si>
    <t xml:space="preserve">Plantas productoras</t>
  </si>
  <si>
    <t xml:space="preserve">39411</t>
  </si>
  <si>
    <t xml:space="preserve">39412</t>
  </si>
  <si>
    <t xml:space="preserve">39413</t>
  </si>
  <si>
    <t xml:space="preserve">39414</t>
  </si>
  <si>
    <t xml:space="preserve">39415</t>
  </si>
  <si>
    <t xml:space="preserve">39520</t>
  </si>
  <si>
    <t xml:space="preserve">39521</t>
  </si>
  <si>
    <t xml:space="preserve">39522</t>
  </si>
  <si>
    <t xml:space="preserve">Instalaciones</t>
  </si>
  <si>
    <t xml:space="preserve">39523</t>
  </si>
  <si>
    <t xml:space="preserve">Mejoras en locales arrendados</t>
  </si>
  <si>
    <t xml:space="preserve">39524</t>
  </si>
  <si>
    <t xml:space="preserve">39525</t>
  </si>
  <si>
    <t xml:space="preserve">39526</t>
  </si>
  <si>
    <t xml:space="preserve">39527</t>
  </si>
  <si>
    <t xml:space="preserve">39528</t>
  </si>
  <si>
    <t xml:space="preserve">Herramientas</t>
  </si>
  <si>
    <t xml:space="preserve">39529</t>
  </si>
  <si>
    <t xml:space="preserve">Unidades de reemplazo</t>
  </si>
  <si>
    <t xml:space="preserve">39530</t>
  </si>
  <si>
    <t xml:space="preserve">39531</t>
  </si>
  <si>
    <t xml:space="preserve">39532</t>
  </si>
  <si>
    <t xml:space="preserve">39533</t>
  </si>
  <si>
    <t xml:space="preserve">39534</t>
  </si>
  <si>
    <t xml:space="preserve">39535</t>
  </si>
  <si>
    <t xml:space="preserve">39536</t>
  </si>
  <si>
    <t xml:space="preserve">39537</t>
  </si>
  <si>
    <t xml:space="preserve">39538</t>
  </si>
  <si>
    <t xml:space="preserve">39540</t>
  </si>
  <si>
    <t xml:space="preserve">39541</t>
  </si>
  <si>
    <t xml:space="preserve">39542</t>
  </si>
  <si>
    <t xml:space="preserve">39550</t>
  </si>
  <si>
    <t xml:space="preserve">39611</t>
  </si>
  <si>
    <t xml:space="preserve">39612</t>
  </si>
  <si>
    <t xml:space="preserve">39613</t>
  </si>
  <si>
    <t xml:space="preserve">39614</t>
  </si>
  <si>
    <t xml:space="preserve">39615</t>
  </si>
  <si>
    <t xml:space="preserve">39619</t>
  </si>
  <si>
    <t xml:space="preserve">39621</t>
  </si>
  <si>
    <t xml:space="preserve">39622</t>
  </si>
  <si>
    <t xml:space="preserve">39623</t>
  </si>
  <si>
    <t xml:space="preserve">39624</t>
  </si>
  <si>
    <t xml:space="preserve">39625</t>
  </si>
  <si>
    <t xml:space="preserve">39629</t>
  </si>
  <si>
    <t xml:space="preserve">39633</t>
  </si>
  <si>
    <t xml:space="preserve">Programas de computadora</t>
  </si>
  <si>
    <t xml:space="preserve">39634</t>
  </si>
  <si>
    <t xml:space="preserve">Costos de exploración</t>
  </si>
  <si>
    <t xml:space="preserve">39635</t>
  </si>
  <si>
    <t xml:space="preserve">Costos de desarrollo</t>
  </si>
  <si>
    <t xml:space="preserve">39811</t>
  </si>
  <si>
    <t xml:space="preserve">40111</t>
  </si>
  <si>
    <t xml:space="preserve">IGV – Cuenta propia</t>
  </si>
  <si>
    <t xml:space="preserve">4</t>
  </si>
  <si>
    <t xml:space="preserve">40112</t>
  </si>
  <si>
    <t xml:space="preserve">IGV – Servicios prestados por no domiciliados</t>
  </si>
  <si>
    <t xml:space="preserve">40113</t>
  </si>
  <si>
    <t xml:space="preserve">IGV – Régimen de percepciones</t>
  </si>
  <si>
    <t xml:space="preserve">40114</t>
  </si>
  <si>
    <t xml:space="preserve">IGV – Régimen de retenciones</t>
  </si>
  <si>
    <t xml:space="preserve">40115</t>
  </si>
  <si>
    <t xml:space="preserve">IGV – Importaciones</t>
  </si>
  <si>
    <t xml:space="preserve">40116</t>
  </si>
  <si>
    <t xml:space="preserve">IGV – Destinado a operaciones gravadas</t>
  </si>
  <si>
    <t xml:space="preserve">40117</t>
  </si>
  <si>
    <t xml:space="preserve">IGV - Destinado a operaciones comunes</t>
  </si>
  <si>
    <t xml:space="preserve">4012</t>
  </si>
  <si>
    <t xml:space="preserve">Impuesto selectivo al consumo</t>
  </si>
  <si>
    <t xml:space="preserve">40151</t>
  </si>
  <si>
    <t xml:space="preserve">Derechos arancelarios</t>
  </si>
  <si>
    <t xml:space="preserve">40152</t>
  </si>
  <si>
    <t xml:space="preserve">Otros derechos arancelarios</t>
  </si>
  <si>
    <t xml:space="preserve">40171</t>
  </si>
  <si>
    <t xml:space="preserve">Renta de tercera categoría</t>
  </si>
  <si>
    <t xml:space="preserve">40172</t>
  </si>
  <si>
    <t xml:space="preserve">Renta de cuarta categoría</t>
  </si>
  <si>
    <t xml:space="preserve">40173</t>
  </si>
  <si>
    <t xml:space="preserve">Renta de quinta categoría</t>
  </si>
  <si>
    <t xml:space="preserve">40174</t>
  </si>
  <si>
    <t xml:space="preserve">Renta de no domiciliados</t>
  </si>
  <si>
    <t xml:space="preserve">40175</t>
  </si>
  <si>
    <t xml:space="preserve">Otras retenciones</t>
  </si>
  <si>
    <t xml:space="preserve">40181</t>
  </si>
  <si>
    <t xml:space="preserve">Impuesto a las transacciones financieras</t>
  </si>
  <si>
    <t xml:space="preserve">40182</t>
  </si>
  <si>
    <t xml:space="preserve">Impuesto a los juegos de casino y tragamonedas</t>
  </si>
  <si>
    <t xml:space="preserve">40183</t>
  </si>
  <si>
    <t xml:space="preserve">Tasas por la prestación de servicios públicos</t>
  </si>
  <si>
    <t xml:space="preserve">40184</t>
  </si>
  <si>
    <t xml:space="preserve">40185</t>
  </si>
  <si>
    <t xml:space="preserve">Impuesto a los dividendos</t>
  </si>
  <si>
    <t xml:space="preserve">40186</t>
  </si>
  <si>
    <t xml:space="preserve">Impuesto temporal a los activos netos</t>
  </si>
  <si>
    <t xml:space="preserve">40189</t>
  </si>
  <si>
    <t xml:space="preserve">Otros impuestos</t>
  </si>
  <si>
    <t xml:space="preserve">402</t>
  </si>
  <si>
    <t xml:space="preserve">Certificados tributarios</t>
  </si>
  <si>
    <t xml:space="preserve">4031</t>
  </si>
  <si>
    <t xml:space="preserve">ESSALUD</t>
  </si>
  <si>
    <t xml:space="preserve">4032</t>
  </si>
  <si>
    <t xml:space="preserve">ONP</t>
  </si>
  <si>
    <t xml:space="preserve">4033</t>
  </si>
  <si>
    <t xml:space="preserve">Contribución al SENATI</t>
  </si>
  <si>
    <t xml:space="preserve">4034</t>
  </si>
  <si>
    <t xml:space="preserve">Contribución al SENCICO</t>
  </si>
  <si>
    <t xml:space="preserve">4039</t>
  </si>
  <si>
    <t xml:space="preserve">Otras instituciones</t>
  </si>
  <si>
    <t xml:space="preserve">405</t>
  </si>
  <si>
    <t xml:space="preserve">Gobiernos regionales</t>
  </si>
  <si>
    <t xml:space="preserve">40611</t>
  </si>
  <si>
    <t xml:space="preserve">Impuesto al patrimonio vehicular</t>
  </si>
  <si>
    <t xml:space="preserve">40612</t>
  </si>
  <si>
    <t xml:space="preserve">Impuesto a las apuestas</t>
  </si>
  <si>
    <t xml:space="preserve">40613</t>
  </si>
  <si>
    <t xml:space="preserve">Impuesto a los juegos</t>
  </si>
  <si>
    <t xml:space="preserve">40614</t>
  </si>
  <si>
    <t xml:space="preserve">Impuesto de alcabala</t>
  </si>
  <si>
    <t xml:space="preserve">40615</t>
  </si>
  <si>
    <t xml:space="preserve">Impuesto predial</t>
  </si>
  <si>
    <t xml:space="preserve">40616</t>
  </si>
  <si>
    <t xml:space="preserve">Impuesto a los espectáculos públicos no deportivos</t>
  </si>
  <si>
    <t xml:space="preserve">4062</t>
  </si>
  <si>
    <t xml:space="preserve">Contribuciones</t>
  </si>
  <si>
    <t xml:space="preserve">40631</t>
  </si>
  <si>
    <t xml:space="preserve">Licencia de apertura de establecimientos</t>
  </si>
  <si>
    <t xml:space="preserve">40632</t>
  </si>
  <si>
    <t xml:space="preserve">Transporte público</t>
  </si>
  <si>
    <t xml:space="preserve">40633</t>
  </si>
  <si>
    <t xml:space="preserve">Estacionamiento de vehículos</t>
  </si>
  <si>
    <t xml:space="preserve">40634</t>
  </si>
  <si>
    <t xml:space="preserve">Servicios públicos o arbitrios</t>
  </si>
  <si>
    <t xml:space="preserve">40635</t>
  </si>
  <si>
    <t xml:space="preserve">Servicios administrativos o derechos</t>
  </si>
  <si>
    <t xml:space="preserve">409</t>
  </si>
  <si>
    <t xml:space="preserve">Otros costos administrativos e intereses</t>
  </si>
  <si>
    <t xml:space="preserve">4111</t>
  </si>
  <si>
    <t xml:space="preserve">Sueldos y salarios por pagar</t>
  </si>
  <si>
    <t xml:space="preserve">4112</t>
  </si>
  <si>
    <t xml:space="preserve">Comisiones por pagar</t>
  </si>
  <si>
    <t xml:space="preserve">4113</t>
  </si>
  <si>
    <t xml:space="preserve">Remuneraciones en especie por pagar</t>
  </si>
  <si>
    <t xml:space="preserve">4114</t>
  </si>
  <si>
    <t xml:space="preserve">Gratificaciones por pagar</t>
  </si>
  <si>
    <t xml:space="preserve">4115</t>
  </si>
  <si>
    <t xml:space="preserve">Vacaciones por pagar</t>
  </si>
  <si>
    <t xml:space="preserve">413</t>
  </si>
  <si>
    <t xml:space="preserve">Participaciones de los trabajadores por pagar</t>
  </si>
  <si>
    <t xml:space="preserve">4151</t>
  </si>
  <si>
    <t xml:space="preserve">Compensación por tiempo de servicios</t>
  </si>
  <si>
    <t xml:space="preserve">4152</t>
  </si>
  <si>
    <t xml:space="preserve">Adelanto de compensación por tiempo de servicios</t>
  </si>
  <si>
    <t xml:space="preserve">4153</t>
  </si>
  <si>
    <t xml:space="preserve">Pensiones y jubilaciones</t>
  </si>
  <si>
    <t xml:space="preserve">417</t>
  </si>
  <si>
    <t xml:space="preserve">Administradoras de fondos de pensiones</t>
  </si>
  <si>
    <t xml:space="preserve">419</t>
  </si>
  <si>
    <t xml:space="preserve">Otras remuneraciones y participaciones por pagar</t>
  </si>
  <si>
    <t xml:space="preserve">4211</t>
  </si>
  <si>
    <t xml:space="preserve">4212</t>
  </si>
  <si>
    <t xml:space="preserve">Emitidas</t>
  </si>
  <si>
    <t xml:space="preserve">422</t>
  </si>
  <si>
    <t xml:space="preserve">Anticipos a proveedores</t>
  </si>
  <si>
    <t xml:space="preserve">423</t>
  </si>
  <si>
    <t xml:space="preserve">Letras por pagar</t>
  </si>
  <si>
    <t xml:space="preserve">424</t>
  </si>
  <si>
    <t xml:space="preserve">Honorarios por pagar</t>
  </si>
  <si>
    <t xml:space="preserve">4311</t>
  </si>
  <si>
    <t xml:space="preserve">4312</t>
  </si>
  <si>
    <t xml:space="preserve">4321</t>
  </si>
  <si>
    <t xml:space="preserve">Anticipos otorgados</t>
  </si>
  <si>
    <t xml:space="preserve">4331</t>
  </si>
  <si>
    <t xml:space="preserve">4341</t>
  </si>
  <si>
    <t xml:space="preserve">4411</t>
  </si>
  <si>
    <t xml:space="preserve">4412</t>
  </si>
  <si>
    <t xml:space="preserve">4419</t>
  </si>
  <si>
    <t xml:space="preserve">Otras cuentas por pagar</t>
  </si>
  <si>
    <t xml:space="preserve">4421</t>
  </si>
  <si>
    <t xml:space="preserve">Dietas</t>
  </si>
  <si>
    <t xml:space="preserve">4429</t>
  </si>
  <si>
    <t xml:space="preserve">4511</t>
  </si>
  <si>
    <t xml:space="preserve">Instituciones financieras</t>
  </si>
  <si>
    <t xml:space="preserve">4512</t>
  </si>
  <si>
    <t xml:space="preserve">Otras entidades</t>
  </si>
  <si>
    <t xml:space="preserve">452</t>
  </si>
  <si>
    <t xml:space="preserve">Contratos de arrendamiento financiero</t>
  </si>
  <si>
    <t xml:space="preserve">4531</t>
  </si>
  <si>
    <t xml:space="preserve">Bonos emitidos</t>
  </si>
  <si>
    <t xml:space="preserve">4532</t>
  </si>
  <si>
    <t xml:space="preserve">Bonos titulizados</t>
  </si>
  <si>
    <t xml:space="preserve">4533</t>
  </si>
  <si>
    <t xml:space="preserve">Papeles comerciales</t>
  </si>
  <si>
    <t xml:space="preserve">4539</t>
  </si>
  <si>
    <t xml:space="preserve">Otras obligaciones</t>
  </si>
  <si>
    <t xml:space="preserve">4541</t>
  </si>
  <si>
    <t xml:space="preserve">Letras</t>
  </si>
  <si>
    <t xml:space="preserve">4542</t>
  </si>
  <si>
    <t xml:space="preserve">4543</t>
  </si>
  <si>
    <t xml:space="preserve">Bonos</t>
  </si>
  <si>
    <t xml:space="preserve">4544</t>
  </si>
  <si>
    <t xml:space="preserve">Pagarés</t>
  </si>
  <si>
    <t xml:space="preserve">4545</t>
  </si>
  <si>
    <t xml:space="preserve">Facturas conformadas</t>
  </si>
  <si>
    <t xml:space="preserve">4549</t>
  </si>
  <si>
    <t xml:space="preserve">Otras obligaciones financieras</t>
  </si>
  <si>
    <t xml:space="preserve">45511</t>
  </si>
  <si>
    <t xml:space="preserve">45512</t>
  </si>
  <si>
    <t xml:space="preserve">4552</t>
  </si>
  <si>
    <t xml:space="preserve">45531</t>
  </si>
  <si>
    <t xml:space="preserve">45532</t>
  </si>
  <si>
    <t xml:space="preserve">45533</t>
  </si>
  <si>
    <t xml:space="preserve">45539</t>
  </si>
  <si>
    <t xml:space="preserve">45541</t>
  </si>
  <si>
    <t xml:space="preserve">45542</t>
  </si>
  <si>
    <t xml:space="preserve">45543</t>
  </si>
  <si>
    <t xml:space="preserve">45544</t>
  </si>
  <si>
    <t xml:space="preserve">45545</t>
  </si>
  <si>
    <t xml:space="preserve">45549</t>
  </si>
  <si>
    <t xml:space="preserve">456</t>
  </si>
  <si>
    <t xml:space="preserve">Préstamos con compromisos de recompra</t>
  </si>
  <si>
    <t xml:space="preserve">461</t>
  </si>
  <si>
    <t xml:space="preserve">Reclamaciones de terceros</t>
  </si>
  <si>
    <t xml:space="preserve">4641</t>
  </si>
  <si>
    <t xml:space="preserve">Instrumentos financieros primarios</t>
  </si>
  <si>
    <t xml:space="preserve">46421</t>
  </si>
  <si>
    <t xml:space="preserve">Cartera de negociación</t>
  </si>
  <si>
    <t xml:space="preserve">46422</t>
  </si>
  <si>
    <t xml:space="preserve">Instrumentos de cobertura</t>
  </si>
  <si>
    <t xml:space="preserve">4651</t>
  </si>
  <si>
    <t xml:space="preserve">Inversiones mobiliarias</t>
  </si>
  <si>
    <t xml:space="preserve">4652</t>
  </si>
  <si>
    <t xml:space="preserve">4653</t>
  </si>
  <si>
    <t xml:space="preserve">Activos adquiridos en arrendamiento financiero</t>
  </si>
  <si>
    <t xml:space="preserve">4654</t>
  </si>
  <si>
    <t xml:space="preserve">4655</t>
  </si>
  <si>
    <t xml:space="preserve">4656</t>
  </si>
  <si>
    <t xml:space="preserve">466</t>
  </si>
  <si>
    <t xml:space="preserve">Participación de terceros en acuerdos conjuntos</t>
  </si>
  <si>
    <t xml:space="preserve">467</t>
  </si>
  <si>
    <t xml:space="preserve">Depósitos recibidos en garantía</t>
  </si>
  <si>
    <t xml:space="preserve">4691</t>
  </si>
  <si>
    <t xml:space="preserve">Subsidios gubernamentales</t>
  </si>
  <si>
    <t xml:space="preserve">4692</t>
  </si>
  <si>
    <t xml:space="preserve">Donaciones condicionadas</t>
  </si>
  <si>
    <t xml:space="preserve">4699</t>
  </si>
  <si>
    <t xml:space="preserve">471</t>
  </si>
  <si>
    <t xml:space="preserve">472</t>
  </si>
  <si>
    <t xml:space="preserve">473</t>
  </si>
  <si>
    <t xml:space="preserve">474</t>
  </si>
  <si>
    <t xml:space="preserve">475</t>
  </si>
  <si>
    <t xml:space="preserve">476</t>
  </si>
  <si>
    <t xml:space="preserve">4771</t>
  </si>
  <si>
    <t xml:space="preserve">4772</t>
  </si>
  <si>
    <t xml:space="preserve">Inversiones inmobiliarias</t>
  </si>
  <si>
    <t xml:space="preserve">4773</t>
  </si>
  <si>
    <t xml:space="preserve">4774</t>
  </si>
  <si>
    <t xml:space="preserve">4775</t>
  </si>
  <si>
    <t xml:space="preserve">4776</t>
  </si>
  <si>
    <t xml:space="preserve">4791</t>
  </si>
  <si>
    <t xml:space="preserve">Otras cuentas por pagar diversas</t>
  </si>
  <si>
    <t xml:space="preserve">481</t>
  </si>
  <si>
    <t xml:space="preserve">Provisión para litigios</t>
  </si>
  <si>
    <t xml:space="preserve">482</t>
  </si>
  <si>
    <t xml:space="preserve">Provisión por desmantelamiento, retiro o rehabilitación del inmovilizado</t>
  </si>
  <si>
    <t xml:space="preserve">483</t>
  </si>
  <si>
    <t xml:space="preserve">Provisión para reestructuraciones</t>
  </si>
  <si>
    <t xml:space="preserve">484</t>
  </si>
  <si>
    <t xml:space="preserve">Provisión para protección y remediación del medio ambiente</t>
  </si>
  <si>
    <t xml:space="preserve">485</t>
  </si>
  <si>
    <t xml:space="preserve">Provisión para gastos de responsabilidad social</t>
  </si>
  <si>
    <t xml:space="preserve">486</t>
  </si>
  <si>
    <t xml:space="preserve">Provisión para garantías</t>
  </si>
  <si>
    <t xml:space="preserve">487</t>
  </si>
  <si>
    <t xml:space="preserve">Provisión por activos por derecho de uso</t>
  </si>
  <si>
    <t xml:space="preserve">489</t>
  </si>
  <si>
    <t xml:space="preserve">Otras provisiones</t>
  </si>
  <si>
    <t xml:space="preserve">4911</t>
  </si>
  <si>
    <t xml:space="preserve">4912</t>
  </si>
  <si>
    <t xml:space="preserve">4921</t>
  </si>
  <si>
    <t xml:space="preserve">4922</t>
  </si>
  <si>
    <t xml:space="preserve">4931</t>
  </si>
  <si>
    <t xml:space="preserve">4932</t>
  </si>
  <si>
    <t xml:space="preserve">494</t>
  </si>
  <si>
    <t xml:space="preserve">Ganancia en venta con arrendamiento financiero paralelo</t>
  </si>
  <si>
    <t xml:space="preserve">495</t>
  </si>
  <si>
    <t xml:space="preserve">Subsidios recibidos diferidos</t>
  </si>
  <si>
    <t xml:space="preserve">496</t>
  </si>
  <si>
    <t xml:space="preserve">Ingresos diferidos</t>
  </si>
  <si>
    <t xml:space="preserve">497</t>
  </si>
  <si>
    <t xml:space="preserve">Costos diferidos</t>
  </si>
  <si>
    <t xml:space="preserve">Acciones</t>
  </si>
  <si>
    <t xml:space="preserve">5</t>
  </si>
  <si>
    <t xml:space="preserve">5012</t>
  </si>
  <si>
    <t xml:space="preserve">Participaciones</t>
  </si>
  <si>
    <t xml:space="preserve">502</t>
  </si>
  <si>
    <t xml:space="preserve">Acciones en tesorería</t>
  </si>
  <si>
    <t xml:space="preserve">511</t>
  </si>
  <si>
    <t xml:space="preserve">Acciones de inversión</t>
  </si>
  <si>
    <t xml:space="preserve">512</t>
  </si>
  <si>
    <t xml:space="preserve">Acciones de inversión en tesorería</t>
  </si>
  <si>
    <t xml:space="preserve">521</t>
  </si>
  <si>
    <t xml:space="preserve">Primas (descuento) de acciones</t>
  </si>
  <si>
    <t xml:space="preserve">5221</t>
  </si>
  <si>
    <t xml:space="preserve">Aportes</t>
  </si>
  <si>
    <t xml:space="preserve">5222</t>
  </si>
  <si>
    <t xml:space="preserve">Reservas</t>
  </si>
  <si>
    <t xml:space="preserve">5223</t>
  </si>
  <si>
    <t xml:space="preserve">Acreencias</t>
  </si>
  <si>
    <t xml:space="preserve">5224</t>
  </si>
  <si>
    <t xml:space="preserve">Utilidades</t>
  </si>
  <si>
    <t xml:space="preserve">523</t>
  </si>
  <si>
    <t xml:space="preserve">Reducciones de capital pendientes de formalización</t>
  </si>
  <si>
    <t xml:space="preserve">561</t>
  </si>
  <si>
    <t xml:space="preserve">Diferencia en cambio de inversiones permanentes en entidades extranjeras</t>
  </si>
  <si>
    <t xml:space="preserve">562</t>
  </si>
  <si>
    <t xml:space="preserve">Instrumentos financieros – Coberturas</t>
  </si>
  <si>
    <t xml:space="preserve">5631</t>
  </si>
  <si>
    <t xml:space="preserve">Ganancia</t>
  </si>
  <si>
    <t xml:space="preserve">5632</t>
  </si>
  <si>
    <t xml:space="preserve">Pérdida</t>
  </si>
  <si>
    <t xml:space="preserve">5641</t>
  </si>
  <si>
    <t xml:space="preserve">5642</t>
  </si>
  <si>
    <t xml:space="preserve">5651</t>
  </si>
  <si>
    <t xml:space="preserve">5652</t>
  </si>
  <si>
    <t xml:space="preserve">57111</t>
  </si>
  <si>
    <t xml:space="preserve">Adquisición directa</t>
  </si>
  <si>
    <t xml:space="preserve">57112</t>
  </si>
  <si>
    <t xml:space="preserve">Arrendamiento financiero</t>
  </si>
  <si>
    <t xml:space="preserve">57121</t>
  </si>
  <si>
    <t xml:space="preserve">57122</t>
  </si>
  <si>
    <t xml:space="preserve">5713</t>
  </si>
  <si>
    <t xml:space="preserve">5714</t>
  </si>
  <si>
    <t xml:space="preserve">Activos por derecho de uso - arrendamiento operativo</t>
  </si>
  <si>
    <t xml:space="preserve">572</t>
  </si>
  <si>
    <t xml:space="preserve">Excedente de revaluación – Acciones liberadas recibidas</t>
  </si>
  <si>
    <t xml:space="preserve">573</t>
  </si>
  <si>
    <t xml:space="preserve">Participación en excedente de revaluación – Inversiones en entidades relacionadas</t>
  </si>
  <si>
    <t xml:space="preserve">581</t>
  </si>
  <si>
    <t xml:space="preserve">Reinversión</t>
  </si>
  <si>
    <t xml:space="preserve">582</t>
  </si>
  <si>
    <t xml:space="preserve">Legal</t>
  </si>
  <si>
    <t xml:space="preserve">583</t>
  </si>
  <si>
    <t xml:space="preserve">Contractuales</t>
  </si>
  <si>
    <t xml:space="preserve">584</t>
  </si>
  <si>
    <t xml:space="preserve">Estatutarias</t>
  </si>
  <si>
    <t xml:space="preserve">585</t>
  </si>
  <si>
    <t xml:space="preserve">Facultativas</t>
  </si>
  <si>
    <t xml:space="preserve">589</t>
  </si>
  <si>
    <t xml:space="preserve">Otras reservas</t>
  </si>
  <si>
    <t xml:space="preserve">5911</t>
  </si>
  <si>
    <t xml:space="preserve">Utilidades acumuladas</t>
  </si>
  <si>
    <t xml:space="preserve">5912</t>
  </si>
  <si>
    <t xml:space="preserve">Ingresos de años anteriores</t>
  </si>
  <si>
    <t xml:space="preserve">5921</t>
  </si>
  <si>
    <t xml:space="preserve">Pérdidas acumuladas</t>
  </si>
  <si>
    <t xml:space="preserve">5922</t>
  </si>
  <si>
    <t xml:space="preserve">Gastos de años anteriores</t>
  </si>
  <si>
    <t xml:space="preserve">6011</t>
  </si>
  <si>
    <t xml:space="preserve">6</t>
  </si>
  <si>
    <t xml:space="preserve">602</t>
  </si>
  <si>
    <t xml:space="preserve">6031</t>
  </si>
  <si>
    <t xml:space="preserve">6032</t>
  </si>
  <si>
    <t xml:space="preserve">6033</t>
  </si>
  <si>
    <t xml:space="preserve">6041</t>
  </si>
  <si>
    <t xml:space="preserve">6042</t>
  </si>
  <si>
    <t xml:space="preserve">60911</t>
  </si>
  <si>
    <t xml:space="preserve">Transporte</t>
  </si>
  <si>
    <t xml:space="preserve">60912</t>
  </si>
  <si>
    <t xml:space="preserve">60913</t>
  </si>
  <si>
    <t xml:space="preserve">Derechos aduaneros</t>
  </si>
  <si>
    <t xml:space="preserve">60914</t>
  </si>
  <si>
    <t xml:space="preserve">Comisiones</t>
  </si>
  <si>
    <t xml:space="preserve">60919</t>
  </si>
  <si>
    <t xml:space="preserve">Otros costos</t>
  </si>
  <si>
    <t xml:space="preserve">60921</t>
  </si>
  <si>
    <t xml:space="preserve">60922</t>
  </si>
  <si>
    <t xml:space="preserve">60923</t>
  </si>
  <si>
    <t xml:space="preserve">60924</t>
  </si>
  <si>
    <t xml:space="preserve">60925</t>
  </si>
  <si>
    <t xml:space="preserve">60931</t>
  </si>
  <si>
    <t xml:space="preserve">60932</t>
  </si>
  <si>
    <t xml:space="preserve">60933</t>
  </si>
  <si>
    <t xml:space="preserve">60934</t>
  </si>
  <si>
    <t xml:space="preserve">60935</t>
  </si>
  <si>
    <t xml:space="preserve">60941</t>
  </si>
  <si>
    <t xml:space="preserve">60942</t>
  </si>
  <si>
    <t xml:space="preserve">60943</t>
  </si>
  <si>
    <t xml:space="preserve">60944</t>
  </si>
  <si>
    <t xml:space="preserve">60945</t>
  </si>
  <si>
    <t xml:space="preserve">6111</t>
  </si>
  <si>
    <t xml:space="preserve">6121</t>
  </si>
  <si>
    <t xml:space="preserve">6131</t>
  </si>
  <si>
    <t xml:space="preserve">6132</t>
  </si>
  <si>
    <t xml:space="preserve">6133</t>
  </si>
  <si>
    <t xml:space="preserve">6141</t>
  </si>
  <si>
    <t xml:space="preserve">6142</t>
  </si>
  <si>
    <t xml:space="preserve">6211</t>
  </si>
  <si>
    <t xml:space="preserve">Sueldos y salarios</t>
  </si>
  <si>
    <t xml:space="preserve">6212</t>
  </si>
  <si>
    <t xml:space="preserve">6213</t>
  </si>
  <si>
    <t xml:space="preserve">Remuneraciones en especie</t>
  </si>
  <si>
    <t xml:space="preserve">6214</t>
  </si>
  <si>
    <t xml:space="preserve">Gratificaciones</t>
  </si>
  <si>
    <t xml:space="preserve">6215</t>
  </si>
  <si>
    <t xml:space="preserve">Vacaciones</t>
  </si>
  <si>
    <t xml:space="preserve">622</t>
  </si>
  <si>
    <t xml:space="preserve">Otras remuneraciones</t>
  </si>
  <si>
    <t xml:space="preserve">623</t>
  </si>
  <si>
    <t xml:space="preserve">Indemnizaciones al personal</t>
  </si>
  <si>
    <t xml:space="preserve">624</t>
  </si>
  <si>
    <t xml:space="preserve">Capacitación</t>
  </si>
  <si>
    <t xml:space="preserve">625</t>
  </si>
  <si>
    <t xml:space="preserve">Atención al personal</t>
  </si>
  <si>
    <t xml:space="preserve">6271</t>
  </si>
  <si>
    <t xml:space="preserve">Régimen de prestaciones de salud</t>
  </si>
  <si>
    <t xml:space="preserve">6272</t>
  </si>
  <si>
    <t xml:space="preserve">Régimen de pensiones - Aporte de empresa</t>
  </si>
  <si>
    <t xml:space="preserve">6273</t>
  </si>
  <si>
    <t xml:space="preserve">Seguro complementario de trabajo de riesgo, accidentes de trabajo y enfermedades profesionales</t>
  </si>
  <si>
    <t xml:space="preserve">6274</t>
  </si>
  <si>
    <t xml:space="preserve">Seguro de vida</t>
  </si>
  <si>
    <t xml:space="preserve">6275</t>
  </si>
  <si>
    <t xml:space="preserve">Seguros particulares de prestaciones de salud – EPS y otros particulares</t>
  </si>
  <si>
    <t xml:space="preserve">6276</t>
  </si>
  <si>
    <t xml:space="preserve">Caja de beneficios de seguridad social del pescador</t>
  </si>
  <si>
    <t xml:space="preserve">6277</t>
  </si>
  <si>
    <t xml:space="preserve">Contribuciones al SENATI</t>
  </si>
  <si>
    <t xml:space="preserve">628</t>
  </si>
  <si>
    <t xml:space="preserve">Retribuciones al directorio</t>
  </si>
  <si>
    <t xml:space="preserve">6291</t>
  </si>
  <si>
    <t xml:space="preserve">Compensación por tiempo de servicio</t>
  </si>
  <si>
    <t xml:space="preserve">6292</t>
  </si>
  <si>
    <t xml:space="preserve">6293</t>
  </si>
  <si>
    <t xml:space="preserve">Otros beneficios post-empleo</t>
  </si>
  <si>
    <t xml:space="preserve">62941</t>
  </si>
  <si>
    <t xml:space="preserve">Participación corriente</t>
  </si>
  <si>
    <t xml:space="preserve">62942</t>
  </si>
  <si>
    <t xml:space="preserve">Participación diferida</t>
  </si>
  <si>
    <t xml:space="preserve">63111</t>
  </si>
  <si>
    <t xml:space="preserve">De carga</t>
  </si>
  <si>
    <t xml:space="preserve">63112</t>
  </si>
  <si>
    <t xml:space="preserve">De pasajeros</t>
  </si>
  <si>
    <t xml:space="preserve">6312</t>
  </si>
  <si>
    <t xml:space="preserve">Correos</t>
  </si>
  <si>
    <t xml:space="preserve">6313</t>
  </si>
  <si>
    <t xml:space="preserve">Alojamiento</t>
  </si>
  <si>
    <t xml:space="preserve">6314</t>
  </si>
  <si>
    <t xml:space="preserve">Alimentación</t>
  </si>
  <si>
    <t xml:space="preserve">6315</t>
  </si>
  <si>
    <t xml:space="preserve">Otros gastos de viaje</t>
  </si>
  <si>
    <t xml:space="preserve">6321</t>
  </si>
  <si>
    <t xml:space="preserve">Administrativa</t>
  </si>
  <si>
    <t xml:space="preserve">6322</t>
  </si>
  <si>
    <t xml:space="preserve">Legal y tributaria</t>
  </si>
  <si>
    <t xml:space="preserve">6323</t>
  </si>
  <si>
    <t xml:space="preserve">Auditoría y contable</t>
  </si>
  <si>
    <t xml:space="preserve">6324</t>
  </si>
  <si>
    <t xml:space="preserve">Mercadotecnia</t>
  </si>
  <si>
    <t xml:space="preserve">6325</t>
  </si>
  <si>
    <t xml:space="preserve">Medioambiental</t>
  </si>
  <si>
    <t xml:space="preserve">6326</t>
  </si>
  <si>
    <t xml:space="preserve">Investigación y desarrollo</t>
  </si>
  <si>
    <t xml:space="preserve">6327</t>
  </si>
  <si>
    <t xml:space="preserve">Producción</t>
  </si>
  <si>
    <t xml:space="preserve">6329</t>
  </si>
  <si>
    <t xml:space="preserve">633</t>
  </si>
  <si>
    <t xml:space="preserve">Producción encargada a terceros</t>
  </si>
  <si>
    <t xml:space="preserve">6341</t>
  </si>
  <si>
    <t xml:space="preserve">Propiedad de inversión</t>
  </si>
  <si>
    <t xml:space="preserve">63421</t>
  </si>
  <si>
    <t xml:space="preserve">Financiero</t>
  </si>
  <si>
    <t xml:space="preserve">63432</t>
  </si>
  <si>
    <t xml:space="preserve">Operativo</t>
  </si>
  <si>
    <t xml:space="preserve">6343</t>
  </si>
  <si>
    <t xml:space="preserve">6344</t>
  </si>
  <si>
    <t xml:space="preserve">6345</t>
  </si>
  <si>
    <t xml:space="preserve">6351</t>
  </si>
  <si>
    <t xml:space="preserve">6352</t>
  </si>
  <si>
    <t xml:space="preserve">6353</t>
  </si>
  <si>
    <t xml:space="preserve">6354</t>
  </si>
  <si>
    <t xml:space="preserve">6355</t>
  </si>
  <si>
    <t xml:space="preserve">6356</t>
  </si>
  <si>
    <t xml:space="preserve">6361</t>
  </si>
  <si>
    <t xml:space="preserve">Energía eléctrica</t>
  </si>
  <si>
    <t xml:space="preserve">6362</t>
  </si>
  <si>
    <t xml:space="preserve">Gas</t>
  </si>
  <si>
    <t xml:space="preserve">6363</t>
  </si>
  <si>
    <t xml:space="preserve">Agua</t>
  </si>
  <si>
    <t xml:space="preserve">6364</t>
  </si>
  <si>
    <t xml:space="preserve">Teléfono</t>
  </si>
  <si>
    <t xml:space="preserve">6365</t>
  </si>
  <si>
    <t xml:space="preserve">Internet</t>
  </si>
  <si>
    <t xml:space="preserve">6366</t>
  </si>
  <si>
    <t xml:space="preserve">Radio</t>
  </si>
  <si>
    <t xml:space="preserve">6367</t>
  </si>
  <si>
    <t xml:space="preserve">Cable</t>
  </si>
  <si>
    <t xml:space="preserve">6371</t>
  </si>
  <si>
    <t xml:space="preserve">Publicidad</t>
  </si>
  <si>
    <t xml:space="preserve">6372</t>
  </si>
  <si>
    <t xml:space="preserve">Publicaciones</t>
  </si>
  <si>
    <t xml:space="preserve">6373</t>
  </si>
  <si>
    <t xml:space="preserve">Relaciones públicas</t>
  </si>
  <si>
    <t xml:space="preserve">638</t>
  </si>
  <si>
    <t xml:space="preserve">Servicios de contratistas</t>
  </si>
  <si>
    <t xml:space="preserve">6391</t>
  </si>
  <si>
    <t xml:space="preserve">Gastos bancarios</t>
  </si>
  <si>
    <t xml:space="preserve">6392</t>
  </si>
  <si>
    <t xml:space="preserve">Gastos de laboratorio</t>
  </si>
  <si>
    <t xml:space="preserve">6411</t>
  </si>
  <si>
    <t xml:space="preserve">Impuesto general a las ventas y selectivo al consumo</t>
  </si>
  <si>
    <t xml:space="preserve">6412</t>
  </si>
  <si>
    <t xml:space="preserve">6413</t>
  </si>
  <si>
    <t xml:space="preserve">6414</t>
  </si>
  <si>
    <t xml:space="preserve">Impuesto a los juegos de casino y máquinas tragamonedas</t>
  </si>
  <si>
    <t xml:space="preserve">6415</t>
  </si>
  <si>
    <t xml:space="preserve">Regalías mineras</t>
  </si>
  <si>
    <t xml:space="preserve">6416</t>
  </si>
  <si>
    <t xml:space="preserve">Cánones</t>
  </si>
  <si>
    <t xml:space="preserve">6419</t>
  </si>
  <si>
    <t xml:space="preserve">642</t>
  </si>
  <si>
    <t xml:space="preserve">Gobierno regional</t>
  </si>
  <si>
    <t xml:space="preserve">6431</t>
  </si>
  <si>
    <t xml:space="preserve">6432</t>
  </si>
  <si>
    <t xml:space="preserve">Arbitrios municipales y seguridad ciudadana</t>
  </si>
  <si>
    <t xml:space="preserve">6433</t>
  </si>
  <si>
    <t xml:space="preserve">6434</t>
  </si>
  <si>
    <t xml:space="preserve">Licencia de funcionamiento</t>
  </si>
  <si>
    <t xml:space="preserve">6439</t>
  </si>
  <si>
    <t xml:space="preserve">6442</t>
  </si>
  <si>
    <t xml:space="preserve">6443</t>
  </si>
  <si>
    <t xml:space="preserve">6451</t>
  </si>
  <si>
    <t xml:space="preserve">6452</t>
  </si>
  <si>
    <t xml:space="preserve">intereses - fraccionamiento</t>
  </si>
  <si>
    <t xml:space="preserve">6453</t>
  </si>
  <si>
    <t xml:space="preserve">Multas</t>
  </si>
  <si>
    <t xml:space="preserve">6454</t>
  </si>
  <si>
    <t xml:space="preserve">Costas y otros</t>
  </si>
  <si>
    <t xml:space="preserve">651</t>
  </si>
  <si>
    <t xml:space="preserve">652</t>
  </si>
  <si>
    <t xml:space="preserve">653</t>
  </si>
  <si>
    <t xml:space="preserve">Suscripciones</t>
  </si>
  <si>
    <t xml:space="preserve">654</t>
  </si>
  <si>
    <t xml:space="preserve">Licencias y derechos de vigencia</t>
  </si>
  <si>
    <t xml:space="preserve">65511</t>
  </si>
  <si>
    <t xml:space="preserve">65512</t>
  </si>
  <si>
    <t xml:space="preserve">65513</t>
  </si>
  <si>
    <t xml:space="preserve">Activos por derecho de uso - arrendamiento financiero</t>
  </si>
  <si>
    <t xml:space="preserve">65514</t>
  </si>
  <si>
    <t xml:space="preserve">65515</t>
  </si>
  <si>
    <t xml:space="preserve">65516</t>
  </si>
  <si>
    <t xml:space="preserve">65521</t>
  </si>
  <si>
    <t xml:space="preserve">65522</t>
  </si>
  <si>
    <t xml:space="preserve">Activos por derecho de uso - Arrendamiento financiero</t>
  </si>
  <si>
    <t xml:space="preserve">65523</t>
  </si>
  <si>
    <t xml:space="preserve">65524</t>
  </si>
  <si>
    <t xml:space="preserve">65525</t>
  </si>
  <si>
    <t xml:space="preserve">656</t>
  </si>
  <si>
    <t xml:space="preserve">658</t>
  </si>
  <si>
    <t xml:space="preserve">Gestión medioambiental</t>
  </si>
  <si>
    <t xml:space="preserve">6591</t>
  </si>
  <si>
    <t xml:space="preserve">Donaciones</t>
  </si>
  <si>
    <t xml:space="preserve">6592</t>
  </si>
  <si>
    <t xml:space="preserve">Sanciones administrativas</t>
  </si>
  <si>
    <t xml:space="preserve">6611</t>
  </si>
  <si>
    <t xml:space="preserve">6612</t>
  </si>
  <si>
    <t xml:space="preserve">Productos terminados</t>
  </si>
  <si>
    <t xml:space="preserve">66131</t>
  </si>
  <si>
    <t xml:space="preserve">66132</t>
  </si>
  <si>
    <t xml:space="preserve">66133</t>
  </si>
  <si>
    <t xml:space="preserve">66134</t>
  </si>
  <si>
    <t xml:space="preserve">6621</t>
  </si>
  <si>
    <t xml:space="preserve">6622</t>
  </si>
  <si>
    <t xml:space="preserve">6711</t>
  </si>
  <si>
    <t xml:space="preserve">Préstamos de instituciones financieras y otras entidades</t>
  </si>
  <si>
    <t xml:space="preserve">6712</t>
  </si>
  <si>
    <t xml:space="preserve">6713</t>
  </si>
  <si>
    <t xml:space="preserve">Emisión y colocación de instrumentos representativos de deuda y patrimonio</t>
  </si>
  <si>
    <t xml:space="preserve">6714</t>
  </si>
  <si>
    <t xml:space="preserve">Documentos vendidos o descontados</t>
  </si>
  <si>
    <t xml:space="preserve">672</t>
  </si>
  <si>
    <t xml:space="preserve">Pérdida por instrumentos financieros derivados</t>
  </si>
  <si>
    <t xml:space="preserve">67311</t>
  </si>
  <si>
    <t xml:space="preserve">67312</t>
  </si>
  <si>
    <t xml:space="preserve">6732</t>
  </si>
  <si>
    <t xml:space="preserve">6733</t>
  </si>
  <si>
    <t xml:space="preserve">Otros instrumentos financieros por pagar</t>
  </si>
  <si>
    <t xml:space="preserve">6734</t>
  </si>
  <si>
    <t xml:space="preserve">6735</t>
  </si>
  <si>
    <t xml:space="preserve">Obligaciones emitidas</t>
  </si>
  <si>
    <t xml:space="preserve">6736</t>
  </si>
  <si>
    <t xml:space="preserve">Obligaciones comerciales</t>
  </si>
  <si>
    <t xml:space="preserve">6741</t>
  </si>
  <si>
    <t xml:space="preserve">Pérdida en instrumentos vendidos</t>
  </si>
  <si>
    <t xml:space="preserve">675</t>
  </si>
  <si>
    <t xml:space="preserve">Descuentos concedidos por pronto pago</t>
  </si>
  <si>
    <t xml:space="preserve">676</t>
  </si>
  <si>
    <t xml:space="preserve">Diferencia de cambio</t>
  </si>
  <si>
    <t xml:space="preserve">6771</t>
  </si>
  <si>
    <t xml:space="preserve">Inversiones mantenidas para negociación</t>
  </si>
  <si>
    <t xml:space="preserve">6772</t>
  </si>
  <si>
    <t xml:space="preserve">Otras inversiones financieras</t>
  </si>
  <si>
    <t xml:space="preserve">6773</t>
  </si>
  <si>
    <t xml:space="preserve">6781</t>
  </si>
  <si>
    <t xml:space="preserve">Participación en los resultados de subsidiarias y asociadas bajo el método del valor patrimonial</t>
  </si>
  <si>
    <t xml:space="preserve">6782</t>
  </si>
  <si>
    <t xml:space="preserve">Participaciones en negocios conjuntos</t>
  </si>
  <si>
    <t xml:space="preserve">6791</t>
  </si>
  <si>
    <t xml:space="preserve">Primas por opciones</t>
  </si>
  <si>
    <t xml:space="preserve">6792</t>
  </si>
  <si>
    <t xml:space="preserve">Gastos financieros en medición a valor descontado</t>
  </si>
  <si>
    <t xml:space="preserve">6793</t>
  </si>
  <si>
    <t xml:space="preserve">Gastos financieros en actualización de activos por derecho de uso</t>
  </si>
  <si>
    <t xml:space="preserve">68111</t>
  </si>
  <si>
    <t xml:space="preserve">68112</t>
  </si>
  <si>
    <t xml:space="preserve">68113</t>
  </si>
  <si>
    <t xml:space="preserve">682111</t>
  </si>
  <si>
    <t xml:space="preserve">682112</t>
  </si>
  <si>
    <t xml:space="preserve">682113</t>
  </si>
  <si>
    <t xml:space="preserve">682211</t>
  </si>
  <si>
    <t xml:space="preserve">682212</t>
  </si>
  <si>
    <t xml:space="preserve">682213</t>
  </si>
  <si>
    <t xml:space="preserve">682221</t>
  </si>
  <si>
    <t xml:space="preserve">682222</t>
  </si>
  <si>
    <t xml:space="preserve">682223</t>
  </si>
  <si>
    <t xml:space="preserve">682231</t>
  </si>
  <si>
    <t xml:space="preserve">682232</t>
  </si>
  <si>
    <t xml:space="preserve">682251</t>
  </si>
  <si>
    <t xml:space="preserve">682252</t>
  </si>
  <si>
    <t xml:space="preserve">683111</t>
  </si>
  <si>
    <t xml:space="preserve">683112</t>
  </si>
  <si>
    <t xml:space="preserve">683121</t>
  </si>
  <si>
    <t xml:space="preserve">683122</t>
  </si>
  <si>
    <t xml:space="preserve">683131</t>
  </si>
  <si>
    <t xml:space="preserve">683132</t>
  </si>
  <si>
    <t xml:space="preserve">68315</t>
  </si>
  <si>
    <t xml:space="preserve">683351</t>
  </si>
  <si>
    <t xml:space="preserve">683152</t>
  </si>
  <si>
    <t xml:space="preserve">68410</t>
  </si>
  <si>
    <t xml:space="preserve">68411</t>
  </si>
  <si>
    <t xml:space="preserve">68412</t>
  </si>
  <si>
    <t xml:space="preserve">68413</t>
  </si>
  <si>
    <t xml:space="preserve">68414</t>
  </si>
  <si>
    <t xml:space="preserve">68415</t>
  </si>
  <si>
    <t xml:space="preserve">68416</t>
  </si>
  <si>
    <t xml:space="preserve">68420</t>
  </si>
  <si>
    <t xml:space="preserve">68421</t>
  </si>
  <si>
    <t xml:space="preserve">68422</t>
  </si>
  <si>
    <t xml:space="preserve">68423</t>
  </si>
  <si>
    <t xml:space="preserve">68424</t>
  </si>
  <si>
    <t xml:space="preserve">68425</t>
  </si>
  <si>
    <t xml:space="preserve">68426</t>
  </si>
  <si>
    <t xml:space="preserve">68430</t>
  </si>
  <si>
    <t xml:space="preserve">68431</t>
  </si>
  <si>
    <t xml:space="preserve">68432</t>
  </si>
  <si>
    <t xml:space="preserve">68511</t>
  </si>
  <si>
    <t xml:space="preserve">Activos biológicos de origen animal</t>
  </si>
  <si>
    <t xml:space="preserve">68512</t>
  </si>
  <si>
    <t xml:space="preserve">Activos biológicos de origen vegetal</t>
  </si>
  <si>
    <t xml:space="preserve">68521</t>
  </si>
  <si>
    <t xml:space="preserve">68522</t>
  </si>
  <si>
    <t xml:space="preserve">68611</t>
  </si>
  <si>
    <t xml:space="preserve">68612</t>
  </si>
  <si>
    <t xml:space="preserve">68613</t>
  </si>
  <si>
    <t xml:space="preserve">68614</t>
  </si>
  <si>
    <t xml:space="preserve">68615</t>
  </si>
  <si>
    <t xml:space="preserve">68619</t>
  </si>
  <si>
    <t xml:space="preserve">68621</t>
  </si>
  <si>
    <t xml:space="preserve">68622</t>
  </si>
  <si>
    <t xml:space="preserve">68623</t>
  </si>
  <si>
    <t xml:space="preserve">68624</t>
  </si>
  <si>
    <t xml:space="preserve">68625</t>
  </si>
  <si>
    <t xml:space="preserve">68629</t>
  </si>
  <si>
    <t xml:space="preserve">68711</t>
  </si>
  <si>
    <t xml:space="preserve">Cuentas por cobrar comerciales – Terceros</t>
  </si>
  <si>
    <t xml:space="preserve">68712</t>
  </si>
  <si>
    <t xml:space="preserve">Cuentas por cobrar comerciales – Relacionadas</t>
  </si>
  <si>
    <t xml:space="preserve">68713</t>
  </si>
  <si>
    <t xml:space="preserve">Cuentas por cobrar al personal, a los accionistas (socios) y directores</t>
  </si>
  <si>
    <t xml:space="preserve">68714</t>
  </si>
  <si>
    <t xml:space="preserve">Cuentas por cobrar diversas – Terceros</t>
  </si>
  <si>
    <t xml:space="preserve">68715</t>
  </si>
  <si>
    <t xml:space="preserve">Cuentas por cobrar diversas – Relacionadas</t>
  </si>
  <si>
    <t xml:space="preserve">68731</t>
  </si>
  <si>
    <t xml:space="preserve">Inversiones a ser mantenidas hasta el vencimiento</t>
  </si>
  <si>
    <t xml:space="preserve">68732</t>
  </si>
  <si>
    <t xml:space="preserve">Instrumentos financieros representativos de derecho patrimonial</t>
  </si>
  <si>
    <t xml:space="preserve">68812</t>
  </si>
  <si>
    <t xml:space="preserve">68813</t>
  </si>
  <si>
    <t xml:space="preserve">Construcciones en curso</t>
  </si>
  <si>
    <t xml:space="preserve">68820</t>
  </si>
  <si>
    <t xml:space="preserve">68821</t>
  </si>
  <si>
    <t xml:space="preserve">68822</t>
  </si>
  <si>
    <t xml:space="preserve">68823</t>
  </si>
  <si>
    <t xml:space="preserve">68824</t>
  </si>
  <si>
    <t xml:space="preserve">68825</t>
  </si>
  <si>
    <t xml:space="preserve">68826</t>
  </si>
  <si>
    <t xml:space="preserve">68827</t>
  </si>
  <si>
    <t xml:space="preserve">68828</t>
  </si>
  <si>
    <t xml:space="preserve">68830</t>
  </si>
  <si>
    <t xml:space="preserve">68831</t>
  </si>
  <si>
    <t xml:space="preserve">68832</t>
  </si>
  <si>
    <t xml:space="preserve">68833</t>
  </si>
  <si>
    <t xml:space="preserve">68834</t>
  </si>
  <si>
    <t xml:space="preserve">68835</t>
  </si>
  <si>
    <t xml:space="preserve">68836</t>
  </si>
  <si>
    <t xml:space="preserve">68837</t>
  </si>
  <si>
    <t xml:space="preserve">68838</t>
  </si>
  <si>
    <t xml:space="preserve">68841</t>
  </si>
  <si>
    <t xml:space="preserve">68842</t>
  </si>
  <si>
    <t xml:space="preserve">68843</t>
  </si>
  <si>
    <t xml:space="preserve">68844</t>
  </si>
  <si>
    <t xml:space="preserve">68845</t>
  </si>
  <si>
    <t xml:space="preserve">68846</t>
  </si>
  <si>
    <t xml:space="preserve">68847</t>
  </si>
  <si>
    <t xml:space="preserve">68891</t>
  </si>
  <si>
    <t xml:space="preserve">68892</t>
  </si>
  <si>
    <t xml:space="preserve">68911</t>
  </si>
  <si>
    <t xml:space="preserve">Provisión para litigios – Costo</t>
  </si>
  <si>
    <t xml:space="preserve">68912</t>
  </si>
  <si>
    <t xml:space="preserve">Provisión para litigios – Actualización financiera</t>
  </si>
  <si>
    <t xml:space="preserve">68921</t>
  </si>
  <si>
    <t xml:space="preserve">Provisión por desmantelamiento, retiro o rehabilitación del inmovilizado – Costo</t>
  </si>
  <si>
    <t xml:space="preserve">68922</t>
  </si>
  <si>
    <t xml:space="preserve">Provisión por desmantelamiento, retiro o rehabilitación del inmovilizado – Actualización financiera</t>
  </si>
  <si>
    <t xml:space="preserve">6893</t>
  </si>
  <si>
    <t xml:space="preserve">68941</t>
  </si>
  <si>
    <t xml:space="preserve">Provisión para protección y remediación del medio ambiente – Costo</t>
  </si>
  <si>
    <t xml:space="preserve">68942</t>
  </si>
  <si>
    <t xml:space="preserve">Provisión para protección y remediación del medio ambiente – Actualización financiera</t>
  </si>
  <si>
    <t xml:space="preserve">68961</t>
  </si>
  <si>
    <t xml:space="preserve">Provisión para garantías – Costo</t>
  </si>
  <si>
    <t xml:space="preserve">68962</t>
  </si>
  <si>
    <t xml:space="preserve">Provisión para garantías – Actualización financiera</t>
  </si>
  <si>
    <t xml:space="preserve">68971</t>
  </si>
  <si>
    <t xml:space="preserve">Provisión por activos por derecho de uso arrendamiento operativo</t>
  </si>
  <si>
    <t xml:space="preserve">68972</t>
  </si>
  <si>
    <t xml:space="preserve">Provisión por activos por derecho de uso arrendamiento operativo - actualización financiera</t>
  </si>
  <si>
    <t xml:space="preserve">6899</t>
  </si>
  <si>
    <t xml:space="preserve">69111</t>
  </si>
  <si>
    <t xml:space="preserve">Terceros</t>
  </si>
  <si>
    <t xml:space="preserve">69112</t>
  </si>
  <si>
    <t xml:space="preserve">Relacionadas</t>
  </si>
  <si>
    <t xml:space="preserve">69121</t>
  </si>
  <si>
    <t xml:space="preserve">69122</t>
  </si>
  <si>
    <t xml:space="preserve">69211</t>
  </si>
  <si>
    <t xml:space="preserve">69212</t>
  </si>
  <si>
    <t xml:space="preserve">69221</t>
  </si>
  <si>
    <t xml:space="preserve">69222</t>
  </si>
  <si>
    <t xml:space="preserve">69231</t>
  </si>
  <si>
    <t xml:space="preserve">69232</t>
  </si>
  <si>
    <t xml:space="preserve">6924</t>
  </si>
  <si>
    <t xml:space="preserve">Costos de producción no absorbido – Productos terminados</t>
  </si>
  <si>
    <t xml:space="preserve">6925</t>
  </si>
  <si>
    <t xml:space="preserve">Costo de ineficiencia – Productos terminados</t>
  </si>
  <si>
    <t xml:space="preserve">69311</t>
  </si>
  <si>
    <t xml:space="preserve">69312</t>
  </si>
  <si>
    <t xml:space="preserve">69321</t>
  </si>
  <si>
    <t xml:space="preserve">69322</t>
  </si>
  <si>
    <t xml:space="preserve">69411</t>
  </si>
  <si>
    <t xml:space="preserve">69412</t>
  </si>
  <si>
    <t xml:space="preserve">69421</t>
  </si>
  <si>
    <t xml:space="preserve">69422</t>
  </si>
  <si>
    <t xml:space="preserve">6951</t>
  </si>
  <si>
    <t xml:space="preserve">6952</t>
  </si>
  <si>
    <t xml:space="preserve">6953</t>
  </si>
  <si>
    <t xml:space="preserve">Subproductos, desechos y desperdicios</t>
  </si>
  <si>
    <t xml:space="preserve">6954</t>
  </si>
  <si>
    <t xml:space="preserve">Productos en proceso</t>
  </si>
  <si>
    <t xml:space="preserve">6955</t>
  </si>
  <si>
    <t xml:space="preserve">6956</t>
  </si>
  <si>
    <t xml:space="preserve">6957</t>
  </si>
  <si>
    <t xml:space="preserve">6958</t>
  </si>
  <si>
    <t xml:space="preserve">Inventarios por recibir</t>
  </si>
  <si>
    <t xml:space="preserve">70111</t>
  </si>
  <si>
    <t xml:space="preserve">7</t>
  </si>
  <si>
    <t xml:space="preserve">70112</t>
  </si>
  <si>
    <t xml:space="preserve">7012</t>
  </si>
  <si>
    <t xml:space="preserve">Mercaderías - venta local</t>
  </si>
  <si>
    <t xml:space="preserve">70211</t>
  </si>
  <si>
    <t xml:space="preserve">70212</t>
  </si>
  <si>
    <t xml:space="preserve">70221</t>
  </si>
  <si>
    <t xml:space="preserve">70222</t>
  </si>
  <si>
    <t xml:space="preserve">70311</t>
  </si>
  <si>
    <t xml:space="preserve">70312</t>
  </si>
  <si>
    <t xml:space="preserve">70321</t>
  </si>
  <si>
    <t xml:space="preserve">70322</t>
  </si>
  <si>
    <t xml:space="preserve">70411</t>
  </si>
  <si>
    <t xml:space="preserve">70412</t>
  </si>
  <si>
    <t xml:space="preserve">70421</t>
  </si>
  <si>
    <t xml:space="preserve">70422</t>
  </si>
  <si>
    <t xml:space="preserve">70911</t>
  </si>
  <si>
    <t xml:space="preserve">70912</t>
  </si>
  <si>
    <t xml:space="preserve">70921</t>
  </si>
  <si>
    <t xml:space="preserve">70922</t>
  </si>
  <si>
    <t xml:space="preserve">70931</t>
  </si>
  <si>
    <t xml:space="preserve">70932</t>
  </si>
  <si>
    <t xml:space="preserve">70941</t>
  </si>
  <si>
    <t xml:space="preserve">70942</t>
  </si>
  <si>
    <t xml:space="preserve">70951</t>
  </si>
  <si>
    <t xml:space="preserve">70952</t>
  </si>
  <si>
    <t xml:space="preserve">70961</t>
  </si>
  <si>
    <t xml:space="preserve">70962</t>
  </si>
  <si>
    <t xml:space="preserve">7111</t>
  </si>
  <si>
    <t xml:space="preserve">7121</t>
  </si>
  <si>
    <t xml:space="preserve">7122</t>
  </si>
  <si>
    <t xml:space="preserve">7131</t>
  </si>
  <si>
    <t xml:space="preserve">Productos en proceso de manufactura</t>
  </si>
  <si>
    <t xml:space="preserve">7141</t>
  </si>
  <si>
    <t xml:space="preserve">7142</t>
  </si>
  <si>
    <t xml:space="preserve">7151</t>
  </si>
  <si>
    <t xml:space="preserve">Inventarios de servicios en proceso</t>
  </si>
  <si>
    <t xml:space="preserve">7211</t>
  </si>
  <si>
    <t xml:space="preserve">7220</t>
  </si>
  <si>
    <t xml:space="preserve">Planta productora</t>
  </si>
  <si>
    <t xml:space="preserve">7221</t>
  </si>
  <si>
    <t xml:space="preserve">7222</t>
  </si>
  <si>
    <t xml:space="preserve">Maquinarias y otros equipos de explotación</t>
  </si>
  <si>
    <t xml:space="preserve">7223</t>
  </si>
  <si>
    <t xml:space="preserve">7224</t>
  </si>
  <si>
    <t xml:space="preserve">7225</t>
  </si>
  <si>
    <t xml:space="preserve">7231</t>
  </si>
  <si>
    <t xml:space="preserve">7232</t>
  </si>
  <si>
    <t xml:space="preserve">7233</t>
  </si>
  <si>
    <t xml:space="preserve">7241</t>
  </si>
  <si>
    <t xml:space="preserve">Activos biológicos en desarrollo de origen animal</t>
  </si>
  <si>
    <t xml:space="preserve">7242</t>
  </si>
  <si>
    <t xml:space="preserve">Activos biológicos en desarrollo de origen vegetal</t>
  </si>
  <si>
    <t xml:space="preserve">72511</t>
  </si>
  <si>
    <t xml:space="preserve">Plantas productoras en desarrollo</t>
  </si>
  <si>
    <t xml:space="preserve">72512</t>
  </si>
  <si>
    <t xml:space="preserve">72521</t>
  </si>
  <si>
    <t xml:space="preserve">72522</t>
  </si>
  <si>
    <t xml:space="preserve">72523</t>
  </si>
  <si>
    <t xml:space="preserve">7253</t>
  </si>
  <si>
    <t xml:space="preserve">Costos de financiación – Intangibles</t>
  </si>
  <si>
    <t xml:space="preserve">72541</t>
  </si>
  <si>
    <t xml:space="preserve">72542</t>
  </si>
  <si>
    <t xml:space="preserve">7311</t>
  </si>
  <si>
    <t xml:space="preserve">7312</t>
  </si>
  <si>
    <t xml:space="preserve">7411</t>
  </si>
  <si>
    <t xml:space="preserve">7412</t>
  </si>
  <si>
    <t xml:space="preserve">751</t>
  </si>
  <si>
    <t xml:space="preserve">Servicios en beneficio del personal</t>
  </si>
  <si>
    <t xml:space="preserve">752</t>
  </si>
  <si>
    <t xml:space="preserve">Comisiones y corretajes</t>
  </si>
  <si>
    <t xml:space="preserve">753</t>
  </si>
  <si>
    <t xml:space="preserve">7540</t>
  </si>
  <si>
    <t xml:space="preserve">7541</t>
  </si>
  <si>
    <t xml:space="preserve">7542</t>
  </si>
  <si>
    <t xml:space="preserve">7543</t>
  </si>
  <si>
    <t xml:space="preserve">7544</t>
  </si>
  <si>
    <t xml:space="preserve">7545</t>
  </si>
  <si>
    <t xml:space="preserve">7551</t>
  </si>
  <si>
    <t xml:space="preserve">Recuperación – Cuentas de cobranza dudosa</t>
  </si>
  <si>
    <t xml:space="preserve">7552</t>
  </si>
  <si>
    <t xml:space="preserve">Recuperación – Desvalorización de inventarios</t>
  </si>
  <si>
    <t xml:space="preserve">7553</t>
  </si>
  <si>
    <t xml:space="preserve">Recuperación – Desvalorización de inversiones mobiliarias</t>
  </si>
  <si>
    <t xml:space="preserve">7561</t>
  </si>
  <si>
    <t xml:space="preserve">7562</t>
  </si>
  <si>
    <t xml:space="preserve">7563</t>
  </si>
  <si>
    <t xml:space="preserve">7564</t>
  </si>
  <si>
    <t xml:space="preserve">7565</t>
  </si>
  <si>
    <t xml:space="preserve">7566</t>
  </si>
  <si>
    <t xml:space="preserve">7571</t>
  </si>
  <si>
    <t xml:space="preserve">Recuperación de deterioro de propiedades de inversión</t>
  </si>
  <si>
    <t xml:space="preserve">7572</t>
  </si>
  <si>
    <t xml:space="preserve">Recuperación de deterioro de propiedad, planta y equipo</t>
  </si>
  <si>
    <t xml:space="preserve">7573</t>
  </si>
  <si>
    <t xml:space="preserve">Recuperación de deterioro de intangibles</t>
  </si>
  <si>
    <t xml:space="preserve">7574</t>
  </si>
  <si>
    <t xml:space="preserve">Recuperación de deterioro de activos biológicos</t>
  </si>
  <si>
    <t xml:space="preserve">7591</t>
  </si>
  <si>
    <t xml:space="preserve">7592</t>
  </si>
  <si>
    <t xml:space="preserve">Reclamos al seguro</t>
  </si>
  <si>
    <t xml:space="preserve">7593</t>
  </si>
  <si>
    <t xml:space="preserve">7594</t>
  </si>
  <si>
    <t xml:space="preserve">Devoluciones tributarias</t>
  </si>
  <si>
    <t xml:space="preserve">7599</t>
  </si>
  <si>
    <t xml:space="preserve">Otros ingresos de gestión</t>
  </si>
  <si>
    <t xml:space="preserve">7611</t>
  </si>
  <si>
    <t xml:space="preserve">7612</t>
  </si>
  <si>
    <t xml:space="preserve">76131</t>
  </si>
  <si>
    <t xml:space="preserve">76132</t>
  </si>
  <si>
    <t xml:space="preserve">76133</t>
  </si>
  <si>
    <t xml:space="preserve">76134</t>
  </si>
  <si>
    <t xml:space="preserve">7621</t>
  </si>
  <si>
    <t xml:space="preserve">7622</t>
  </si>
  <si>
    <t xml:space="preserve">771</t>
  </si>
  <si>
    <t xml:space="preserve">Ganancia por instrumento financiero derivado</t>
  </si>
  <si>
    <t xml:space="preserve">7721</t>
  </si>
  <si>
    <t xml:space="preserve">Depósitos en instituciones financieras</t>
  </si>
  <si>
    <t xml:space="preserve">7722</t>
  </si>
  <si>
    <t xml:space="preserve">Cuentas por cobrar comerciales</t>
  </si>
  <si>
    <t xml:space="preserve">7723</t>
  </si>
  <si>
    <t xml:space="preserve">Préstamos otorgados</t>
  </si>
  <si>
    <t xml:space="preserve">7724</t>
  </si>
  <si>
    <t xml:space="preserve">7725</t>
  </si>
  <si>
    <t xml:space="preserve">773</t>
  </si>
  <si>
    <t xml:space="preserve">774</t>
  </si>
  <si>
    <t xml:space="preserve">Ingresos en operaciones de factoraje (factoring)</t>
  </si>
  <si>
    <t xml:space="preserve">775</t>
  </si>
  <si>
    <t xml:space="preserve">Descuentos obtenidos por pronto pago</t>
  </si>
  <si>
    <t xml:space="preserve">776</t>
  </si>
  <si>
    <t xml:space="preserve">Diferencia en cambio</t>
  </si>
  <si>
    <t xml:space="preserve">7771</t>
  </si>
  <si>
    <t xml:space="preserve">7772</t>
  </si>
  <si>
    <t xml:space="preserve">Otras inversiones</t>
  </si>
  <si>
    <t xml:space="preserve">7773</t>
  </si>
  <si>
    <t xml:space="preserve">7781</t>
  </si>
  <si>
    <t xml:space="preserve">7782</t>
  </si>
  <si>
    <t xml:space="preserve">Ingresos por participaciones en negocios conjuntos</t>
  </si>
  <si>
    <t xml:space="preserve">7792</t>
  </si>
  <si>
    <t xml:space="preserve">Ingresos financieros en medición a valor descontado</t>
  </si>
  <si>
    <t xml:space="preserve">781</t>
  </si>
  <si>
    <t xml:space="preserve">Cargas cubiertas por provisiones</t>
  </si>
  <si>
    <t xml:space="preserve">791</t>
  </si>
  <si>
    <t xml:space="preserve">Cargas imputables a cuentas de costos y gastos</t>
  </si>
  <si>
    <t xml:space="preserve">792</t>
  </si>
  <si>
    <t xml:space="preserve">Gastos financieros imputables a cuentas de inventarios</t>
  </si>
  <si>
    <t xml:space="preserve">801</t>
  </si>
  <si>
    <t xml:space="preserve">Margen comercial</t>
  </si>
  <si>
    <t xml:space="preserve">8</t>
  </si>
  <si>
    <t xml:space="preserve">811</t>
  </si>
  <si>
    <t xml:space="preserve">Producción de bienes</t>
  </si>
  <si>
    <t xml:space="preserve">812</t>
  </si>
  <si>
    <t xml:space="preserve">Producción de servicios</t>
  </si>
  <si>
    <t xml:space="preserve">813</t>
  </si>
  <si>
    <t xml:space="preserve">Producción de activo inmovilizado</t>
  </si>
  <si>
    <t xml:space="preserve">821</t>
  </si>
  <si>
    <t xml:space="preserve">Valor agregado</t>
  </si>
  <si>
    <t xml:space="preserve">831</t>
  </si>
  <si>
    <t xml:space="preserve">Excedente bruto (insuficiencia bruta) de explotación</t>
  </si>
  <si>
    <t xml:space="preserve">841</t>
  </si>
  <si>
    <t xml:space="preserve">Resultado de explotación</t>
  </si>
  <si>
    <t xml:space="preserve">851</t>
  </si>
  <si>
    <t xml:space="preserve">Resultado antes del impuesto a las ganancias</t>
  </si>
  <si>
    <t xml:space="preserve">881</t>
  </si>
  <si>
    <t xml:space="preserve">Impuesto a las ganancias – Corriente</t>
  </si>
  <si>
    <t xml:space="preserve">882</t>
  </si>
  <si>
    <t xml:space="preserve">Impuesto a las ganancias – Diferido</t>
  </si>
  <si>
    <t xml:space="preserve">891</t>
  </si>
  <si>
    <t xml:space="preserve">Utilidad</t>
  </si>
  <si>
    <t xml:space="preserve">892</t>
  </si>
  <si>
    <t xml:space="preserve">01</t>
  </si>
  <si>
    <t xml:space="preserve">Bienes en Poder de Terceros</t>
  </si>
  <si>
    <t xml:space="preserve">0</t>
  </si>
  <si>
    <t xml:space="preserve">02</t>
  </si>
  <si>
    <t xml:space="preserve">Bienes de Terceros en Poder de la Empresa</t>
  </si>
  <si>
    <t xml:space="preserve">03</t>
  </si>
  <si>
    <t xml:space="preserve">Contingencias y Compromisos</t>
  </si>
  <si>
    <t xml:space="preserve">04</t>
  </si>
  <si>
    <t xml:space="preserve">Otras Cuentas de Orden Deudoras / Control Presupuestario</t>
  </si>
  <si>
    <t xml:space="preserve">06</t>
  </si>
  <si>
    <t xml:space="preserve">Contrapartida de Bienes en Poder de Terceros</t>
  </si>
  <si>
    <t xml:space="preserve">07</t>
  </si>
  <si>
    <t xml:space="preserve">Contrapartida de Bienes de Terceros en Poder de la Empresa</t>
  </si>
  <si>
    <t xml:space="preserve">08</t>
  </si>
  <si>
    <t xml:space="preserve">Contrapartida de Contingencias y Compromisos</t>
  </si>
  <si>
    <t xml:space="preserve">09</t>
  </si>
  <si>
    <t xml:space="preserve">Contrapartida de Otras Cuentas de Orden</t>
  </si>
  <si>
    <t xml:space="preserve">901</t>
  </si>
  <si>
    <t xml:space="preserve">Materia Prima Directa</t>
  </si>
  <si>
    <t xml:space="preserve">9</t>
  </si>
  <si>
    <t xml:space="preserve">902</t>
  </si>
  <si>
    <t xml:space="preserve">Mano de Obra Directa</t>
  </si>
  <si>
    <t xml:space="preserve">903</t>
  </si>
  <si>
    <t xml:space="preserve">Gastos Indirectos de Fabricación</t>
  </si>
  <si>
    <t xml:space="preserve">91</t>
  </si>
  <si>
    <t xml:space="preserve">Costo del Servicio</t>
  </si>
  <si>
    <t xml:space="preserve">92</t>
  </si>
  <si>
    <t xml:space="preserve">Costos por Distribuir</t>
  </si>
  <si>
    <t xml:space="preserve">94</t>
  </si>
  <si>
    <t xml:space="preserve">Gastos Administrativos</t>
  </si>
  <si>
    <t xml:space="preserve">95</t>
  </si>
  <si>
    <t xml:space="preserve">Gastos de Ventas</t>
  </si>
  <si>
    <t xml:space="preserve">97</t>
  </si>
  <si>
    <t xml:space="preserve">Gastos Financieros</t>
  </si>
  <si>
    <t xml:space="preserve">TOTAL</t>
  </si>
  <si>
    <t xml:space="preserve">ESTADO DE RESULTADOS (por naturaleza)</t>
  </si>
  <si>
    <t xml:space="preserve">Se calcula automáticamente a partir del Balance de Comprobación (elementos 6 y 7 del PCGE). Solo complete la celda amarilla del Impuesto a la Renta.</t>
  </si>
  <si>
    <t xml:space="preserve">INGRESOS DE ACTIVIDADES ORDINARIAS</t>
  </si>
  <si>
    <t xml:space="preserve">70  Ventas</t>
  </si>
  <si>
    <t xml:space="preserve">(-) 74  Descuentos, rebajas y bonificaciones concedidas</t>
  </si>
  <si>
    <t xml:space="preserve">Ventas netas</t>
  </si>
  <si>
    <t xml:space="preserve">73  Descuentos, rebajas y bonificaciones obtenidas</t>
  </si>
  <si>
    <t xml:space="preserve">75  Otros ingresos de gestión</t>
  </si>
  <si>
    <t xml:space="preserve">71  Variación de la producción almacenada</t>
  </si>
  <si>
    <t xml:space="preserve">72  Producción de activo inmovilizado</t>
  </si>
  <si>
    <t xml:space="preserve">76  Ganancia por medición de activos no financieros al valor razonable</t>
  </si>
  <si>
    <t xml:space="preserve">77  Ingresos financieros</t>
  </si>
  <si>
    <t xml:space="preserve">78  Cargas cubiertas por provisiones</t>
  </si>
  <si>
    <t xml:space="preserve">TOTAL INGRESOS</t>
  </si>
  <si>
    <t xml:space="preserve">GASTOS</t>
  </si>
  <si>
    <t xml:space="preserve">60  Compras</t>
  </si>
  <si>
    <t xml:space="preserve">61  Variación de existencias</t>
  </si>
  <si>
    <t xml:space="preserve">62  Gastos de personal, directores y gerentes</t>
  </si>
  <si>
    <t xml:space="preserve">63  Gastos de servicios prestados por terceros</t>
  </si>
  <si>
    <t xml:space="preserve">64  Gastos por tributos</t>
  </si>
  <si>
    <t xml:space="preserve">65  Otros gastos de gestión</t>
  </si>
  <si>
    <t xml:space="preserve">66  Pérdida por medición de activos no financieros al valor razonable</t>
  </si>
  <si>
    <t xml:space="preserve">67  Gastos financieros</t>
  </si>
  <si>
    <t xml:space="preserve">68  Valuación y deterioro de activos y provisiones</t>
  </si>
  <si>
    <t xml:space="preserve">69  Costo de ventas</t>
  </si>
  <si>
    <t xml:space="preserve">79  Cargas imputables a cuentas de costos y gastos</t>
  </si>
  <si>
    <t xml:space="preserve">TOTAL GASTOS</t>
  </si>
  <si>
    <t xml:space="preserve">RESULTADO ANTES DE IMPUESTO A LA RENTA</t>
  </si>
  <si>
    <t xml:space="preserve">Impuesto a la renta (ingréselo manualmente)</t>
  </si>
  <si>
    <t xml:space="preserve">RESULTADO NETO DEL EJERCICIO</t>
  </si>
  <si>
    <t xml:space="preserve">ESTADO DE SITUACIÓN FINANCIERA</t>
  </si>
  <si>
    <t xml:space="preserve">Se calcula automáticamente a partir del Balance de Comprobación (elementos 1 a 5 del PCGE) y del Estado de Resultados (utilidad o pérdida del ejercicio).</t>
  </si>
  <si>
    <t xml:space="preserve">ACTIVO</t>
  </si>
  <si>
    <t xml:space="preserve">Elemento 1 - Activo disponible y exigible (10 a 19)</t>
  </si>
  <si>
    <t xml:space="preserve">Elemento 2 - Activo realizable (20 a 29)</t>
  </si>
  <si>
    <t xml:space="preserve">Elemento 3 - Activo inmovilizado (30 a 39)</t>
  </si>
  <si>
    <t xml:space="preserve">TOTAL ACTIVO</t>
  </si>
  <si>
    <t xml:space="preserve">PASIVO</t>
  </si>
  <si>
    <t xml:space="preserve">Elemento 4 - Pasivo (40 a 49)</t>
  </si>
  <si>
    <t xml:space="preserve">TOTAL PASIVO</t>
  </si>
  <si>
    <t xml:space="preserve">PATRIMONIO</t>
  </si>
  <si>
    <t xml:space="preserve">Elemento 5 - Patrimonio (50 a 59)</t>
  </si>
  <si>
    <t xml:space="preserve">Resultado del ejercicio (según Estado de Resultados)</t>
  </si>
  <si>
    <t xml:space="preserve">TOTAL PATRIMONIO</t>
  </si>
  <si>
    <t xml:space="preserve">TOTAL PASIVO + PATRIMONIO</t>
  </si>
  <si>
    <t xml:space="preserve">Diferencia (Activo - Pasivo - Patrimonio; debe ser 0)</t>
  </si>
  <si>
    <t xml:space="preserve">PLAN DE CUENTAS (PCGE 2019) - Lista para uso en fórmulas</t>
  </si>
  <si>
    <t xml:space="preserve">Cuentas de máximo detalle del PCGE 2019. Esta hoja alimenta el Libro Diario y el Balance de Comprobación mediante fórmulas. No la reordene ni borre filas.</t>
  </si>
  <si>
    <t xml:space="preserve">Nombre del Elemento</t>
  </si>
  <si>
    <t xml:space="preserve">ACTIVO DISPONIBLE Y EXIGIBLE</t>
  </si>
  <si>
    <t xml:space="preserve">ACTIVO REALIZABLE</t>
  </si>
  <si>
    <t xml:space="preserve">ACTIVO INMOVILIZADO</t>
  </si>
  <si>
    <t xml:space="preserve">PATRIMONIO NETO</t>
  </si>
  <si>
    <t xml:space="preserve">GASTOS POR NATURALEZA</t>
  </si>
  <si>
    <t xml:space="preserve">INGRESOS</t>
  </si>
  <si>
    <t xml:space="preserve">SALDOS INTERMEDIARIOS DE GESTIÓN Y DETERMINACIÓN DEL RESULTADO DEL EJERCICIO</t>
  </si>
  <si>
    <t xml:space="preserve">CUENTAS DE ORDEN</t>
  </si>
  <si>
    <t xml:space="preserve">Contabilidad Analítica De Explotación (Costos Y Gastos Por Función)</t>
  </si>
  <si>
    <t xml:space="preserve">PLAN CONTABLE GENERAL EMPRESARIAL (PCGE 2019) - PERÚ</t>
  </si>
  <si>
    <t xml:space="preserve">Catálogo completo (Capítulo II del PCGE 2019, Res. CNC). Complete solo las celdas amarillas de la columna Monto (S/), que corresponden a las cuentas de mayor detalle. Use los botones [+/-] del margen izquierdo para expandir o contraer niveles.</t>
  </si>
  <si>
    <t xml:space="preserve">ELEMENTO 1: ACTIVO DISPONIBLE Y EXIGIBLE</t>
  </si>
  <si>
    <t xml:space="preserve">10</t>
  </si>
  <si>
    <t xml:space="preserve">EFECTIVO Y EQUIVALENTES DE EFECTIVO</t>
  </si>
  <si>
    <t xml:space="preserve">103</t>
  </si>
  <si>
    <t xml:space="preserve">Efectivo y cheques en tránsito</t>
  </si>
  <si>
    <t xml:space="preserve">104</t>
  </si>
  <si>
    <t xml:space="preserve">Cuentas corrientes en instituciones financieras</t>
  </si>
  <si>
    <t xml:space="preserve">105</t>
  </si>
  <si>
    <t xml:space="preserve">Otros equivalentes de efectivo</t>
  </si>
  <si>
    <t xml:space="preserve">106</t>
  </si>
  <si>
    <t xml:space="preserve">107</t>
  </si>
  <si>
    <t xml:space="preserve">Fondos sujetos a restricción</t>
  </si>
  <si>
    <t xml:space="preserve">11</t>
  </si>
  <si>
    <t xml:space="preserve">INVERSIONES FINANCIERAS</t>
  </si>
  <si>
    <t xml:space="preserve">111</t>
  </si>
  <si>
    <t xml:space="preserve">1111</t>
  </si>
  <si>
    <t xml:space="preserve">Valores emitidos o garantizados por el Estado</t>
  </si>
  <si>
    <t xml:space="preserve">1112</t>
  </si>
  <si>
    <t xml:space="preserve">Valores emitidos por el sistema financiero</t>
  </si>
  <si>
    <t xml:space="preserve">1113</t>
  </si>
  <si>
    <t xml:space="preserve">Valores emitidos por entidades</t>
  </si>
  <si>
    <t xml:space="preserve">1114</t>
  </si>
  <si>
    <t xml:space="preserve">Otros títulos representativos de deuda</t>
  </si>
  <si>
    <t xml:space="preserve">1115</t>
  </si>
  <si>
    <t xml:space="preserve">Participaciones en entidades</t>
  </si>
  <si>
    <t xml:space="preserve">112</t>
  </si>
  <si>
    <t xml:space="preserve">1121</t>
  </si>
  <si>
    <t xml:space="preserve">113</t>
  </si>
  <si>
    <t xml:space="preserve">Activos financieros – Acuerdo de compra</t>
  </si>
  <si>
    <t xml:space="preserve">1131</t>
  </si>
  <si>
    <t xml:space="preserve">Inversiones mantenidas para negociación – Acuerdo de compra</t>
  </si>
  <si>
    <t xml:space="preserve">1132</t>
  </si>
  <si>
    <t xml:space="preserve">12</t>
  </si>
  <si>
    <t xml:space="preserve">CUENTAS POR COBRAR COMERCIALES – TERCEROS</t>
  </si>
  <si>
    <t xml:space="preserve">121</t>
  </si>
  <si>
    <t xml:space="preserve">123</t>
  </si>
  <si>
    <t xml:space="preserve">13</t>
  </si>
  <si>
    <t xml:space="preserve">CUENTAS POR COBRAR COMERCIALES – RELACIONADAS</t>
  </si>
  <si>
    <t xml:space="preserve">131</t>
  </si>
  <si>
    <t xml:space="preserve">132</t>
  </si>
  <si>
    <t xml:space="preserve">133</t>
  </si>
  <si>
    <t xml:space="preserve">14</t>
  </si>
  <si>
    <t xml:space="preserve">CUENTAS POR COBRAR AL PERSONAL, A LOS ACCIONISTAS (SOCIOS) y DIRECTORES</t>
  </si>
  <si>
    <t xml:space="preserve">141</t>
  </si>
  <si>
    <t xml:space="preserve">142</t>
  </si>
  <si>
    <t xml:space="preserve">143</t>
  </si>
  <si>
    <t xml:space="preserve">16</t>
  </si>
  <si>
    <t xml:space="preserve">CUENTAS POR COBRAR DIVERSAS – TERCEROS</t>
  </si>
  <si>
    <t xml:space="preserve">161</t>
  </si>
  <si>
    <t xml:space="preserve">162</t>
  </si>
  <si>
    <t xml:space="preserve">163</t>
  </si>
  <si>
    <t xml:space="preserve">164</t>
  </si>
  <si>
    <t xml:space="preserve">165</t>
  </si>
  <si>
    <t xml:space="preserve">166</t>
  </si>
  <si>
    <t xml:space="preserve">1661</t>
  </si>
  <si>
    <t xml:space="preserve">1662</t>
  </si>
  <si>
    <t xml:space="preserve">Instrumentos financieros derivados</t>
  </si>
  <si>
    <t xml:space="preserve">167</t>
  </si>
  <si>
    <t xml:space="preserve">Tributos por acreditar</t>
  </si>
  <si>
    <t xml:space="preserve">169</t>
  </si>
  <si>
    <t xml:space="preserve">17</t>
  </si>
  <si>
    <t xml:space="preserve">CUENTAS POR COBRAR DIVERSAS – RELACIONADAS</t>
  </si>
  <si>
    <t xml:space="preserve">171</t>
  </si>
  <si>
    <t xml:space="preserve">173</t>
  </si>
  <si>
    <t xml:space="preserve">174</t>
  </si>
  <si>
    <t xml:space="preserve">175</t>
  </si>
  <si>
    <t xml:space="preserve">176</t>
  </si>
  <si>
    <t xml:space="preserve">1761</t>
  </si>
  <si>
    <t xml:space="preserve">1762</t>
  </si>
  <si>
    <t xml:space="preserve">18</t>
  </si>
  <si>
    <t xml:space="preserve">SERVICIOS Y OTROS CONTRATADOS POR ANTICIPADO</t>
  </si>
  <si>
    <t xml:space="preserve">19</t>
  </si>
  <si>
    <t xml:space="preserve">ESTIMACIÓN DE CUENTAS DE COBRANZA DUDOSA</t>
  </si>
  <si>
    <t xml:space="preserve">191</t>
  </si>
  <si>
    <t xml:space="preserve">192</t>
  </si>
  <si>
    <t xml:space="preserve">193</t>
  </si>
  <si>
    <t xml:space="preserve">194</t>
  </si>
  <si>
    <t xml:space="preserve">195</t>
  </si>
  <si>
    <t xml:space="preserve">ELEMENTO 2: ACTIVO REALIZABLE</t>
  </si>
  <si>
    <t xml:space="preserve">20</t>
  </si>
  <si>
    <t xml:space="preserve">MERCADERÍAS</t>
  </si>
  <si>
    <t xml:space="preserve">201</t>
  </si>
  <si>
    <t xml:space="preserve">2011</t>
  </si>
  <si>
    <t xml:space="preserve">21</t>
  </si>
  <si>
    <t xml:space="preserve">PRODUCTOS TERMINADOS</t>
  </si>
  <si>
    <t xml:space="preserve">211</t>
  </si>
  <si>
    <t xml:space="preserve">2111</t>
  </si>
  <si>
    <t xml:space="preserve">215</t>
  </si>
  <si>
    <t xml:space="preserve">Inventario de servicios terminados</t>
  </si>
  <si>
    <t xml:space="preserve">2151</t>
  </si>
  <si>
    <t xml:space="preserve">Servicios terminados</t>
  </si>
  <si>
    <t xml:space="preserve">22</t>
  </si>
  <si>
    <t xml:space="preserve">SUBPRODUCTOS, DESECHOS Y DESPERDICIOS</t>
  </si>
  <si>
    <t xml:space="preserve">23</t>
  </si>
  <si>
    <t xml:space="preserve">PRODUCTOS EN PROCESO</t>
  </si>
  <si>
    <t xml:space="preserve">231</t>
  </si>
  <si>
    <t xml:space="preserve">2311</t>
  </si>
  <si>
    <t xml:space="preserve">235</t>
  </si>
  <si>
    <t xml:space="preserve">2351</t>
  </si>
  <si>
    <t xml:space="preserve">Servicios en proceso</t>
  </si>
  <si>
    <t xml:space="preserve">24</t>
  </si>
  <si>
    <t xml:space="preserve">MATERIAS PRIMAS</t>
  </si>
  <si>
    <t xml:space="preserve">241</t>
  </si>
  <si>
    <t xml:space="preserve">2411</t>
  </si>
  <si>
    <t xml:space="preserve">25</t>
  </si>
  <si>
    <t xml:space="preserve">MATERIALES AUXILIARES, SUMINISTROS Y REPUESTOS</t>
  </si>
  <si>
    <t xml:space="preserve">252</t>
  </si>
  <si>
    <t xml:space="preserve">26</t>
  </si>
  <si>
    <t xml:space="preserve">ENVASES Y EMBALAJES</t>
  </si>
  <si>
    <t xml:space="preserve">27</t>
  </si>
  <si>
    <t xml:space="preserve">ACTIVOS NO CORRIENTES MANTENIDOS PARA LA VENTA</t>
  </si>
  <si>
    <t xml:space="preserve">271</t>
  </si>
  <si>
    <t xml:space="preserve">2711</t>
  </si>
  <si>
    <t xml:space="preserve">2712</t>
  </si>
  <si>
    <t xml:space="preserve">272</t>
  </si>
  <si>
    <t xml:space="preserve">2720</t>
  </si>
  <si>
    <t xml:space="preserve">2721</t>
  </si>
  <si>
    <t xml:space="preserve">2722</t>
  </si>
  <si>
    <t xml:space="preserve">2723</t>
  </si>
  <si>
    <t xml:space="preserve">2724</t>
  </si>
  <si>
    <t xml:space="preserve">2725</t>
  </si>
  <si>
    <t xml:space="preserve">2726</t>
  </si>
  <si>
    <t xml:space="preserve">2727</t>
  </si>
  <si>
    <t xml:space="preserve">2728</t>
  </si>
  <si>
    <t xml:space="preserve">2729</t>
  </si>
  <si>
    <t xml:space="preserve">Obras en curso</t>
  </si>
  <si>
    <t xml:space="preserve">273</t>
  </si>
  <si>
    <t xml:space="preserve">2731</t>
  </si>
  <si>
    <t xml:space="preserve">Concesiones, licencias y derechos</t>
  </si>
  <si>
    <t xml:space="preserve">2732</t>
  </si>
  <si>
    <t xml:space="preserve">2733</t>
  </si>
  <si>
    <t xml:space="preserve">2734</t>
  </si>
  <si>
    <t xml:space="preserve">2735</t>
  </si>
  <si>
    <t xml:space="preserve">2739</t>
  </si>
  <si>
    <t xml:space="preserve">274</t>
  </si>
  <si>
    <t xml:space="preserve">2741</t>
  </si>
  <si>
    <t xml:space="preserve">2742</t>
  </si>
  <si>
    <t xml:space="preserve">275</t>
  </si>
  <si>
    <t xml:space="preserve">Depreciación acumulada – Propiedades de inversión</t>
  </si>
  <si>
    <t xml:space="preserve">2752</t>
  </si>
  <si>
    <t xml:space="preserve">276</t>
  </si>
  <si>
    <t xml:space="preserve">Depreciación acumulada – Propiedad, planta y equipo</t>
  </si>
  <si>
    <t xml:space="preserve">2760</t>
  </si>
  <si>
    <t xml:space="preserve">2762</t>
  </si>
  <si>
    <t xml:space="preserve">2763</t>
  </si>
  <si>
    <t xml:space="preserve">Maquinarias y equipo de explotación</t>
  </si>
  <si>
    <t xml:space="preserve">2764</t>
  </si>
  <si>
    <t xml:space="preserve">2765</t>
  </si>
  <si>
    <t xml:space="preserve">2766</t>
  </si>
  <si>
    <t xml:space="preserve">2767</t>
  </si>
  <si>
    <t xml:space="preserve">277</t>
  </si>
  <si>
    <t xml:space="preserve">Amortización acumulada – Intangibles</t>
  </si>
  <si>
    <t xml:space="preserve">2771</t>
  </si>
  <si>
    <t xml:space="preserve">2772</t>
  </si>
  <si>
    <t xml:space="preserve">2773</t>
  </si>
  <si>
    <t xml:space="preserve">2774</t>
  </si>
  <si>
    <t xml:space="preserve">2775</t>
  </si>
  <si>
    <t xml:space="preserve">2779</t>
  </si>
  <si>
    <t xml:space="preserve">278</t>
  </si>
  <si>
    <t xml:space="preserve">Depreciación acumulada – Activos biológicos</t>
  </si>
  <si>
    <t xml:space="preserve">2781</t>
  </si>
  <si>
    <t xml:space="preserve">2782</t>
  </si>
  <si>
    <t xml:space="preserve">279</t>
  </si>
  <si>
    <t xml:space="preserve">Desvalorización acumulada</t>
  </si>
  <si>
    <t xml:space="preserve">2791</t>
  </si>
  <si>
    <t xml:space="preserve">2793</t>
  </si>
  <si>
    <t xml:space="preserve">2794</t>
  </si>
  <si>
    <t xml:space="preserve">2795</t>
  </si>
  <si>
    <t xml:space="preserve">28</t>
  </si>
  <si>
    <t xml:space="preserve">INVENTARIOS POR RECIBIR</t>
  </si>
  <si>
    <t xml:space="preserve">29</t>
  </si>
  <si>
    <t xml:space="preserve">DESVALORIZACIÓN DE INVENTARIOS</t>
  </si>
  <si>
    <t xml:space="preserve">291</t>
  </si>
  <si>
    <t xml:space="preserve">2911</t>
  </si>
  <si>
    <t xml:space="preserve">292</t>
  </si>
  <si>
    <t xml:space="preserve">2921</t>
  </si>
  <si>
    <t xml:space="preserve">2925</t>
  </si>
  <si>
    <t xml:space="preserve">293</t>
  </si>
  <si>
    <t xml:space="preserve">294</t>
  </si>
  <si>
    <t xml:space="preserve">2941</t>
  </si>
  <si>
    <t xml:space="preserve">295</t>
  </si>
  <si>
    <t xml:space="preserve">2951</t>
  </si>
  <si>
    <t xml:space="preserve">296</t>
  </si>
  <si>
    <t xml:space="preserve">297</t>
  </si>
  <si>
    <t xml:space="preserve">298</t>
  </si>
  <si>
    <t xml:space="preserve">Existencias por recibir</t>
  </si>
  <si>
    <t xml:space="preserve">ELEMENTO 3: ACTIVO INMOVILIZADO</t>
  </si>
  <si>
    <t xml:space="preserve">30</t>
  </si>
  <si>
    <t xml:space="preserve">INVERSIONES MOBILIARIAS</t>
  </si>
  <si>
    <t xml:space="preserve">301</t>
  </si>
  <si>
    <t xml:space="preserve">302</t>
  </si>
  <si>
    <t xml:space="preserve">3022</t>
  </si>
  <si>
    <t xml:space="preserve">Acciones representativas de capital social – Comunes</t>
  </si>
  <si>
    <t xml:space="preserve">3023</t>
  </si>
  <si>
    <t xml:space="preserve">Acciones representativas de capital social – Preferentes</t>
  </si>
  <si>
    <t xml:space="preserve">3024</t>
  </si>
  <si>
    <t xml:space="preserve">3028</t>
  </si>
  <si>
    <t xml:space="preserve">Otros títulos representativos de patrimonio</t>
  </si>
  <si>
    <t xml:space="preserve">303</t>
  </si>
  <si>
    <t xml:space="preserve">Certificados de participación en fondos - Cuotas</t>
  </si>
  <si>
    <t xml:space="preserve">3031</t>
  </si>
  <si>
    <t xml:space="preserve">Fondos de inversión</t>
  </si>
  <si>
    <t xml:space="preserve">3032</t>
  </si>
  <si>
    <t xml:space="preserve">Fondos mutuos</t>
  </si>
  <si>
    <t xml:space="preserve">304</t>
  </si>
  <si>
    <t xml:space="preserve">Participaciones en acuerdos conjuntos</t>
  </si>
  <si>
    <t xml:space="preserve">3041</t>
  </si>
  <si>
    <t xml:space="preserve">Operaciones conjuntas</t>
  </si>
  <si>
    <t xml:space="preserve">3042</t>
  </si>
  <si>
    <t xml:space="preserve">Negocios conjuntos</t>
  </si>
  <si>
    <t xml:space="preserve">308</t>
  </si>
  <si>
    <t xml:space="preserve">Inversiones mobiliarias – Acuerdos de compra</t>
  </si>
  <si>
    <t xml:space="preserve">3081</t>
  </si>
  <si>
    <t xml:space="preserve">Instrumentos financieros representativos de deuda – Acuerdo de compra</t>
  </si>
  <si>
    <t xml:space="preserve">3082</t>
  </si>
  <si>
    <t xml:space="preserve">Instrumentos financieros representativos de derecho patrimonial – Acuerdo de compra</t>
  </si>
  <si>
    <t xml:space="preserve">31</t>
  </si>
  <si>
    <t xml:space="preserve">PROPIEDADES DE INVERSIÓN</t>
  </si>
  <si>
    <t xml:space="preserve">311</t>
  </si>
  <si>
    <t xml:space="preserve">3111</t>
  </si>
  <si>
    <t xml:space="preserve">Urbanos</t>
  </si>
  <si>
    <t xml:space="preserve">3112</t>
  </si>
  <si>
    <t xml:space="preserve">Rurales</t>
  </si>
  <si>
    <t xml:space="preserve">312</t>
  </si>
  <si>
    <t xml:space="preserve">3121</t>
  </si>
  <si>
    <t xml:space="preserve">313</t>
  </si>
  <si>
    <t xml:space="preserve">3131</t>
  </si>
  <si>
    <t xml:space="preserve">32</t>
  </si>
  <si>
    <t xml:space="preserve">ACTIVOS POR DERECHO DE USO</t>
  </si>
  <si>
    <t xml:space="preserve">321</t>
  </si>
  <si>
    <t xml:space="preserve">Propiedades de inversión - Arrendamiento financiero</t>
  </si>
  <si>
    <t xml:space="preserve">3211</t>
  </si>
  <si>
    <t xml:space="preserve">3212</t>
  </si>
  <si>
    <t xml:space="preserve">322</t>
  </si>
  <si>
    <t xml:space="preserve">Propiedad, planta y equipo - Arrendamiento financiero</t>
  </si>
  <si>
    <t xml:space="preserve">3220</t>
  </si>
  <si>
    <t xml:space="preserve">3221</t>
  </si>
  <si>
    <t xml:space="preserve">3222</t>
  </si>
  <si>
    <t xml:space="preserve">3223</t>
  </si>
  <si>
    <t xml:space="preserve">3224</t>
  </si>
  <si>
    <t xml:space="preserve">3225</t>
  </si>
  <si>
    <t xml:space="preserve">3226</t>
  </si>
  <si>
    <t xml:space="preserve">3227</t>
  </si>
  <si>
    <t xml:space="preserve">3228</t>
  </si>
  <si>
    <t xml:space="preserve">323</t>
  </si>
  <si>
    <t xml:space="preserve">Propiedad, planta y equipo - Arrendamiento operativo</t>
  </si>
  <si>
    <t xml:space="preserve">3230</t>
  </si>
  <si>
    <t xml:space="preserve">3232</t>
  </si>
  <si>
    <t xml:space="preserve">3233</t>
  </si>
  <si>
    <t xml:space="preserve">3234</t>
  </si>
  <si>
    <t xml:space="preserve">3235</t>
  </si>
  <si>
    <t xml:space="preserve">3236</t>
  </si>
  <si>
    <t xml:space="preserve">33</t>
  </si>
  <si>
    <t xml:space="preserve">PROPIEDAD, PLANTA Y EQUIPO</t>
  </si>
  <si>
    <t xml:space="preserve">330</t>
  </si>
  <si>
    <t xml:space="preserve">3301</t>
  </si>
  <si>
    <t xml:space="preserve">3302</t>
  </si>
  <si>
    <t xml:space="preserve">331</t>
  </si>
  <si>
    <t xml:space="preserve">3311</t>
  </si>
  <si>
    <t xml:space="preserve">332</t>
  </si>
  <si>
    <t xml:space="preserve">3321</t>
  </si>
  <si>
    <t xml:space="preserve">3324</t>
  </si>
  <si>
    <t xml:space="preserve">3325</t>
  </si>
  <si>
    <t xml:space="preserve">Mejoras en locales arrendados.</t>
  </si>
  <si>
    <t xml:space="preserve">333</t>
  </si>
  <si>
    <t xml:space="preserve">3331</t>
  </si>
  <si>
    <t xml:space="preserve">334</t>
  </si>
  <si>
    <t xml:space="preserve">3341</t>
  </si>
  <si>
    <t xml:space="preserve">Vehículos motorizados</t>
  </si>
  <si>
    <t xml:space="preserve">3342</t>
  </si>
  <si>
    <t xml:space="preserve">Vehículos no motorizados</t>
  </si>
  <si>
    <t xml:space="preserve">335</t>
  </si>
  <si>
    <t xml:space="preserve">3351</t>
  </si>
  <si>
    <t xml:space="preserve">Muebles</t>
  </si>
  <si>
    <t xml:space="preserve">3352</t>
  </si>
  <si>
    <t xml:space="preserve">Enseres</t>
  </si>
  <si>
    <t xml:space="preserve">336</t>
  </si>
  <si>
    <t xml:space="preserve">3361</t>
  </si>
  <si>
    <t xml:space="preserve">Equipo para procesamiento de información</t>
  </si>
  <si>
    <t xml:space="preserve">3362</t>
  </si>
  <si>
    <t xml:space="preserve">Equipo de comunicación</t>
  </si>
  <si>
    <t xml:space="preserve">3363</t>
  </si>
  <si>
    <t xml:space="preserve">Equipo de seguridad</t>
  </si>
  <si>
    <t xml:space="preserve">3364</t>
  </si>
  <si>
    <t xml:space="preserve">Equipo de medio ambiente</t>
  </si>
  <si>
    <t xml:space="preserve">3369</t>
  </si>
  <si>
    <t xml:space="preserve">Otros equipos</t>
  </si>
  <si>
    <t xml:space="preserve">337</t>
  </si>
  <si>
    <t xml:space="preserve">3371</t>
  </si>
  <si>
    <t xml:space="preserve">3372</t>
  </si>
  <si>
    <t xml:space="preserve">338</t>
  </si>
  <si>
    <t xml:space="preserve">Unidades por recibir</t>
  </si>
  <si>
    <t xml:space="preserve">339</t>
  </si>
  <si>
    <t xml:space="preserve">3392</t>
  </si>
  <si>
    <t xml:space="preserve">Edificaciones en curso</t>
  </si>
  <si>
    <t xml:space="preserve">3393</t>
  </si>
  <si>
    <t xml:space="preserve">Maquinaria en montaje</t>
  </si>
  <si>
    <t xml:space="preserve">34</t>
  </si>
  <si>
    <t xml:space="preserve">INTANGIBLES</t>
  </si>
  <si>
    <t xml:space="preserve">341</t>
  </si>
  <si>
    <t xml:space="preserve">3411</t>
  </si>
  <si>
    <t xml:space="preserve">Derechos por concesiones</t>
  </si>
  <si>
    <t xml:space="preserve">3412</t>
  </si>
  <si>
    <t xml:space="preserve">Licencias</t>
  </si>
  <si>
    <t xml:space="preserve">3419</t>
  </si>
  <si>
    <t xml:space="preserve">Otros derechos</t>
  </si>
  <si>
    <t xml:space="preserve">342</t>
  </si>
  <si>
    <t xml:space="preserve">3421</t>
  </si>
  <si>
    <t xml:space="preserve">Patentes</t>
  </si>
  <si>
    <t xml:space="preserve">3422</t>
  </si>
  <si>
    <t xml:space="preserve">Marcas</t>
  </si>
  <si>
    <t xml:space="preserve">343</t>
  </si>
  <si>
    <t xml:space="preserve">3431</t>
  </si>
  <si>
    <t xml:space="preserve">Aplicaciones informáticas</t>
  </si>
  <si>
    <t xml:space="preserve">344</t>
  </si>
  <si>
    <t xml:space="preserve">3441</t>
  </si>
  <si>
    <t xml:space="preserve">3442</t>
  </si>
  <si>
    <t xml:space="preserve">345</t>
  </si>
  <si>
    <t xml:space="preserve">3451</t>
  </si>
  <si>
    <t xml:space="preserve">Fórmulas</t>
  </si>
  <si>
    <t xml:space="preserve">3452</t>
  </si>
  <si>
    <t xml:space="preserve">Diseños y prototipos</t>
  </si>
  <si>
    <t xml:space="preserve">347</t>
  </si>
  <si>
    <t xml:space="preserve">349</t>
  </si>
  <si>
    <t xml:space="preserve">3491</t>
  </si>
  <si>
    <t xml:space="preserve">35</t>
  </si>
  <si>
    <t xml:space="preserve">ACTIVOS BIOLÓGICOS</t>
  </si>
  <si>
    <t xml:space="preserve">351</t>
  </si>
  <si>
    <t xml:space="preserve">3511</t>
  </si>
  <si>
    <t xml:space="preserve">De origen animal</t>
  </si>
  <si>
    <t xml:space="preserve">3512</t>
  </si>
  <si>
    <t xml:space="preserve">De origen vegetal</t>
  </si>
  <si>
    <t xml:space="preserve">352</t>
  </si>
  <si>
    <t xml:space="preserve">3521</t>
  </si>
  <si>
    <t xml:space="preserve">3522</t>
  </si>
  <si>
    <t xml:space="preserve">36</t>
  </si>
  <si>
    <t xml:space="preserve">DESVALORIZACIÓN DE ACTIVO INMOVILIZADO</t>
  </si>
  <si>
    <t xml:space="preserve">361</t>
  </si>
  <si>
    <t xml:space="preserve">Desvalorización de propiedades de inversión</t>
  </si>
  <si>
    <t xml:space="preserve">3611</t>
  </si>
  <si>
    <t xml:space="preserve">3612</t>
  </si>
  <si>
    <t xml:space="preserve">3613</t>
  </si>
  <si>
    <t xml:space="preserve">Construcciones en curso - edificaciones</t>
  </si>
  <si>
    <t xml:space="preserve">362</t>
  </si>
  <si>
    <t xml:space="preserve">Desvalorización de propiedades de inversión - Arrendamiento financiero</t>
  </si>
  <si>
    <t xml:space="preserve">3621</t>
  </si>
  <si>
    <t xml:space="preserve">3622</t>
  </si>
  <si>
    <t xml:space="preserve">363</t>
  </si>
  <si>
    <t xml:space="preserve">Desvalorización de propiedad, planta y equipo - Arrendamiento financiero</t>
  </si>
  <si>
    <t xml:space="preserve">3631</t>
  </si>
  <si>
    <t xml:space="preserve">3632</t>
  </si>
  <si>
    <t xml:space="preserve">3633</t>
  </si>
  <si>
    <t xml:space="preserve">3634</t>
  </si>
  <si>
    <t xml:space="preserve">3635</t>
  </si>
  <si>
    <t xml:space="preserve">3636</t>
  </si>
  <si>
    <t xml:space="preserve">364</t>
  </si>
  <si>
    <t xml:space="preserve">Desvalorización de propiedad, planta y equipo</t>
  </si>
  <si>
    <t xml:space="preserve">3640</t>
  </si>
  <si>
    <t xml:space="preserve">3641</t>
  </si>
  <si>
    <t xml:space="preserve">3642</t>
  </si>
  <si>
    <t xml:space="preserve">3643</t>
  </si>
  <si>
    <t xml:space="preserve">3644</t>
  </si>
  <si>
    <t xml:space="preserve">3645</t>
  </si>
  <si>
    <t xml:space="preserve">3646</t>
  </si>
  <si>
    <t xml:space="preserve">3647</t>
  </si>
  <si>
    <t xml:space="preserve">3649</t>
  </si>
  <si>
    <t xml:space="preserve">365</t>
  </si>
  <si>
    <t xml:space="preserve">Desvalorización de intangibles</t>
  </si>
  <si>
    <t xml:space="preserve">3651</t>
  </si>
  <si>
    <t xml:space="preserve">3652</t>
  </si>
  <si>
    <t xml:space="preserve">3653</t>
  </si>
  <si>
    <t xml:space="preserve">3654</t>
  </si>
  <si>
    <t xml:space="preserve">3655</t>
  </si>
  <si>
    <t xml:space="preserve">3659</t>
  </si>
  <si>
    <t xml:space="preserve">366</t>
  </si>
  <si>
    <t xml:space="preserve">Desvalorización de activos biológicos</t>
  </si>
  <si>
    <t xml:space="preserve">3661</t>
  </si>
  <si>
    <t xml:space="preserve">3662</t>
  </si>
  <si>
    <t xml:space="preserve">367</t>
  </si>
  <si>
    <t xml:space="preserve">Desvalorización de inversiones mobiliarias</t>
  </si>
  <si>
    <t xml:space="preserve">3671</t>
  </si>
  <si>
    <t xml:space="preserve">3672</t>
  </si>
  <si>
    <t xml:space="preserve">Inversiones financieras representativas de derecho patrimonial</t>
  </si>
  <si>
    <t xml:space="preserve">3673</t>
  </si>
  <si>
    <t xml:space="preserve">37</t>
  </si>
  <si>
    <t xml:space="preserve">ACTIVO DIFERIDO</t>
  </si>
  <si>
    <t xml:space="preserve">371</t>
  </si>
  <si>
    <t xml:space="preserve">Impuesto a la renta diferido</t>
  </si>
  <si>
    <t xml:space="preserve">372</t>
  </si>
  <si>
    <t xml:space="preserve">Participaciones de los trabajadores diferidas</t>
  </si>
  <si>
    <t xml:space="preserve">373</t>
  </si>
  <si>
    <t xml:space="preserve">Intereses diferidos</t>
  </si>
  <si>
    <t xml:space="preserve">38</t>
  </si>
  <si>
    <t xml:space="preserve">OTROS ACTIVOS</t>
  </si>
  <si>
    <t xml:space="preserve">381</t>
  </si>
  <si>
    <t xml:space="preserve">Bienes de arte y cultura</t>
  </si>
  <si>
    <t xml:space="preserve">382</t>
  </si>
  <si>
    <t xml:space="preserve">Diversos</t>
  </si>
  <si>
    <t xml:space="preserve">39</t>
  </si>
  <si>
    <t xml:space="preserve">DEPRECIACIÓN y AMORTIZACIÓN ACUMULADOS</t>
  </si>
  <si>
    <t xml:space="preserve">391</t>
  </si>
  <si>
    <t xml:space="preserve">Depreciación acumulada propiedades de inversión</t>
  </si>
  <si>
    <t xml:space="preserve">3911</t>
  </si>
  <si>
    <t xml:space="preserve">392</t>
  </si>
  <si>
    <t xml:space="preserve">Depreciación acumulada propiedades de inversión - Arrendamiento financiero</t>
  </si>
  <si>
    <t xml:space="preserve">3921</t>
  </si>
  <si>
    <t xml:space="preserve">393</t>
  </si>
  <si>
    <t xml:space="preserve">Depreciación acumulada propiedad, planta y equipo - Arrendamiento financiero</t>
  </si>
  <si>
    <t xml:space="preserve">3932</t>
  </si>
  <si>
    <t xml:space="preserve">3933</t>
  </si>
  <si>
    <t xml:space="preserve">3934</t>
  </si>
  <si>
    <t xml:space="preserve">3935</t>
  </si>
  <si>
    <t xml:space="preserve">3936</t>
  </si>
  <si>
    <t xml:space="preserve">394</t>
  </si>
  <si>
    <t xml:space="preserve">Depreciación acumulada - Arrendamiento operativo</t>
  </si>
  <si>
    <t xml:space="preserve">3941</t>
  </si>
  <si>
    <t xml:space="preserve">395</t>
  </si>
  <si>
    <t xml:space="preserve">Depreciación acumulada de propiedad, planta y equipo</t>
  </si>
  <si>
    <t xml:space="preserve">3952</t>
  </si>
  <si>
    <t xml:space="preserve">Depreciación acumulada - Costo</t>
  </si>
  <si>
    <t xml:space="preserve">3953</t>
  </si>
  <si>
    <t xml:space="preserve">Propiedad, planta y equipo - Revaluación</t>
  </si>
  <si>
    <t xml:space="preserve">3954</t>
  </si>
  <si>
    <t xml:space="preserve">Propiedad, planta y equipo - Costo de financiación</t>
  </si>
  <si>
    <t xml:space="preserve">3955</t>
  </si>
  <si>
    <t xml:space="preserve">Propiedad, planta y equipo - Valor razonable</t>
  </si>
  <si>
    <t xml:space="preserve">396</t>
  </si>
  <si>
    <t xml:space="preserve">Amortización acumulada</t>
  </si>
  <si>
    <t xml:space="preserve">3961</t>
  </si>
  <si>
    <t xml:space="preserve">Intangibles – Costo</t>
  </si>
  <si>
    <t xml:space="preserve">3962</t>
  </si>
  <si>
    <t xml:space="preserve">Intangibles – Revaluación</t>
  </si>
  <si>
    <t xml:space="preserve">3963</t>
  </si>
  <si>
    <t xml:space="preserve">Intangibles – Costos de financiación</t>
  </si>
  <si>
    <t xml:space="preserve">398</t>
  </si>
  <si>
    <t xml:space="preserve">Depreciación acumulada - Activos biológicos en producción</t>
  </si>
  <si>
    <t xml:space="preserve">3981</t>
  </si>
  <si>
    <t xml:space="preserve">Activos biológicos en producción - Costo</t>
  </si>
  <si>
    <t xml:space="preserve">ELEMENTO 4: PASIVO</t>
  </si>
  <si>
    <t xml:space="preserve">40</t>
  </si>
  <si>
    <t xml:space="preserve">TRIBUTOS, CONTRAPRESTACIONES Y APORTES AL SISTEMA PÚBLICO DE PENSIONES Y DE SALUD POR PAGAR</t>
  </si>
  <si>
    <t xml:space="preserve">401</t>
  </si>
  <si>
    <t xml:space="preserve">Gobierno nacional</t>
  </si>
  <si>
    <t xml:space="preserve">4011</t>
  </si>
  <si>
    <t xml:space="preserve">Impuesto general a las ventas</t>
  </si>
  <si>
    <t xml:space="preserve">4015</t>
  </si>
  <si>
    <t xml:space="preserve">4017</t>
  </si>
  <si>
    <t xml:space="preserve">Impuesto a la renta</t>
  </si>
  <si>
    <t xml:space="preserve">4018</t>
  </si>
  <si>
    <t xml:space="preserve">Otros impuestos y contraprestaciones</t>
  </si>
  <si>
    <t xml:space="preserve">403</t>
  </si>
  <si>
    <t xml:space="preserve">Instituciones públicas</t>
  </si>
  <si>
    <t xml:space="preserve">406</t>
  </si>
  <si>
    <t xml:space="preserve">Gobiernos locales</t>
  </si>
  <si>
    <t xml:space="preserve">4061</t>
  </si>
  <si>
    <t xml:space="preserve">Impuestos</t>
  </si>
  <si>
    <t xml:space="preserve">4063</t>
  </si>
  <si>
    <t xml:space="preserve">Tasas</t>
  </si>
  <si>
    <t xml:space="preserve">41</t>
  </si>
  <si>
    <t xml:space="preserve">REMUNERACIONES Y PARTICIPACIONES POR PAGAR</t>
  </si>
  <si>
    <t xml:space="preserve">411</t>
  </si>
  <si>
    <t xml:space="preserve">Remuneraciones por pagar</t>
  </si>
  <si>
    <t xml:space="preserve">415</t>
  </si>
  <si>
    <t xml:space="preserve">Beneficios sociales de los trabajadores por pagar</t>
  </si>
  <si>
    <t xml:space="preserve">42</t>
  </si>
  <si>
    <t xml:space="preserve">CUENTAS POR PAGAR COMERCIALES TERCEROS</t>
  </si>
  <si>
    <t xml:space="preserve">421</t>
  </si>
  <si>
    <t xml:space="preserve">Facturas, boletas y otros comprobantes por pagar</t>
  </si>
  <si>
    <t xml:space="preserve">43</t>
  </si>
  <si>
    <t xml:space="preserve">CUENTAS POR PAGAR COMERCIALES RELACIONADAS</t>
  </si>
  <si>
    <t xml:space="preserve">431</t>
  </si>
  <si>
    <t xml:space="preserve">432</t>
  </si>
  <si>
    <t xml:space="preserve">433</t>
  </si>
  <si>
    <t xml:space="preserve">434</t>
  </si>
  <si>
    <t xml:space="preserve">44</t>
  </si>
  <si>
    <t xml:space="preserve">CUENTAS POR PAGAR A LOS ACCIONISTAS (SOCIOS, PARTÍCIPES) Y DIRECTORES</t>
  </si>
  <si>
    <t xml:space="preserve">441</t>
  </si>
  <si>
    <t xml:space="preserve">Accionistas ( socios, partícipes)</t>
  </si>
  <si>
    <t xml:space="preserve">442</t>
  </si>
  <si>
    <t xml:space="preserve">45</t>
  </si>
  <si>
    <t xml:space="preserve">OBLIGACIONES FINANCIERAS</t>
  </si>
  <si>
    <t xml:space="preserve">451</t>
  </si>
  <si>
    <t xml:space="preserve">453</t>
  </si>
  <si>
    <t xml:space="preserve">454</t>
  </si>
  <si>
    <t xml:space="preserve">Otros Instrumentos financieros por pagar</t>
  </si>
  <si>
    <t xml:space="preserve">455</t>
  </si>
  <si>
    <t xml:space="preserve">Costos de financiación por pagar</t>
  </si>
  <si>
    <t xml:space="preserve">4551</t>
  </si>
  <si>
    <t xml:space="preserve">4553</t>
  </si>
  <si>
    <t xml:space="preserve">4554</t>
  </si>
  <si>
    <t xml:space="preserve">46</t>
  </si>
  <si>
    <t xml:space="preserve">CUENTAS POR PAGAR DIVERSAS – TERCEROS</t>
  </si>
  <si>
    <t xml:space="preserve">464</t>
  </si>
  <si>
    <t xml:space="preserve">Pasivos por instrumentos financieros</t>
  </si>
  <si>
    <t xml:space="preserve">4642</t>
  </si>
  <si>
    <t xml:space="preserve">465</t>
  </si>
  <si>
    <t xml:space="preserve">Pasivos por compra de activo inmovilizado</t>
  </si>
  <si>
    <t xml:space="preserve">469</t>
  </si>
  <si>
    <t xml:space="preserve">47</t>
  </si>
  <si>
    <t xml:space="preserve">CUENTAS POR PAGAR DIVERSAS – RELACIONADAS</t>
  </si>
  <si>
    <t xml:space="preserve">477</t>
  </si>
  <si>
    <t xml:space="preserve">Pasivo por compra de activo inmovilizado</t>
  </si>
  <si>
    <t xml:space="preserve">479</t>
  </si>
  <si>
    <t xml:space="preserve">48</t>
  </si>
  <si>
    <t xml:space="preserve">PROVISIONES</t>
  </si>
  <si>
    <t xml:space="preserve">49</t>
  </si>
  <si>
    <t xml:space="preserve">PASIVO DIFERIDO</t>
  </si>
  <si>
    <t xml:space="preserve">491</t>
  </si>
  <si>
    <t xml:space="preserve">492</t>
  </si>
  <si>
    <t xml:space="preserve">493</t>
  </si>
  <si>
    <t xml:space="preserve">ELEMENTO 5: PATRIMONIO NETO</t>
  </si>
  <si>
    <t xml:space="preserve">50</t>
  </si>
  <si>
    <t xml:space="preserve">CAPITAL</t>
  </si>
  <si>
    <t xml:space="preserve">501</t>
  </si>
  <si>
    <t xml:space="preserve">Capital social</t>
  </si>
  <si>
    <t xml:space="preserve">51</t>
  </si>
  <si>
    <t xml:space="preserve">ACCIONES DE INVERSIÓN</t>
  </si>
  <si>
    <t xml:space="preserve">52</t>
  </si>
  <si>
    <t xml:space="preserve">CAPITAL ADICIONAL</t>
  </si>
  <si>
    <t xml:space="preserve">522</t>
  </si>
  <si>
    <t xml:space="preserve">Capitalizaciones en trámite</t>
  </si>
  <si>
    <t xml:space="preserve">56</t>
  </si>
  <si>
    <t xml:space="preserve">RESULTADOS NO REALIZADOS</t>
  </si>
  <si>
    <t xml:space="preserve">563</t>
  </si>
  <si>
    <t xml:space="preserve">Resultado en activos o pasivos financieros mantenidos para negociación</t>
  </si>
  <si>
    <t xml:space="preserve">564</t>
  </si>
  <si>
    <t xml:space="preserve">Resultado en otros activos o pasivos por inversiones financieras</t>
  </si>
  <si>
    <t xml:space="preserve">565</t>
  </si>
  <si>
    <t xml:space="preserve">Resultado en activos o pasivos financieros mantenidos para negociación – Compra o venta convencional fecha de liquidación</t>
  </si>
  <si>
    <t xml:space="preserve">57</t>
  </si>
  <si>
    <t xml:space="preserve">EXCEDENTE DE REVALUACIÓN</t>
  </si>
  <si>
    <t xml:space="preserve">571</t>
  </si>
  <si>
    <t xml:space="preserve">Excedente de revaluación</t>
  </si>
  <si>
    <t xml:space="preserve">5711</t>
  </si>
  <si>
    <t xml:space="preserve">5712</t>
  </si>
  <si>
    <t xml:space="preserve">58</t>
  </si>
  <si>
    <t xml:space="preserve">RESERVAS</t>
  </si>
  <si>
    <t xml:space="preserve">59</t>
  </si>
  <si>
    <t xml:space="preserve">RESULTADOS ACUMULADOS</t>
  </si>
  <si>
    <t xml:space="preserve">591</t>
  </si>
  <si>
    <t xml:space="preserve">Utilidades no distribuidas</t>
  </si>
  <si>
    <t xml:space="preserve">592</t>
  </si>
  <si>
    <t xml:space="preserve">ELEMENTO 6: GASTOS POR NATURALEZA</t>
  </si>
  <si>
    <t xml:space="preserve">60</t>
  </si>
  <si>
    <t xml:space="preserve">COMPRAS</t>
  </si>
  <si>
    <t xml:space="preserve">601</t>
  </si>
  <si>
    <t xml:space="preserve">603</t>
  </si>
  <si>
    <t xml:space="preserve">604</t>
  </si>
  <si>
    <t xml:space="preserve">609</t>
  </si>
  <si>
    <t xml:space="preserve">Costos vinculados con las compras</t>
  </si>
  <si>
    <t xml:space="preserve">6091</t>
  </si>
  <si>
    <t xml:space="preserve">Costos vinculados con las compras de mercaderías</t>
  </si>
  <si>
    <t xml:space="preserve">6092</t>
  </si>
  <si>
    <t xml:space="preserve">Costos vinculados con las compras de materias primas</t>
  </si>
  <si>
    <t xml:space="preserve">6093</t>
  </si>
  <si>
    <t xml:space="preserve">Costos vinculados con las compras de materiales, suministros y repuestos</t>
  </si>
  <si>
    <t xml:space="preserve">6094</t>
  </si>
  <si>
    <t xml:space="preserve">Costos vinculados con las compras de envases y embalajes</t>
  </si>
  <si>
    <t xml:space="preserve">61</t>
  </si>
  <si>
    <t xml:space="preserve">VARIACIÓN DE INVENTARIOS</t>
  </si>
  <si>
    <t xml:space="preserve">611</t>
  </si>
  <si>
    <t xml:space="preserve">612</t>
  </si>
  <si>
    <t xml:space="preserve">613</t>
  </si>
  <si>
    <t xml:space="preserve">614</t>
  </si>
  <si>
    <t xml:space="preserve">62</t>
  </si>
  <si>
    <t xml:space="preserve">GASTOS DE PERSONAL Y DIRECTORES</t>
  </si>
  <si>
    <t xml:space="preserve">621</t>
  </si>
  <si>
    <t xml:space="preserve">Remuneraciones</t>
  </si>
  <si>
    <t xml:space="preserve">627</t>
  </si>
  <si>
    <t xml:space="preserve">Seguridad, previsión social y otras contribuciones</t>
  </si>
  <si>
    <t xml:space="preserve">629</t>
  </si>
  <si>
    <t xml:space="preserve">Beneficios sociales de los trabajadores</t>
  </si>
  <si>
    <t xml:space="preserve">6294</t>
  </si>
  <si>
    <t xml:space="preserve">Participación en las utilidades</t>
  </si>
  <si>
    <t xml:space="preserve">63</t>
  </si>
  <si>
    <t xml:space="preserve">GASTOS DE SERVICIOS PRESTADOS POR TERCEROS</t>
  </si>
  <si>
    <t xml:space="preserve">631</t>
  </si>
  <si>
    <t xml:space="preserve">Transporte, correos y gastos de viaje</t>
  </si>
  <si>
    <t xml:space="preserve">6311</t>
  </si>
  <si>
    <t xml:space="preserve">632</t>
  </si>
  <si>
    <t xml:space="preserve">Asesoría y consultoría</t>
  </si>
  <si>
    <t xml:space="preserve">634</t>
  </si>
  <si>
    <t xml:space="preserve">Mantenimiento y reparaciones</t>
  </si>
  <si>
    <t xml:space="preserve">6342</t>
  </si>
  <si>
    <t xml:space="preserve">Activos por derecho de uso</t>
  </si>
  <si>
    <t xml:space="preserve">635</t>
  </si>
  <si>
    <t xml:space="preserve">636</t>
  </si>
  <si>
    <t xml:space="preserve">Servicios básicos</t>
  </si>
  <si>
    <t xml:space="preserve">637</t>
  </si>
  <si>
    <t xml:space="preserve">Publicidad, publicaciones, relaciones públicas</t>
  </si>
  <si>
    <t xml:space="preserve">639</t>
  </si>
  <si>
    <t xml:space="preserve">Otros servicios prestados por terceros</t>
  </si>
  <si>
    <t xml:space="preserve">64</t>
  </si>
  <si>
    <t xml:space="preserve">GASTOS POR TRIBUTOS</t>
  </si>
  <si>
    <t xml:space="preserve">641</t>
  </si>
  <si>
    <t xml:space="preserve">643</t>
  </si>
  <si>
    <t xml:space="preserve">Gobierno local</t>
  </si>
  <si>
    <t xml:space="preserve">644</t>
  </si>
  <si>
    <t xml:space="preserve">Otros gastos por tributos</t>
  </si>
  <si>
    <t xml:space="preserve">645</t>
  </si>
  <si>
    <t xml:space="preserve">Gastos en deuda tributaria</t>
  </si>
  <si>
    <t xml:space="preserve">65</t>
  </si>
  <si>
    <t xml:space="preserve">OTROS GASTOS DE GESTION</t>
  </si>
  <si>
    <t xml:space="preserve">655</t>
  </si>
  <si>
    <t xml:space="preserve">Costo neto de enajenación de activos inmovilizados y operaciones discontinuadas</t>
  </si>
  <si>
    <t xml:space="preserve">6551</t>
  </si>
  <si>
    <t xml:space="preserve">Costo neto de enajenación de activos inmovilizados</t>
  </si>
  <si>
    <t xml:space="preserve">6552</t>
  </si>
  <si>
    <t xml:space="preserve">Operaciones discontinuadas – Abandono de activos</t>
  </si>
  <si>
    <t xml:space="preserve">659</t>
  </si>
  <si>
    <t xml:space="preserve">Otros gastos de gestión</t>
  </si>
  <si>
    <t xml:space="preserve">66</t>
  </si>
  <si>
    <t xml:space="preserve">PERDIDA POR MEDICIÓN DE ACTIVOS NO FINANCIEROS AL VALOR RAZONABLE</t>
  </si>
  <si>
    <t xml:space="preserve">661</t>
  </si>
  <si>
    <t xml:space="preserve">Activo realizable</t>
  </si>
  <si>
    <t xml:space="preserve">6613</t>
  </si>
  <si>
    <t xml:space="preserve">Activos no corrientes mantenidos para la venta</t>
  </si>
  <si>
    <t xml:space="preserve">662</t>
  </si>
  <si>
    <t xml:space="preserve">Activo inmovilizado</t>
  </si>
  <si>
    <t xml:space="preserve">67</t>
  </si>
  <si>
    <t xml:space="preserve">GASTOS FINANCIEROS</t>
  </si>
  <si>
    <t xml:space="preserve">671</t>
  </si>
  <si>
    <t xml:space="preserve">Gastos en operaciones de endeudamiento y otros</t>
  </si>
  <si>
    <t xml:space="preserve">673</t>
  </si>
  <si>
    <t xml:space="preserve">Intereses por préstamos y otras obligaciones</t>
  </si>
  <si>
    <t xml:space="preserve">6731</t>
  </si>
  <si>
    <t xml:space="preserve">674</t>
  </si>
  <si>
    <t xml:space="preserve">Gastos en operaciones de factoraje (factoring)</t>
  </si>
  <si>
    <t xml:space="preserve">677</t>
  </si>
  <si>
    <t xml:space="preserve">Pérdida por medición de activos y pasivos financieros al valor razonable</t>
  </si>
  <si>
    <t xml:space="preserve">678</t>
  </si>
  <si>
    <t xml:space="preserve">Participación en resultados de entidades relacionadas</t>
  </si>
  <si>
    <t xml:space="preserve">679</t>
  </si>
  <si>
    <t xml:space="preserve">Otros gastos financieros</t>
  </si>
  <si>
    <t xml:space="preserve">68</t>
  </si>
  <si>
    <t xml:space="preserve">VALUACIÓN Y DETERIORO DE ACTIVOS Y PROVISIONES</t>
  </si>
  <si>
    <t xml:space="preserve">681</t>
  </si>
  <si>
    <t xml:space="preserve">Depreciación de propiedades de inversión</t>
  </si>
  <si>
    <t xml:space="preserve">6811</t>
  </si>
  <si>
    <t xml:space="preserve">682</t>
  </si>
  <si>
    <t xml:space="preserve">Depreciación de activos por derecho de uso - arrendamiento financiero</t>
  </si>
  <si>
    <t xml:space="preserve">6821</t>
  </si>
  <si>
    <t xml:space="preserve">68211</t>
  </si>
  <si>
    <t xml:space="preserve">6822</t>
  </si>
  <si>
    <t xml:space="preserve">68221</t>
  </si>
  <si>
    <t xml:space="preserve">68222</t>
  </si>
  <si>
    <t xml:space="preserve">68223</t>
  </si>
  <si>
    <t xml:space="preserve">68225</t>
  </si>
  <si>
    <t xml:space="preserve">683</t>
  </si>
  <si>
    <t xml:space="preserve">Depreciación de activos por derecho de uso - arrendamiento operativo</t>
  </si>
  <si>
    <t xml:space="preserve">6831</t>
  </si>
  <si>
    <t xml:space="preserve">68311</t>
  </si>
  <si>
    <t xml:space="preserve">68312</t>
  </si>
  <si>
    <t xml:space="preserve">68313</t>
  </si>
  <si>
    <t xml:space="preserve">684</t>
  </si>
  <si>
    <t xml:space="preserve">Depreciación de propiedad, planta y equipo</t>
  </si>
  <si>
    <t xml:space="preserve">6841</t>
  </si>
  <si>
    <t xml:space="preserve">Depreciación de propiedad, planta y equipo - Costo</t>
  </si>
  <si>
    <t xml:space="preserve">6842</t>
  </si>
  <si>
    <t xml:space="preserve">Depreciación de propiedad, planta y equipo - Revaluación</t>
  </si>
  <si>
    <t xml:space="preserve">6843</t>
  </si>
  <si>
    <t xml:space="preserve">Depreciación de propiedad, planta y equipo - Costos de financiación</t>
  </si>
  <si>
    <t xml:space="preserve">685</t>
  </si>
  <si>
    <t xml:space="preserve">Depreciación de activos biológicos en producción</t>
  </si>
  <si>
    <t xml:space="preserve">6851</t>
  </si>
  <si>
    <t xml:space="preserve">Depreciación de activos biológicos en producción - costo</t>
  </si>
  <si>
    <t xml:space="preserve">6852</t>
  </si>
  <si>
    <t xml:space="preserve">Depreciación de activos biológicos en producción - costo de financiación</t>
  </si>
  <si>
    <t xml:space="preserve">686</t>
  </si>
  <si>
    <t xml:space="preserve">Amortización de intangibles</t>
  </si>
  <si>
    <t xml:space="preserve">6861</t>
  </si>
  <si>
    <t xml:space="preserve">Amortización de intangibles – Costo</t>
  </si>
  <si>
    <t xml:space="preserve">6862</t>
  </si>
  <si>
    <t xml:space="preserve">Amortización de intangibles – Revaluación</t>
  </si>
  <si>
    <t xml:space="preserve">687</t>
  </si>
  <si>
    <t xml:space="preserve">Valuación de activos</t>
  </si>
  <si>
    <t xml:space="preserve">6871</t>
  </si>
  <si>
    <t xml:space="preserve">Estimación de cuentas de cobranza dudosa</t>
  </si>
  <si>
    <t xml:space="preserve">6873</t>
  </si>
  <si>
    <t xml:space="preserve">688</t>
  </si>
  <si>
    <t xml:space="preserve">Deterioro del valor de los activos</t>
  </si>
  <si>
    <t xml:space="preserve">6882</t>
  </si>
  <si>
    <t xml:space="preserve">Desvalorización de propiedad de inversión</t>
  </si>
  <si>
    <t xml:space="preserve">Desvalorización de activos por derecho de uso - arrendamiento financiero</t>
  </si>
  <si>
    <t xml:space="preserve">6883</t>
  </si>
  <si>
    <t xml:space="preserve">6884</t>
  </si>
  <si>
    <t xml:space="preserve">6889</t>
  </si>
  <si>
    <t xml:space="preserve">Desvalorización de activos biológicos en producción</t>
  </si>
  <si>
    <t xml:space="preserve">689</t>
  </si>
  <si>
    <t xml:space="preserve">Provisiones</t>
  </si>
  <si>
    <t xml:space="preserve">6891</t>
  </si>
  <si>
    <t xml:space="preserve">6892</t>
  </si>
  <si>
    <t xml:space="preserve">6894</t>
  </si>
  <si>
    <t xml:space="preserve">6896</t>
  </si>
  <si>
    <t xml:space="preserve">6897</t>
  </si>
  <si>
    <t xml:space="preserve">69</t>
  </si>
  <si>
    <t xml:space="preserve">COSTO DE VENTAS</t>
  </si>
  <si>
    <t xml:space="preserve">691</t>
  </si>
  <si>
    <t xml:space="preserve">6911</t>
  </si>
  <si>
    <t xml:space="preserve">Mercaderías - exportación</t>
  </si>
  <si>
    <t xml:space="preserve">6912</t>
  </si>
  <si>
    <t xml:space="preserve">692</t>
  </si>
  <si>
    <t xml:space="preserve">6921</t>
  </si>
  <si>
    <t xml:space="preserve">Productos terminados - Exportación</t>
  </si>
  <si>
    <t xml:space="preserve">6922</t>
  </si>
  <si>
    <t xml:space="preserve">Productos terminados - Venta local</t>
  </si>
  <si>
    <t xml:space="preserve">6923</t>
  </si>
  <si>
    <t xml:space="preserve">Costos de financiación – Productos terminados</t>
  </si>
  <si>
    <t xml:space="preserve">693</t>
  </si>
  <si>
    <t xml:space="preserve">6931</t>
  </si>
  <si>
    <t xml:space="preserve">Servicios – Exportación</t>
  </si>
  <si>
    <t xml:space="preserve">6932</t>
  </si>
  <si>
    <t xml:space="preserve">Servicios – local</t>
  </si>
  <si>
    <t xml:space="preserve">694</t>
  </si>
  <si>
    <t xml:space="preserve">6941</t>
  </si>
  <si>
    <t xml:space="preserve">6942</t>
  </si>
  <si>
    <t xml:space="preserve">695</t>
  </si>
  <si>
    <t xml:space="preserve">Gastos por desvalorización de inventarios al costo</t>
  </si>
  <si>
    <t xml:space="preserve">ELEMENTO 7: INGRESOS</t>
  </si>
  <si>
    <t xml:space="preserve">70</t>
  </si>
  <si>
    <t xml:space="preserve">VENTAS</t>
  </si>
  <si>
    <t xml:space="preserve">701</t>
  </si>
  <si>
    <t xml:space="preserve">7011</t>
  </si>
  <si>
    <t xml:space="preserve">Mercaderías - venta de exportación</t>
  </si>
  <si>
    <t xml:space="preserve">702</t>
  </si>
  <si>
    <t xml:space="preserve">7021</t>
  </si>
  <si>
    <t xml:space="preserve">Productos terminados - venta de exportación</t>
  </si>
  <si>
    <t xml:space="preserve">7022</t>
  </si>
  <si>
    <t xml:space="preserve">Productos terminados - venta local</t>
  </si>
  <si>
    <t xml:space="preserve">703</t>
  </si>
  <si>
    <t xml:space="preserve">7031</t>
  </si>
  <si>
    <t xml:space="preserve">Servicios – exportación</t>
  </si>
  <si>
    <t xml:space="preserve">7032</t>
  </si>
  <si>
    <t xml:space="preserve">704</t>
  </si>
  <si>
    <t xml:space="preserve">7041</t>
  </si>
  <si>
    <t xml:space="preserve">7042</t>
  </si>
  <si>
    <t xml:space="preserve">709</t>
  </si>
  <si>
    <t xml:space="preserve">Devoluciones sobre ventas</t>
  </si>
  <si>
    <t xml:space="preserve">7091</t>
  </si>
  <si>
    <t xml:space="preserve">Mercaderías - Venta de exportación</t>
  </si>
  <si>
    <t xml:space="preserve">7092</t>
  </si>
  <si>
    <t xml:space="preserve">Mercaderías - Venta local</t>
  </si>
  <si>
    <t xml:space="preserve">7093</t>
  </si>
  <si>
    <t xml:space="preserve">Productos terminados - Venta de exportación</t>
  </si>
  <si>
    <t xml:space="preserve">7094</t>
  </si>
  <si>
    <t xml:space="preserve">7095</t>
  </si>
  <si>
    <t xml:space="preserve">Inventarios de servicios rechazados</t>
  </si>
  <si>
    <t xml:space="preserve">7096</t>
  </si>
  <si>
    <t xml:space="preserve">71</t>
  </si>
  <si>
    <t xml:space="preserve">VARIACIÓN DE LA PRODUCCIÓN ALMACENADA</t>
  </si>
  <si>
    <t xml:space="preserve">711</t>
  </si>
  <si>
    <t xml:space="preserve">Variación de productos terminados</t>
  </si>
  <si>
    <t xml:space="preserve">712</t>
  </si>
  <si>
    <t xml:space="preserve">Variación de subproductos, desechos y desperdicios</t>
  </si>
  <si>
    <t xml:space="preserve">713</t>
  </si>
  <si>
    <t xml:space="preserve">Variación de productos en proceso</t>
  </si>
  <si>
    <t xml:space="preserve">714</t>
  </si>
  <si>
    <t xml:space="preserve">Variación de envases y embalajes</t>
  </si>
  <si>
    <t xml:space="preserve">715</t>
  </si>
  <si>
    <t xml:space="preserve">Variación de inventarios de servicios</t>
  </si>
  <si>
    <t xml:space="preserve">72</t>
  </si>
  <si>
    <t xml:space="preserve">PRODUCCIÓN DE ACTIVO INMOVILIZADO</t>
  </si>
  <si>
    <t xml:space="preserve">721</t>
  </si>
  <si>
    <t xml:space="preserve">722</t>
  </si>
  <si>
    <t xml:space="preserve">723</t>
  </si>
  <si>
    <t xml:space="preserve">724</t>
  </si>
  <si>
    <t xml:space="preserve">725</t>
  </si>
  <si>
    <t xml:space="preserve">Costos de financiación capitalizados</t>
  </si>
  <si>
    <t xml:space="preserve">7251</t>
  </si>
  <si>
    <t xml:space="preserve">Costos de financiación – Propiedades de inversión</t>
  </si>
  <si>
    <t xml:space="preserve">7252</t>
  </si>
  <si>
    <t xml:space="preserve">Costos de financiación – Propiedad, planta y equipo</t>
  </si>
  <si>
    <t xml:space="preserve">7254</t>
  </si>
  <si>
    <t xml:space="preserve">Costos de financiación – Activos biológicos en desarrollo</t>
  </si>
  <si>
    <t xml:space="preserve">73</t>
  </si>
  <si>
    <t xml:space="preserve">DESCUENTOS, REBAJAS Y BONIFICACIONES OBTENIDOS</t>
  </si>
  <si>
    <t xml:space="preserve">731</t>
  </si>
  <si>
    <t xml:space="preserve">Descuentos, rebajas y bonificaciones obtenidos</t>
  </si>
  <si>
    <t xml:space="preserve">74</t>
  </si>
  <si>
    <t xml:space="preserve">DESCUENTOS, REBAJAS y BONIFICACIONES CONCEDIDOS</t>
  </si>
  <si>
    <t xml:space="preserve">741</t>
  </si>
  <si>
    <t xml:space="preserve">Descuentos, rebajas y bonificaciones concedidos</t>
  </si>
  <si>
    <t xml:space="preserve">75</t>
  </si>
  <si>
    <t xml:space="preserve">OTROS INGRESOS DE GESTIÓN</t>
  </si>
  <si>
    <t xml:space="preserve">754</t>
  </si>
  <si>
    <t xml:space="preserve">755</t>
  </si>
  <si>
    <t xml:space="preserve">Recuperación de cuentas de valuación</t>
  </si>
  <si>
    <t xml:space="preserve">756</t>
  </si>
  <si>
    <t xml:space="preserve">Enajenación de activos inmovilizados</t>
  </si>
  <si>
    <t xml:space="preserve">757</t>
  </si>
  <si>
    <t xml:space="preserve">Recuperación de deterioro de cuentas de activos inmovilizados</t>
  </si>
  <si>
    <t xml:space="preserve">759</t>
  </si>
  <si>
    <t xml:space="preserve">76</t>
  </si>
  <si>
    <t xml:space="preserve">GANANCIA POR MEDICIÓN DE ACTIVOS NO FINANCIEROS AL VALOR RAZONABLE</t>
  </si>
  <si>
    <t xml:space="preserve">761</t>
  </si>
  <si>
    <t xml:space="preserve">7613</t>
  </si>
  <si>
    <t xml:space="preserve">762</t>
  </si>
  <si>
    <t xml:space="preserve">77</t>
  </si>
  <si>
    <t xml:space="preserve">INGRESOS FINANCIEROS</t>
  </si>
  <si>
    <t xml:space="preserve">772</t>
  </si>
  <si>
    <t xml:space="preserve">Rendimientos ganados</t>
  </si>
  <si>
    <t xml:space="preserve">777</t>
  </si>
  <si>
    <t xml:space="preserve">Ganancia por medición de activos y pasivos financieros al valor razonable</t>
  </si>
  <si>
    <t xml:space="preserve">778</t>
  </si>
  <si>
    <t xml:space="preserve">779</t>
  </si>
  <si>
    <t xml:space="preserve">Otros ingresos financieros</t>
  </si>
  <si>
    <t xml:space="preserve">78</t>
  </si>
  <si>
    <t xml:space="preserve">CARGAS CUBIERTAS POR PROVISIONES</t>
  </si>
  <si>
    <t xml:space="preserve">79</t>
  </si>
  <si>
    <t xml:space="preserve">CARGAS IMPUTABLES A CUENTAS DE COSTOS Y GASTOS</t>
  </si>
  <si>
    <t xml:space="preserve">ELEMENTO 8: SALDOS INTERMEDIARIOS DE GESTIÓN Y DETERMINACIÓN DEL RESULTADO DEL EJERCICIO</t>
  </si>
  <si>
    <t xml:space="preserve">80</t>
  </si>
  <si>
    <t xml:space="preserve">MARGEN COMERCIAL</t>
  </si>
  <si>
    <t xml:space="preserve">81</t>
  </si>
  <si>
    <t xml:space="preserve">PRODUCCIÓN DEL EJERCICIO</t>
  </si>
  <si>
    <t xml:space="preserve">82</t>
  </si>
  <si>
    <t xml:space="preserve">VALOR AGREGADO</t>
  </si>
  <si>
    <t xml:space="preserve">83</t>
  </si>
  <si>
    <t xml:space="preserve">EXCEDENTE BRUTO (INSUFICIENCIA BRUTA) DE EXPLOTACIÓN</t>
  </si>
  <si>
    <t xml:space="preserve">84</t>
  </si>
  <si>
    <t xml:space="preserve">RESULTADO DE EXPLOTACIÓN</t>
  </si>
  <si>
    <t xml:space="preserve">85</t>
  </si>
  <si>
    <t xml:space="preserve">RESULTADO ANTES DE IMPUESTO A LAS GANANCIAS</t>
  </si>
  <si>
    <t xml:space="preserve">88</t>
  </si>
  <si>
    <t xml:space="preserve">IMPUESTO A LAS GANANCIAS</t>
  </si>
  <si>
    <t xml:space="preserve">89</t>
  </si>
  <si>
    <t xml:space="preserve">DETERMINACIÓN DEL RESULTADO DEL EJERCICIO</t>
  </si>
  <si>
    <t xml:space="preserve">ELEMENTO 9: CONTABILIDAD ANALÍTICA DE EXPLOTACIÓN: COSTOS DE PRODUCCIÓN Y GASTOS POR FUNCIÓN</t>
  </si>
  <si>
    <t xml:space="preserve">90</t>
  </si>
  <si>
    <t xml:space="preserve">Costos de Producción</t>
  </si>
  <si>
    <t xml:space="preserve">ELEMENTO 0: CUENTAS DE ORDEN</t>
  </si>
  <si>
    <t xml:space="preserve">CUENTAS DE ORDEN DEUDORAS</t>
  </si>
  <si>
    <t xml:space="preserve">CUENTAS DE ORDEN ACREEDORAS</t>
  </si>
  <si>
    <t xml:space="preserve">CÓMO ACTIVAR EL REGISTRO AUTOMÁTICO (1 sola vez, ~2 minutos)</t>
  </si>
  <si>
    <t xml:space="preserve">Excel no permite que un botón 'registre datos solo' sin una macro (VBA). Este es un procedimiento estándar y seguro: usted mismo pega el código, así que sabe exactamente qué hace (ver abajo). Una vez hecho, quedará guardado en el archivo para siempre.</t>
  </si>
  <si>
    <t xml:space="preserve">1. Guarde este archivo como .xlsm: Archivo &gt; Guardar como &gt; tipo 'Libro de Excel habilitado para macros (*.xlsm)'.</t>
  </si>
  <si>
    <t xml:space="preserve">2. Active la pestaña Programador si no la ve: Archivo &gt; Opciones &gt; Personalizar cinta &gt; marque 'Programador'.</t>
  </si>
  <si>
    <t xml:space="preserve">3. Presione Alt+F11 para abrir el editor de VBA. Clic derecho en el nombre del archivo (VBAProject) &gt; Insertar &gt; Módulo.</t>
  </si>
  <si>
    <t xml:space="preserve">4. Copie y pegue todo el código de más abajo (o del archivo RegistrarIngreso.bas adjunto) en ese módulo.</t>
  </si>
  <si>
    <t xml:space="preserve">5. Cierre el editor de VBA (Alt+Q). Vuelva a la hoja 'Formulario de Ingreso'.</t>
  </si>
  <si>
    <t xml:space="preserve">6. Pestaña Programador &gt; Insertar &gt; Botón (control de formulario). Dibújelo sobre el recuadro verde 'REGISTRAR INGRESO'.</t>
  </si>
  <si>
    <t xml:space="preserve">7. En la ventana que aparece, seleccione la macro 'RegistrarIngreso' y presione Aceptar.</t>
  </si>
  <si>
    <t xml:space="preserve">8. Guarde el archivo. Cada vez que llene el formulario y presione el botón, se guardará solo en 'Base de Datos' y en 'Libro Diario'.</t>
  </si>
  <si>
    <t xml:space="preserve">Código de la macro (también está en el archivo RegistrarIngreso.bas):</t>
  </si>
  <si>
    <t xml:space="preserve">Option Explicit
Sub RegistrarIngreso()
    Dim wsForm As Worksheet, wsBD As Worksheet, wsDiario As Worksheet
    Dim cuenta As String, contra As String, obs As String, tipo As String
    Dim monto As Double
    Dim filaBD As Long, filaDiario As Long, nRegistro As Long
    Dim fechaHoy As Date, horaAhora As Date
    Set wsForm = ThisWorkbook.Sheets("Formulario de Ingreso")
    Set wsBD = ThisWorkbook.Sheets("Base de Datos")
    Set wsDiario = ThisWorkbook.Sheets("Libro Diario")
    cuenta = Trim(wsForm.Range("C6").Value)
    contra = Trim(wsForm.Range("C7").Value)
    monto = wsForm.Range("C8").Value
    obs = Trim(wsForm.Range("C9").Value)
    tipo = Trim(wsForm.Range("C10").Value)
    ' --- Validaciones minimas ---
    If cuenta = "" Or contra = "" Or monto &lt;= 0 Or tipo = "" Then
        MsgBox "Complete Cuenta, Contra-cuenta, Monto (mayor a 0) y Tipo de movimiento antes de registrar.", vbExclamation
        Exit Sub
    End If
    If IsError(Application.Match(cuenta, ThisWorkbook.Sheets("Plan de Cuentas").Range("A5:A1241"), 0)) Then
        MsgBox "El código de Cuenta '" &amp; cuenta &amp; "' no existe en el Plan de Cuentas.", vbExclamation
        Exit Sub
    End If
    If IsError(Application.Match(contra, ThisWorkbook.Sheets("Plan de Cuentas").Range("A5:A1241"), 0)) Then
        MsgBox "El código de Contra-cuenta '" &amp; contra &amp; "' no existe en el Plan de Cuentas.", vbExclamation
        Exit Sub
    End If
    fechaHoy = Date
    horaAhora = Time
    ' --- 1) Escribir en Base de Datos (siguiente fila libre desde la fila 5) ---
    filaBD = 5
    Do While wsBD.Cells(filaBD, 1).Value &lt;&gt; ""
        filaBD = filaBD + 1
    Loop
    nRegistro = wsBD.Cells(filaBD - 1, 1).Value + 1
    If filaBD = 5 Then nRegistro = 1
    wsBD.Cells(filaBD, 1).Value = nRegistro          ' N°
    wsBD.Cells(filaBD, 2).Value = fechaHoy            ' Fecha
    wsBD.Cells(filaBD, 3).Value = horaAhora           ' Hora
    wsBD.Cells(filaBD, 4).Value = cuenta              ' Codigo cuenta
    wsBD.Cells(filaBD, 6).Value = contra              ' Codigo contra-cuenta
    wsBD.Cells(filaBD, 8).Value = monto               ' Monto
    wsBD.Cells(filaBD, 9).Value = obs                 ' Observacion
    ' Las columnas E y G (denominaciones) ya tienen formula propia en cada fila
    ' --- 2) Escribir en Libro Diario (dos filas: Debe y Haber) ---
    filaDiario = 5
    Do While wsDiario.Cells(filaDiario, 3).Value &lt;&gt; "" And filaDiario &lt;= 504
        filaDiario = filaDiario + 1
    Loop
    If filaDiario &gt; 503 Then
        MsgBox "El Libro Diario llegó a su límite de filas provisionadas (500). Avísame para ampliarlo.", vbCritical
        Exit Sub
    End If
    Dim esDebeCuentaPrincipal As Boolean
    esDebeCuentaPrincipal = (InStr(tipo, "Debe") &gt; 0)
    ' Fila 1 del asiento: cuenta principal
    wsDiario.Cells(filaDiario, 1).Value = fechaHoy
    wsDiario.Cells(filaDiario, 2).Value = nRegistro
    wsDiario.Cells(filaDiario, 3).Value = cuenta
    wsDiario.Cells(filaDiario, 5).Value = obs
    If esDebeCuentaPrincipal Then
        wsDiario.Cells(filaDiario, 6).Value = monto
    Else
        wsDiario.Cells(filaDiario, 7).Value = monto
    End If
    ' Fila 2 del asiento: contra-cuenta (con el signo contrario)
    wsDiario.Cells(filaDiario + 1, 1).Value = fechaHoy
    wsDiario.Cells(filaDiario + 1, 2).Value = nRegistro
    wsDiario.Cells(filaDiario + 1, 3).Value = contra
    wsDiario.Cells(filaDiario + 1, 5).Value = obs
    If esDebeCuentaPrincipal Then
        wsDiario.Cells(filaDiario + 1, 7).Value = monto
    Else
        wsDiario.Cells(filaDiario + 1, 6).Value = monto
    End If
    ' --- 3) Limpiar el formulario para el siguiente registro ---
    wsForm.Range("C6").Value = ""
    wsForm.Range("C7").Value = ""
    wsForm.Range("C8").Value = ""
    wsForm.Range("C9").Value = ""
    wsForm.Range("C10").Value = ""
    Application.Calculate
    MsgBox "Registro N° " &amp; nRegistro &amp; " guardado en Base de Datos y en el Libro Diario.", vbInformation
End Sub
</t>
  </si>
</sst>
</file>

<file path=xl/styles.xml><?xml version="1.0" encoding="utf-8"?>
<styleSheet xmlns="http://schemas.openxmlformats.org/spreadsheetml/2006/main">
  <numFmts count="5">
    <numFmt numFmtId="164" formatCode="General"/>
    <numFmt numFmtId="165" formatCode="@"/>
    <numFmt numFmtId="166" formatCode="#,##0.00"/>
    <numFmt numFmtId="167" formatCode="dd/mm/yyyy"/>
    <numFmt numFmtId="168" formatCode="hh:mm:ss"/>
  </numFmts>
  <fonts count="26">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b val="true"/>
      <sz val="11"/>
      <color rgb="FF2E7D32"/>
      <name val="Arial"/>
      <family val="0"/>
      <charset val="1"/>
    </font>
    <font>
      <i val="true"/>
      <sz val="9"/>
      <color rgb="FF7F7F7F"/>
      <name val="Arial"/>
      <family val="0"/>
      <charset val="1"/>
    </font>
    <font>
      <sz val="11"/>
      <color rgb="FF0000FF"/>
      <name val="Arial"/>
      <family val="0"/>
      <charset val="1"/>
    </font>
    <font>
      <i val="true"/>
      <sz val="10"/>
      <color rgb="FF595959"/>
      <name val="Arial"/>
      <family val="0"/>
      <charset val="1"/>
    </font>
    <font>
      <b val="true"/>
      <sz val="13"/>
      <color rgb="FFFFFFFF"/>
      <name val="Arial"/>
      <family val="0"/>
      <charset val="1"/>
    </font>
    <font>
      <b val="true"/>
      <sz val="10"/>
      <color rgb="FFFFFFFF"/>
      <name val="Arial"/>
      <family val="0"/>
      <charset val="1"/>
    </font>
    <font>
      <sz val="10"/>
      <name val="Arial"/>
      <family val="0"/>
      <charset val="1"/>
    </font>
    <font>
      <b val="true"/>
      <sz val="14"/>
      <color rgb="FFFFFFFF"/>
      <name val="Arial"/>
      <family val="0"/>
      <charset val="1"/>
    </font>
    <font>
      <i val="true"/>
      <sz val="10"/>
      <color rgb="FF404040"/>
      <name val="Arial"/>
      <family val="0"/>
      <charset val="1"/>
    </font>
    <font>
      <b val="true"/>
      <sz val="11"/>
      <color rgb="FFFFFFFF"/>
      <name val="Arial"/>
      <family val="0"/>
      <charset val="1"/>
    </font>
    <font>
      <sz val="10"/>
      <color rgb="FF0000FF"/>
      <name val="Arial"/>
      <family val="0"/>
      <charset val="1"/>
    </font>
    <font>
      <b val="true"/>
      <sz val="11"/>
      <name val="Arial"/>
      <family val="0"/>
      <charset val="1"/>
    </font>
    <font>
      <i val="true"/>
      <sz val="10"/>
      <name val="Arial"/>
      <family val="0"/>
      <charset val="1"/>
    </font>
    <font>
      <b val="true"/>
      <sz val="10"/>
      <name val="Arial"/>
      <family val="0"/>
      <charset val="1"/>
    </font>
    <font>
      <b val="true"/>
      <sz val="11"/>
      <color rgb="FF1F4E78"/>
      <name val="Arial"/>
      <family val="0"/>
      <charset val="1"/>
    </font>
    <font>
      <sz val="10"/>
      <color rgb="FF000000"/>
      <name val="Arial"/>
      <family val="0"/>
      <charset val="1"/>
    </font>
    <font>
      <b val="true"/>
      <sz val="10"/>
      <color rgb="FF000000"/>
      <name val="Arial"/>
      <family val="0"/>
      <charset val="1"/>
    </font>
    <font>
      <b val="true"/>
      <sz val="12"/>
      <color rgb="FFFFFFFF"/>
      <name val="Arial"/>
      <family val="0"/>
      <charset val="1"/>
    </font>
    <font>
      <b val="true"/>
      <sz val="10"/>
      <color rgb="FF1F4E78"/>
      <name val="Arial"/>
      <family val="0"/>
      <charset val="1"/>
    </font>
    <font>
      <sz val="9"/>
      <name val="Arial"/>
      <family val="0"/>
      <charset val="1"/>
    </font>
    <font>
      <sz val="9"/>
      <name val="Consolas"/>
      <family val="0"/>
      <charset val="1"/>
    </font>
  </fonts>
  <fills count="15">
    <fill>
      <patternFill patternType="none"/>
    </fill>
    <fill>
      <patternFill patternType="gray125"/>
    </fill>
    <fill>
      <patternFill patternType="solid">
        <fgColor rgb="FF2E7D32"/>
        <bgColor rgb="FF1B5E20"/>
      </patternFill>
    </fill>
    <fill>
      <patternFill patternType="solid">
        <fgColor rgb="FFE8F5E9"/>
        <bgColor rgb="FFF2F2F2"/>
      </patternFill>
    </fill>
    <fill>
      <patternFill patternType="solid">
        <fgColor rgb="FFFFF2CC"/>
        <bgColor rgb="FFF2F2F2"/>
      </patternFill>
    </fill>
    <fill>
      <patternFill patternType="solid">
        <fgColor rgb="FF1B5E20"/>
        <bgColor rgb="FF2E7D32"/>
      </patternFill>
    </fill>
    <fill>
      <patternFill patternType="solid">
        <fgColor rgb="FF1F4E78"/>
        <bgColor rgb="FF003366"/>
      </patternFill>
    </fill>
    <fill>
      <patternFill patternType="solid">
        <fgColor rgb="FF2E75B6"/>
        <bgColor rgb="FF0066CC"/>
      </patternFill>
    </fill>
    <fill>
      <patternFill patternType="solid">
        <fgColor rgb="FFD9D9D9"/>
        <bgColor rgb="FFD9E7F5"/>
      </patternFill>
    </fill>
    <fill>
      <patternFill patternType="solid">
        <fgColor rgb="FFD9E7F5"/>
        <bgColor rgb="FFDDEBF7"/>
      </patternFill>
    </fill>
    <fill>
      <patternFill patternType="solid">
        <fgColor rgb="FFBDD7EE"/>
        <bgColor rgb="FFD9D9D9"/>
      </patternFill>
    </fill>
    <fill>
      <patternFill patternType="solid">
        <fgColor rgb="FFDDEBF7"/>
        <bgColor rgb="FFD9E7F5"/>
      </patternFill>
    </fill>
    <fill>
      <patternFill patternType="solid">
        <fgColor rgb="FFF2F2F2"/>
        <bgColor rgb="FFE8F5E9"/>
      </patternFill>
    </fill>
    <fill>
      <patternFill patternType="solid">
        <fgColor rgb="FFFFFFFF"/>
        <bgColor rgb="FFF2F2F2"/>
      </patternFill>
    </fill>
    <fill>
      <patternFill patternType="solid">
        <fgColor rgb="FFE2EFDA"/>
        <bgColor rgb="FFE8F5E9"/>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true" indent="0" shrinkToFit="false"/>
      <protection locked="true" hidden="false"/>
    </xf>
    <xf numFmtId="164" fontId="5" fillId="3" borderId="1" xfId="0" applyFont="true" applyBorder="true" applyAlignment="true" applyProtection="false">
      <alignment horizontal="general" vertical="center" textRotation="0" wrapText="true" indent="0" shrinkToFit="false"/>
      <protection locked="true" hidden="false"/>
    </xf>
    <xf numFmtId="165" fontId="7" fillId="4"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6" fontId="7" fillId="4" borderId="1" xfId="0" applyFont="true" applyBorder="true" applyAlignment="tru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bottom" textRotation="0" wrapText="false" indent="0" shrinkToFit="false"/>
      <protection locked="true" hidden="false"/>
    </xf>
    <xf numFmtId="164" fontId="9" fillId="5"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center" vertical="bottom" textRotation="0" wrapText="tru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7" fontId="11" fillId="0" borderId="1" xfId="0" applyFont="true" applyBorder="true" applyAlignment="true" applyProtection="false">
      <alignment horizontal="general" vertical="bottom" textRotation="0" wrapText="false" indent="0" shrinkToFit="false"/>
      <protection locked="true" hidden="false"/>
    </xf>
    <xf numFmtId="168" fontId="11" fillId="0" borderId="1" xfId="0" applyFont="true" applyBorder="true" applyAlignment="true" applyProtection="false">
      <alignment horizontal="general" vertical="bottom" textRotation="0" wrapText="false" indent="0" shrinkToFit="false"/>
      <protection locked="true" hidden="false"/>
    </xf>
    <xf numFmtId="165" fontId="11" fillId="0" borderId="1" xfId="0" applyFont="true" applyBorder="true" applyAlignment="true" applyProtection="false">
      <alignment horizontal="general" vertical="bottom" textRotation="0" wrapText="false" indent="0" shrinkToFit="false"/>
      <protection locked="true" hidden="false"/>
    </xf>
    <xf numFmtId="166" fontId="11" fillId="0" borderId="1" xfId="0" applyFont="true" applyBorder="true" applyAlignment="true" applyProtection="false">
      <alignment horizontal="general" vertical="bottom" textRotation="0" wrapText="false" indent="0" shrinkToFit="false"/>
      <protection locked="true" hidden="false"/>
    </xf>
    <xf numFmtId="164" fontId="12" fillId="6" borderId="0"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true" applyAlignment="true" applyProtection="false">
      <alignment horizontal="general" vertical="bottom" textRotation="0" wrapText="true" indent="0" shrinkToFit="false"/>
      <protection locked="true" hidden="false"/>
    </xf>
    <xf numFmtId="164" fontId="14" fillId="7" borderId="2" xfId="0" applyFont="true" applyBorder="true" applyAlignment="true" applyProtection="false">
      <alignment horizontal="center" vertical="bottom" textRotation="0" wrapText="true" indent="0" shrinkToFit="false"/>
      <protection locked="true" hidden="false"/>
    </xf>
    <xf numFmtId="167" fontId="15" fillId="4" borderId="2" xfId="0" applyFont="true" applyBorder="true" applyAlignment="true" applyProtection="false">
      <alignment horizontal="general" vertical="bottom" textRotation="0" wrapText="false" indent="0" shrinkToFit="false"/>
      <protection locked="true" hidden="false"/>
    </xf>
    <xf numFmtId="164" fontId="15" fillId="4" borderId="2" xfId="0" applyFont="true" applyBorder="true" applyAlignment="true" applyProtection="false">
      <alignment horizontal="general" vertical="bottom" textRotation="0" wrapText="false" indent="0" shrinkToFit="false"/>
      <protection locked="true" hidden="false"/>
    </xf>
    <xf numFmtId="165" fontId="15" fillId="4" borderId="2" xfId="0" applyFont="true" applyBorder="true" applyAlignment="tru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general" vertical="bottom" textRotation="0" wrapText="false" indent="0" shrinkToFit="false"/>
      <protection locked="true" hidden="false"/>
    </xf>
    <xf numFmtId="166" fontId="15" fillId="4" borderId="2" xfId="0" applyFont="true" applyBorder="true" applyAlignment="true" applyProtection="false">
      <alignment horizontal="general" vertical="bottom" textRotation="0" wrapText="false" indent="0" shrinkToFit="false"/>
      <protection locked="true" hidden="false"/>
    </xf>
    <xf numFmtId="164" fontId="16" fillId="8" borderId="2" xfId="0" applyFont="true" applyBorder="true" applyAlignment="true" applyProtection="false">
      <alignment horizontal="general" vertical="bottom" textRotation="0" wrapText="false" indent="0" shrinkToFit="false"/>
      <protection locked="true" hidden="false"/>
    </xf>
    <xf numFmtId="166" fontId="16" fillId="8" borderId="2"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6" fontId="18" fillId="0" borderId="0" xfId="0" applyFont="true" applyBorder="false" applyAlignment="true" applyProtection="false">
      <alignment horizontal="general" vertical="bottom" textRotation="0" wrapText="false" indent="0" shrinkToFit="false"/>
      <protection locked="true" hidden="false"/>
    </xf>
    <xf numFmtId="165" fontId="11" fillId="0" borderId="2" xfId="0" applyFont="true" applyBorder="true" applyAlignment="true" applyProtection="false">
      <alignment horizontal="general" vertical="bottom" textRotation="0" wrapText="false" indent="0" shrinkToFit="false"/>
      <protection locked="true" hidden="false"/>
    </xf>
    <xf numFmtId="164" fontId="11" fillId="0" borderId="2" xfId="0" applyFont="true" applyBorder="true" applyAlignment="true" applyProtection="false">
      <alignment horizontal="general" vertical="bottom" textRotation="0" wrapText="false" indent="0" shrinkToFit="false"/>
      <protection locked="true" hidden="false"/>
    </xf>
    <xf numFmtId="166" fontId="11" fillId="0" borderId="2" xfId="0" applyFont="true" applyBorder="true" applyAlignment="true" applyProtection="false">
      <alignment horizontal="general" vertical="bottom" textRotation="0" wrapText="false" indent="0" shrinkToFit="false"/>
      <protection locked="true" hidden="false"/>
    </xf>
    <xf numFmtId="165" fontId="11" fillId="8" borderId="2" xfId="0" applyFont="true" applyBorder="true" applyAlignment="true" applyProtection="false">
      <alignment horizontal="general" vertical="bottom" textRotation="0" wrapText="false" indent="0" shrinkToFit="false"/>
      <protection locked="true" hidden="false"/>
    </xf>
    <xf numFmtId="164" fontId="11" fillId="8" borderId="2" xfId="0" applyFont="true" applyBorder="true" applyAlignment="true" applyProtection="false">
      <alignment horizontal="general" vertical="bottom" textRotation="0" wrapText="false" indent="0" shrinkToFit="false"/>
      <protection locked="true" hidden="false"/>
    </xf>
    <xf numFmtId="166" fontId="11" fillId="8" borderId="2" xfId="0" applyFont="true" applyBorder="true" applyAlignment="true" applyProtection="false">
      <alignment horizontal="general" vertical="bottom" textRotation="0" wrapText="false" indent="0" shrinkToFit="false"/>
      <protection locked="true" hidden="false"/>
    </xf>
    <xf numFmtId="164" fontId="0" fillId="8" borderId="2" xfId="0" applyFont="false" applyBorder="true" applyAlignment="true" applyProtection="false">
      <alignment horizontal="general" vertical="bottom" textRotation="0" wrapText="false" indent="0" shrinkToFit="false"/>
      <protection locked="true" hidden="false"/>
    </xf>
    <xf numFmtId="164" fontId="19" fillId="9" borderId="2" xfId="0" applyFont="true" applyBorder="true" applyAlignment="true" applyProtection="false">
      <alignment horizontal="general" vertical="bottom" textRotation="0" wrapText="false" indent="0" shrinkToFit="false"/>
      <protection locked="true" hidden="false"/>
    </xf>
    <xf numFmtId="164" fontId="0" fillId="9" borderId="2" xfId="0" applyFont="false" applyBorder="true" applyAlignment="true" applyProtection="false">
      <alignment horizontal="general" vertical="bottom" textRotation="0" wrapText="false" indent="0" shrinkToFit="false"/>
      <protection locked="true" hidden="false"/>
    </xf>
    <xf numFmtId="166" fontId="20" fillId="0" borderId="2" xfId="0" applyFont="true" applyBorder="true" applyAlignment="true" applyProtection="false">
      <alignment horizontal="general" vertical="bottom" textRotation="0" wrapText="false" indent="0" shrinkToFit="false"/>
      <protection locked="true" hidden="false"/>
    </xf>
    <xf numFmtId="164" fontId="18" fillId="0" borderId="2" xfId="0" applyFont="true" applyBorder="true" applyAlignment="true" applyProtection="false">
      <alignment horizontal="general" vertical="bottom" textRotation="0" wrapText="false" indent="0" shrinkToFit="false"/>
      <protection locked="true" hidden="false"/>
    </xf>
    <xf numFmtId="166" fontId="21" fillId="0" borderId="2" xfId="0" applyFont="true" applyBorder="true" applyAlignment="true" applyProtection="false">
      <alignment horizontal="general" vertical="bottom" textRotation="0" wrapText="false" indent="0" shrinkToFit="false"/>
      <protection locked="true" hidden="false"/>
    </xf>
    <xf numFmtId="164" fontId="18" fillId="8" borderId="2" xfId="0" applyFont="true" applyBorder="true" applyAlignment="true" applyProtection="false">
      <alignment horizontal="general" vertical="bottom" textRotation="0" wrapText="false" indent="0" shrinkToFit="false"/>
      <protection locked="true" hidden="false"/>
    </xf>
    <xf numFmtId="166" fontId="21" fillId="8" borderId="2" xfId="0" applyFont="true" applyBorder="true" applyAlignment="true" applyProtection="false">
      <alignment horizontal="general" vertical="bottom" textRotation="0" wrapText="false" indent="0" shrinkToFit="false"/>
      <protection locked="true" hidden="false"/>
    </xf>
    <xf numFmtId="166" fontId="18" fillId="8" borderId="2" xfId="0" applyFont="true" applyBorder="true" applyAlignment="true" applyProtection="false">
      <alignment horizontal="general" vertical="bottom" textRotation="0" wrapText="false" indent="0" shrinkToFit="false"/>
      <protection locked="true" hidden="false"/>
    </xf>
    <xf numFmtId="164" fontId="14" fillId="7" borderId="2"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4" fillId="7" borderId="2" xfId="0" applyFont="true" applyBorder="true" applyAlignment="true" applyProtection="false">
      <alignment horizontal="center" vertical="center" textRotation="0" wrapText="false" indent="0" shrinkToFit="false"/>
      <protection locked="true" hidden="false"/>
    </xf>
    <xf numFmtId="164" fontId="22" fillId="6" borderId="0" xfId="0" applyFont="true" applyBorder="true" applyAlignment="true" applyProtection="false">
      <alignment horizontal="left" vertical="center" textRotation="0" wrapText="false" indent="0" shrinkToFit="false"/>
      <protection locked="true" hidden="false"/>
    </xf>
    <xf numFmtId="164" fontId="23" fillId="10" borderId="2" xfId="0" applyFont="true" applyBorder="true" applyAlignment="true" applyProtection="false">
      <alignment horizontal="general" vertical="bottom" textRotation="0" wrapText="false" indent="0" shrinkToFit="false"/>
      <protection locked="true" hidden="false"/>
    </xf>
    <xf numFmtId="164" fontId="0" fillId="10" borderId="2" xfId="0" applyFont="false" applyBorder="true" applyAlignment="true" applyProtection="false">
      <alignment horizontal="general" vertical="bottom" textRotation="0" wrapText="false" indent="0" shrinkToFit="false"/>
      <protection locked="true" hidden="false"/>
    </xf>
    <xf numFmtId="164" fontId="23" fillId="11" borderId="2" xfId="0" applyFont="true" applyBorder="true" applyAlignment="true" applyProtection="false">
      <alignment horizontal="general" vertical="bottom" textRotation="0" wrapText="false" indent="0" shrinkToFit="false"/>
      <protection locked="true" hidden="false"/>
    </xf>
    <xf numFmtId="164" fontId="23" fillId="11" borderId="2" xfId="0" applyFont="true" applyBorder="true" applyAlignment="true" applyProtection="false">
      <alignment horizontal="general" vertical="bottom" textRotation="0" wrapText="false" indent="1" shrinkToFit="false"/>
      <protection locked="true" hidden="false"/>
    </xf>
    <xf numFmtId="164" fontId="0" fillId="11" borderId="2" xfId="0" applyFont="false" applyBorder="true" applyAlignment="true" applyProtection="false">
      <alignment horizontal="general" vertical="bottom" textRotation="0" wrapText="false" indent="0" shrinkToFit="false"/>
      <protection locked="true" hidden="false"/>
    </xf>
    <xf numFmtId="164" fontId="11" fillId="12" borderId="2" xfId="0" applyFont="true" applyBorder="true" applyAlignment="true" applyProtection="false">
      <alignment horizontal="general" vertical="bottom" textRotation="0" wrapText="false" indent="0" shrinkToFit="false"/>
      <protection locked="true" hidden="false"/>
    </xf>
    <xf numFmtId="164" fontId="11" fillId="12" borderId="2" xfId="0" applyFont="true" applyBorder="true" applyAlignment="true" applyProtection="false">
      <alignment horizontal="general" vertical="bottom" textRotation="0" wrapText="false" indent="2" shrinkToFit="false"/>
      <protection locked="true" hidden="false"/>
    </xf>
    <xf numFmtId="164" fontId="0" fillId="12" borderId="2" xfId="0" applyFont="false" applyBorder="true" applyAlignment="true" applyProtection="false">
      <alignment horizontal="general" vertical="bottom" textRotation="0" wrapText="false" indent="0" shrinkToFit="false"/>
      <protection locked="true" hidden="false"/>
    </xf>
    <xf numFmtId="164" fontId="24" fillId="13" borderId="2" xfId="0" applyFont="true" applyBorder="true" applyAlignment="true" applyProtection="false">
      <alignment horizontal="general" vertical="bottom" textRotation="0" wrapText="false" indent="0" shrinkToFit="false"/>
      <protection locked="true" hidden="false"/>
    </xf>
    <xf numFmtId="164" fontId="24" fillId="13" borderId="2" xfId="0" applyFont="true" applyBorder="true" applyAlignment="true" applyProtection="false">
      <alignment horizontal="general" vertical="bottom" textRotation="0" wrapText="false" indent="3" shrinkToFit="false"/>
      <protection locked="true" hidden="false"/>
    </xf>
    <xf numFmtId="164" fontId="0" fillId="13" borderId="2" xfId="0" applyFont="false" applyBorder="true" applyAlignment="true" applyProtection="false">
      <alignment horizontal="general" vertical="bottom" textRotation="0" wrapText="false" indent="0" shrinkToFit="false"/>
      <protection locked="true" hidden="false"/>
    </xf>
    <xf numFmtId="164" fontId="24" fillId="13" borderId="2" xfId="0" applyFont="true" applyBorder="true" applyAlignment="true" applyProtection="false">
      <alignment horizontal="general" vertical="bottom" textRotation="0" wrapText="false" indent="4" shrinkToFit="false"/>
      <protection locked="true" hidden="false"/>
    </xf>
    <xf numFmtId="164" fontId="23" fillId="14" borderId="0" xfId="0" applyFont="true" applyBorder="true" applyAlignment="true" applyProtection="false">
      <alignment horizontal="left" vertical="center" textRotation="0" wrapText="false" indent="1" shrinkToFit="false"/>
      <protection locked="true" hidden="false"/>
    </xf>
    <xf numFmtId="164" fontId="11" fillId="0" borderId="0" xfId="0" applyFont="true" applyBorder="true" applyAlignment="true" applyProtection="false">
      <alignment horizontal="general" vertical="bottom" textRotation="0" wrapText="tru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5" fillId="12"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B5E20"/>
      <rgbColor rgb="FF000080"/>
      <rgbColor rgb="FF808000"/>
      <rgbColor rgb="FF800080"/>
      <rgbColor rgb="FF008080"/>
      <rgbColor rgb="FFBFBFBF"/>
      <rgbColor rgb="FF7F7F7F"/>
      <rgbColor rgb="FF9999FF"/>
      <rgbColor rgb="FF993366"/>
      <rgbColor rgb="FFFFF2CC"/>
      <rgbColor rgb="FFDD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E8F5E9"/>
      <rgbColor rgb="FFE2EFDA"/>
      <rgbColor rgb="FFF2F2F2"/>
      <rgbColor rgb="FFD9E7F5"/>
      <rgbColor rgb="FFFF99CC"/>
      <rgbColor rgb="FFCC99FF"/>
      <rgbColor rgb="FFD9D9D9"/>
      <rgbColor rgb="FF2E75B6"/>
      <rgbColor rgb="FF33CCCC"/>
      <rgbColor rgb="FF99CC00"/>
      <rgbColor rgb="FFFFCC00"/>
      <rgbColor rgb="FFFF9900"/>
      <rgbColor rgb="FFFF6600"/>
      <rgbColor rgb="FF595959"/>
      <rgbColor rgb="FF969696"/>
      <rgbColor rgb="FF003366"/>
      <rgbColor rgb="FF2E7D32"/>
      <rgbColor rgb="FF003300"/>
      <rgbColor rgb="FF333300"/>
      <rgbColor rgb="FF993300"/>
      <rgbColor rgb="FF993366"/>
      <rgbColor rgb="FF1F4E78"/>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5" min="3" style="1" width="16"/>
  </cols>
  <sheetData>
    <row r="2" customFormat="false" ht="25.5" hidden="false" customHeight="true" outlineLevel="0" collapsed="false">
      <c r="B2" s="2" t="s">
        <v>0</v>
      </c>
      <c r="C2" s="2"/>
      <c r="D2" s="2"/>
      <c r="E2" s="2"/>
    </row>
    <row r="3" customFormat="false" ht="15" hidden="false" customHeight="true" outlineLevel="0" collapsed="false">
      <c r="B3" s="3" t="s">
        <v>1</v>
      </c>
      <c r="C3" s="3"/>
      <c r="D3" s="3"/>
      <c r="E3" s="3"/>
    </row>
    <row r="4" customFormat="false" ht="27.75" hidden="false" customHeight="true" outlineLevel="0" collapsed="false">
      <c r="B4" s="4" t="s">
        <v>2</v>
      </c>
      <c r="C4" s="4"/>
      <c r="D4" s="4"/>
      <c r="E4" s="4"/>
    </row>
    <row r="6" customFormat="false" ht="15" hidden="false" customHeight="true" outlineLevel="0" collapsed="false">
      <c r="B6" s="5" t="s">
        <v>3</v>
      </c>
      <c r="C6" s="6"/>
      <c r="D6" s="7" t="str">
        <f aca="false">IF(C6="","",IFERROR(INDEX('Plan de Cuentas'!$B$5:$B$1241,MATCH(C6,'Plan de Cuentas'!$A$5:$A$1241,0)),"Código no encontrado"))</f>
        <v/>
      </c>
      <c r="E6" s="7"/>
    </row>
    <row r="7" customFormat="false" ht="26.25" hidden="false" customHeight="true" outlineLevel="0" collapsed="false">
      <c r="B7" s="5" t="s">
        <v>4</v>
      </c>
      <c r="C7" s="6"/>
      <c r="D7" s="7" t="str">
        <f aca="false">IF(C7="","",IFERROR(INDEX('Plan de Cuentas'!$B$5:$B$1241,MATCH(C7,'Plan de Cuentas'!$A$5:$A$1241,0)),"Código no encontrado"))</f>
        <v/>
      </c>
      <c r="E7" s="7"/>
    </row>
    <row r="8" customFormat="false" ht="15" hidden="false" customHeight="true" outlineLevel="0" collapsed="false">
      <c r="B8" s="5" t="s">
        <v>5</v>
      </c>
      <c r="C8" s="8"/>
    </row>
    <row r="9" customFormat="false" ht="15" hidden="false" customHeight="true" outlineLevel="0" collapsed="false">
      <c r="B9" s="5" t="s">
        <v>6</v>
      </c>
      <c r="C9" s="9"/>
      <c r="D9" s="9"/>
      <c r="E9" s="9"/>
    </row>
    <row r="10" customFormat="false" ht="39" hidden="false" customHeight="true" outlineLevel="0" collapsed="false">
      <c r="B10" s="5" t="s">
        <v>7</v>
      </c>
      <c r="C10" s="9"/>
      <c r="D10" s="9"/>
      <c r="E10" s="9"/>
    </row>
    <row r="12" customFormat="false" ht="19.5" hidden="false" customHeight="true" outlineLevel="0" collapsed="false">
      <c r="B12" s="10" t="s">
        <v>8</v>
      </c>
      <c r="C12" s="10"/>
      <c r="D12" s="10"/>
      <c r="E12" s="10"/>
    </row>
    <row r="13" customFormat="false" ht="19.5" hidden="false" customHeight="true" outlineLevel="0" collapsed="false">
      <c r="B13" s="10"/>
      <c r="C13" s="10"/>
      <c r="D13" s="10"/>
      <c r="E13" s="10"/>
    </row>
    <row r="15" customFormat="false" ht="15" hidden="false" customHeight="true" outlineLevel="0" collapsed="false">
      <c r="B15" s="11" t="s">
        <v>9</v>
      </c>
      <c r="C15" s="11"/>
      <c r="D15" s="11"/>
      <c r="E15" s="11"/>
    </row>
    <row r="16" customFormat="false" ht="15" hidden="false" customHeight="true" outlineLevel="0" collapsed="false">
      <c r="B16" s="11"/>
      <c r="C16" s="11"/>
      <c r="D16" s="11"/>
      <c r="E16" s="11"/>
    </row>
    <row r="17" customFormat="false" ht="15" hidden="false" customHeight="true" outlineLevel="0" collapsed="false">
      <c r="B17" s="11"/>
      <c r="C17" s="11"/>
      <c r="D17" s="11"/>
      <c r="E17" s="11"/>
    </row>
  </sheetData>
  <mergeCells count="9">
    <mergeCell ref="B2:E2"/>
    <mergeCell ref="B3:E3"/>
    <mergeCell ref="B4:E4"/>
    <mergeCell ref="D6:E6"/>
    <mergeCell ref="D7:E7"/>
    <mergeCell ref="C9:E9"/>
    <mergeCell ref="C10:E10"/>
    <mergeCell ref="B12:E13"/>
    <mergeCell ref="B15:E17"/>
  </mergeCells>
  <dataValidations count="3">
    <dataValidation allowBlank="true" errorStyle="stop" operator="between" showDropDown="false" showErrorMessage="false" showInputMessage="false" sqref="C6" type="list">
      <formula1>'Plan de Cuentas'!$A$5:$A$1241</formula1>
      <formula2>0</formula2>
    </dataValidation>
    <dataValidation allowBlank="true" errorStyle="stop" operator="between" showDropDown="false" showErrorMessage="false" showInputMessage="false" sqref="C7" type="list">
      <formula1>'Plan de Cuentas'!$A$5:$A$1241</formula1>
      <formula2>0</formula2>
    </dataValidation>
    <dataValidation allowBlank="true" errorStyle="stop" operator="between" showDropDown="false" showErrorMessage="false" showInputMessage="false" sqref="C10" type="list">
      <formula1>"Ingreso a la cuenta (Debe),Salida de la cuenta (Haber)"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2"/>
    <col collapsed="false" customWidth="true" hidden="false" outlineLevel="0" max="3" min="3" style="1" width="10"/>
    <col collapsed="false" customWidth="true" hidden="false" outlineLevel="0" max="4" min="4" style="1" width="13"/>
    <col collapsed="false" customWidth="true" hidden="false" outlineLevel="0" max="5" min="5" style="1" width="32"/>
    <col collapsed="false" customWidth="true" hidden="false" outlineLevel="0" max="6" min="6" style="1" width="15"/>
    <col collapsed="false" customWidth="true" hidden="false" outlineLevel="0" max="7" min="7" style="1" width="32"/>
    <col collapsed="false" customWidth="true" hidden="false" outlineLevel="0" max="8" min="8" style="1" width="13"/>
    <col collapsed="false" customWidth="true" hidden="false" outlineLevel="0" max="9" min="9" style="1" width="34"/>
  </cols>
  <sheetData>
    <row r="1" customFormat="false" ht="21.75" hidden="false" customHeight="true" outlineLevel="0" collapsed="false">
      <c r="A1" s="2" t="s">
        <v>10</v>
      </c>
      <c r="B1" s="2"/>
      <c r="C1" s="2"/>
      <c r="D1" s="2"/>
      <c r="E1" s="2"/>
      <c r="F1" s="2"/>
      <c r="G1" s="2"/>
      <c r="H1" s="2"/>
      <c r="I1" s="2"/>
    </row>
    <row r="2" customFormat="false" ht="27.75" hidden="false" customHeight="true" outlineLevel="0" collapsed="false">
      <c r="A2" s="4" t="s">
        <v>11</v>
      </c>
      <c r="B2" s="4"/>
      <c r="C2" s="4"/>
      <c r="D2" s="4"/>
      <c r="E2" s="4"/>
      <c r="F2" s="4"/>
      <c r="G2" s="4"/>
      <c r="H2" s="4"/>
      <c r="I2" s="4"/>
    </row>
    <row r="4" customFormat="false" ht="23.25" hidden="false" customHeight="true" outlineLevel="0" collapsed="false">
      <c r="A4" s="12" t="s">
        <v>12</v>
      </c>
      <c r="B4" s="12" t="s">
        <v>13</v>
      </c>
      <c r="C4" s="12" t="s">
        <v>14</v>
      </c>
      <c r="D4" s="12" t="s">
        <v>15</v>
      </c>
      <c r="E4" s="12" t="s">
        <v>16</v>
      </c>
      <c r="F4" s="12" t="s">
        <v>17</v>
      </c>
      <c r="G4" s="12" t="s">
        <v>18</v>
      </c>
      <c r="H4" s="12" t="s">
        <v>19</v>
      </c>
      <c r="I4" s="12" t="s">
        <v>20</v>
      </c>
    </row>
    <row r="5" customFormat="false" ht="15" hidden="false" customHeight="true" outlineLevel="0" collapsed="false">
      <c r="A5" s="13" t="n">
        <v>1</v>
      </c>
      <c r="B5" s="14" t="n">
        <v>46024</v>
      </c>
      <c r="C5" s="15" t="n">
        <v>0.375</v>
      </c>
      <c r="D5" s="16" t="s">
        <v>21</v>
      </c>
      <c r="E5" s="13" t="str">
        <f aca="false">IFERROR(INDEX('Plan de Cuentas'!$B$5:$B$1241,MATCH(D5,'Plan de Cuentas'!$A$5:$A$1241,0)),"")</f>
        <v>Caja</v>
      </c>
      <c r="F5" s="16" t="s">
        <v>22</v>
      </c>
      <c r="G5" s="13" t="str">
        <f aca="false">IFERROR(INDEX('Plan de Cuentas'!$B$5:$B$1241,MATCH(F5,'Plan de Cuentas'!$A$5:$A$1241,0)),"")</f>
        <v>Acciones</v>
      </c>
      <c r="H5" s="17" t="n">
        <v>10</v>
      </c>
      <c r="I5" s="13" t="s">
        <v>23</v>
      </c>
    </row>
    <row r="6" customFormat="false" ht="15" hidden="false" customHeight="true" outlineLevel="0" collapsed="false">
      <c r="A6" s="13"/>
      <c r="B6" s="14"/>
      <c r="C6" s="15"/>
      <c r="D6" s="16"/>
      <c r="E6" s="13" t="str">
        <f aca="false">IF(D6="","",IFERROR(INDEX('Plan de Cuentas'!$B$5:$B$1241,MATCH(D6,'Plan de Cuentas'!$A$5:$A$1241,0)),"No encontrado"))</f>
        <v/>
      </c>
      <c r="F6" s="16"/>
      <c r="G6" s="13" t="str">
        <f aca="false">IF(F6="","",IFERROR(INDEX('Plan de Cuentas'!$B$5:$B$1241,MATCH(F6,'Plan de Cuentas'!$A$5:$A$1241,0)),"No encontrado"))</f>
        <v/>
      </c>
      <c r="H6" s="17"/>
      <c r="I6" s="13"/>
    </row>
    <row r="7" customFormat="false" ht="15" hidden="false" customHeight="true" outlineLevel="0" collapsed="false">
      <c r="A7" s="13"/>
      <c r="B7" s="14"/>
      <c r="C7" s="15"/>
      <c r="D7" s="16"/>
      <c r="E7" s="13" t="str">
        <f aca="false">IF(D7="","",IFERROR(INDEX('Plan de Cuentas'!$B$5:$B$1241,MATCH(D7,'Plan de Cuentas'!$A$5:$A$1241,0)),"No encontrado"))</f>
        <v/>
      </c>
      <c r="F7" s="16"/>
      <c r="G7" s="13" t="str">
        <f aca="false">IF(F7="","",IFERROR(INDEX('Plan de Cuentas'!$B$5:$B$1241,MATCH(F7,'Plan de Cuentas'!$A$5:$A$1241,0)),"No encontrado"))</f>
        <v/>
      </c>
      <c r="H7" s="17"/>
      <c r="I7" s="13"/>
    </row>
    <row r="8" customFormat="false" ht="15" hidden="false" customHeight="true" outlineLevel="0" collapsed="false">
      <c r="A8" s="13"/>
      <c r="B8" s="14"/>
      <c r="C8" s="15"/>
      <c r="D8" s="16"/>
      <c r="E8" s="13" t="str">
        <f aca="false">IF(D8="","",IFERROR(INDEX('Plan de Cuentas'!$B$5:$B$1241,MATCH(D8,'Plan de Cuentas'!$A$5:$A$1241,0)),"No encontrado"))</f>
        <v/>
      </c>
      <c r="F8" s="16"/>
      <c r="G8" s="13" t="str">
        <f aca="false">IF(F8="","",IFERROR(INDEX('Plan de Cuentas'!$B$5:$B$1241,MATCH(F8,'Plan de Cuentas'!$A$5:$A$1241,0)),"No encontrado"))</f>
        <v/>
      </c>
      <c r="H8" s="17"/>
      <c r="I8" s="13"/>
    </row>
    <row r="9" customFormat="false" ht="15" hidden="false" customHeight="true" outlineLevel="0" collapsed="false">
      <c r="A9" s="13"/>
      <c r="B9" s="14"/>
      <c r="C9" s="15"/>
      <c r="D9" s="16"/>
      <c r="E9" s="13" t="str">
        <f aca="false">IF(D9="","",IFERROR(INDEX('Plan de Cuentas'!$B$5:$B$1241,MATCH(D9,'Plan de Cuentas'!$A$5:$A$1241,0)),"No encontrado"))</f>
        <v/>
      </c>
      <c r="F9" s="16"/>
      <c r="G9" s="13" t="str">
        <f aca="false">IF(F9="","",IFERROR(INDEX('Plan de Cuentas'!$B$5:$B$1241,MATCH(F9,'Plan de Cuentas'!$A$5:$A$1241,0)),"No encontrado"))</f>
        <v/>
      </c>
      <c r="H9" s="17"/>
      <c r="I9" s="13"/>
    </row>
    <row r="10" customFormat="false" ht="15" hidden="false" customHeight="true" outlineLevel="0" collapsed="false">
      <c r="A10" s="13"/>
      <c r="B10" s="14"/>
      <c r="C10" s="15"/>
      <c r="D10" s="16"/>
      <c r="E10" s="13" t="str">
        <f aca="false">IF(D10="","",IFERROR(INDEX('Plan de Cuentas'!$B$5:$B$1241,MATCH(D10,'Plan de Cuentas'!$A$5:$A$1241,0)),"No encontrado"))</f>
        <v/>
      </c>
      <c r="F10" s="16"/>
      <c r="G10" s="13" t="str">
        <f aca="false">IF(F10="","",IFERROR(INDEX('Plan de Cuentas'!$B$5:$B$1241,MATCH(F10,'Plan de Cuentas'!$A$5:$A$1241,0)),"No encontrado"))</f>
        <v/>
      </c>
      <c r="H10" s="17"/>
      <c r="I10" s="13"/>
    </row>
    <row r="11" customFormat="false" ht="15" hidden="false" customHeight="true" outlineLevel="0" collapsed="false">
      <c r="A11" s="13"/>
      <c r="B11" s="14"/>
      <c r="C11" s="15"/>
      <c r="D11" s="16"/>
      <c r="E11" s="13" t="str">
        <f aca="false">IF(D11="","",IFERROR(INDEX('Plan de Cuentas'!$B$5:$B$1241,MATCH(D11,'Plan de Cuentas'!$A$5:$A$1241,0)),"No encontrado"))</f>
        <v/>
      </c>
      <c r="F11" s="16"/>
      <c r="G11" s="13" t="str">
        <f aca="false">IF(F11="","",IFERROR(INDEX('Plan de Cuentas'!$B$5:$B$1241,MATCH(F11,'Plan de Cuentas'!$A$5:$A$1241,0)),"No encontrado"))</f>
        <v/>
      </c>
      <c r="H11" s="17"/>
      <c r="I11" s="13"/>
    </row>
    <row r="12" customFormat="false" ht="15" hidden="false" customHeight="true" outlineLevel="0" collapsed="false">
      <c r="A12" s="13"/>
      <c r="B12" s="14"/>
      <c r="C12" s="15"/>
      <c r="D12" s="16"/>
      <c r="E12" s="13" t="str">
        <f aca="false">IF(D12="","",IFERROR(INDEX('Plan de Cuentas'!$B$5:$B$1241,MATCH(D12,'Plan de Cuentas'!$A$5:$A$1241,0)),"No encontrado"))</f>
        <v/>
      </c>
      <c r="F12" s="16"/>
      <c r="G12" s="13" t="str">
        <f aca="false">IF(F12="","",IFERROR(INDEX('Plan de Cuentas'!$B$5:$B$1241,MATCH(F12,'Plan de Cuentas'!$A$5:$A$1241,0)),"No encontrado"))</f>
        <v/>
      </c>
      <c r="H12" s="17"/>
      <c r="I12" s="13"/>
    </row>
    <row r="13" customFormat="false" ht="15" hidden="false" customHeight="true" outlineLevel="0" collapsed="false">
      <c r="A13" s="13"/>
      <c r="B13" s="14"/>
      <c r="C13" s="15"/>
      <c r="D13" s="16"/>
      <c r="E13" s="13" t="str">
        <f aca="false">IF(D13="","",IFERROR(INDEX('Plan de Cuentas'!$B$5:$B$1241,MATCH(D13,'Plan de Cuentas'!$A$5:$A$1241,0)),"No encontrado"))</f>
        <v/>
      </c>
      <c r="F13" s="16"/>
      <c r="G13" s="13" t="str">
        <f aca="false">IF(F13="","",IFERROR(INDEX('Plan de Cuentas'!$B$5:$B$1241,MATCH(F13,'Plan de Cuentas'!$A$5:$A$1241,0)),"No encontrado"))</f>
        <v/>
      </c>
      <c r="H13" s="17"/>
      <c r="I13" s="13"/>
    </row>
    <row r="14" customFormat="false" ht="15" hidden="false" customHeight="true" outlineLevel="0" collapsed="false">
      <c r="A14" s="13"/>
      <c r="B14" s="14"/>
      <c r="C14" s="15"/>
      <c r="D14" s="16"/>
      <c r="E14" s="13" t="str">
        <f aca="false">IF(D14="","",IFERROR(INDEX('Plan de Cuentas'!$B$5:$B$1241,MATCH(D14,'Plan de Cuentas'!$A$5:$A$1241,0)),"No encontrado"))</f>
        <v/>
      </c>
      <c r="F14" s="16"/>
      <c r="G14" s="13" t="str">
        <f aca="false">IF(F14="","",IFERROR(INDEX('Plan de Cuentas'!$B$5:$B$1241,MATCH(F14,'Plan de Cuentas'!$A$5:$A$1241,0)),"No encontrado"))</f>
        <v/>
      </c>
      <c r="H14" s="17"/>
      <c r="I14" s="13"/>
    </row>
    <row r="15" customFormat="false" ht="15" hidden="false" customHeight="true" outlineLevel="0" collapsed="false">
      <c r="A15" s="13"/>
      <c r="B15" s="14"/>
      <c r="C15" s="15"/>
      <c r="D15" s="16"/>
      <c r="E15" s="13" t="str">
        <f aca="false">IF(D15="","",IFERROR(INDEX('Plan de Cuentas'!$B$5:$B$1241,MATCH(D15,'Plan de Cuentas'!$A$5:$A$1241,0)),"No encontrado"))</f>
        <v/>
      </c>
      <c r="F15" s="16"/>
      <c r="G15" s="13" t="str">
        <f aca="false">IF(F15="","",IFERROR(INDEX('Plan de Cuentas'!$B$5:$B$1241,MATCH(F15,'Plan de Cuentas'!$A$5:$A$1241,0)),"No encontrado"))</f>
        <v/>
      </c>
      <c r="H15" s="17"/>
      <c r="I15" s="13"/>
    </row>
    <row r="16" customFormat="false" ht="15" hidden="false" customHeight="true" outlineLevel="0" collapsed="false">
      <c r="A16" s="13"/>
      <c r="B16" s="14"/>
      <c r="C16" s="15"/>
      <c r="D16" s="16"/>
      <c r="E16" s="13" t="str">
        <f aca="false">IF(D16="","",IFERROR(INDEX('Plan de Cuentas'!$B$5:$B$1241,MATCH(D16,'Plan de Cuentas'!$A$5:$A$1241,0)),"No encontrado"))</f>
        <v/>
      </c>
      <c r="F16" s="16"/>
      <c r="G16" s="13" t="str">
        <f aca="false">IF(F16="","",IFERROR(INDEX('Plan de Cuentas'!$B$5:$B$1241,MATCH(F16,'Plan de Cuentas'!$A$5:$A$1241,0)),"No encontrado"))</f>
        <v/>
      </c>
      <c r="H16" s="17"/>
      <c r="I16" s="13"/>
    </row>
    <row r="17" customFormat="false" ht="15" hidden="false" customHeight="true" outlineLevel="0" collapsed="false">
      <c r="A17" s="13"/>
      <c r="B17" s="14"/>
      <c r="C17" s="15"/>
      <c r="D17" s="16"/>
      <c r="E17" s="13" t="str">
        <f aca="false">IF(D17="","",IFERROR(INDEX('Plan de Cuentas'!$B$5:$B$1241,MATCH(D17,'Plan de Cuentas'!$A$5:$A$1241,0)),"No encontrado"))</f>
        <v/>
      </c>
      <c r="F17" s="16"/>
      <c r="G17" s="13" t="str">
        <f aca="false">IF(F17="","",IFERROR(INDEX('Plan de Cuentas'!$B$5:$B$1241,MATCH(F17,'Plan de Cuentas'!$A$5:$A$1241,0)),"No encontrado"))</f>
        <v/>
      </c>
      <c r="H17" s="17"/>
      <c r="I17" s="13"/>
    </row>
    <row r="18" customFormat="false" ht="15" hidden="false" customHeight="true" outlineLevel="0" collapsed="false">
      <c r="A18" s="13"/>
      <c r="B18" s="14"/>
      <c r="C18" s="15"/>
      <c r="D18" s="16"/>
      <c r="E18" s="13" t="str">
        <f aca="false">IF(D18="","",IFERROR(INDEX('Plan de Cuentas'!$B$5:$B$1241,MATCH(D18,'Plan de Cuentas'!$A$5:$A$1241,0)),"No encontrado"))</f>
        <v/>
      </c>
      <c r="F18" s="16"/>
      <c r="G18" s="13" t="str">
        <f aca="false">IF(F18="","",IFERROR(INDEX('Plan de Cuentas'!$B$5:$B$1241,MATCH(F18,'Plan de Cuentas'!$A$5:$A$1241,0)),"No encontrado"))</f>
        <v/>
      </c>
      <c r="H18" s="17"/>
      <c r="I18" s="13"/>
    </row>
    <row r="19" customFormat="false" ht="15" hidden="false" customHeight="true" outlineLevel="0" collapsed="false">
      <c r="A19" s="13"/>
      <c r="B19" s="14"/>
      <c r="C19" s="15"/>
      <c r="D19" s="16"/>
      <c r="E19" s="13" t="str">
        <f aca="false">IF(D19="","",IFERROR(INDEX('Plan de Cuentas'!$B$5:$B$1241,MATCH(D19,'Plan de Cuentas'!$A$5:$A$1241,0)),"No encontrado"))</f>
        <v/>
      </c>
      <c r="F19" s="16"/>
      <c r="G19" s="13" t="str">
        <f aca="false">IF(F19="","",IFERROR(INDEX('Plan de Cuentas'!$B$5:$B$1241,MATCH(F19,'Plan de Cuentas'!$A$5:$A$1241,0)),"No encontrado"))</f>
        <v/>
      </c>
      <c r="H19" s="17"/>
      <c r="I19" s="13"/>
    </row>
    <row r="20" customFormat="false" ht="15" hidden="false" customHeight="true" outlineLevel="0" collapsed="false">
      <c r="A20" s="13"/>
      <c r="B20" s="14"/>
      <c r="C20" s="15"/>
      <c r="D20" s="16"/>
      <c r="E20" s="13" t="str">
        <f aca="false">IF(D20="","",IFERROR(INDEX('Plan de Cuentas'!$B$5:$B$1241,MATCH(D20,'Plan de Cuentas'!$A$5:$A$1241,0)),"No encontrado"))</f>
        <v/>
      </c>
      <c r="F20" s="16"/>
      <c r="G20" s="13" t="str">
        <f aca="false">IF(F20="","",IFERROR(INDEX('Plan de Cuentas'!$B$5:$B$1241,MATCH(F20,'Plan de Cuentas'!$A$5:$A$1241,0)),"No encontrado"))</f>
        <v/>
      </c>
      <c r="H20" s="17"/>
      <c r="I20" s="13"/>
    </row>
    <row r="21" customFormat="false" ht="15" hidden="false" customHeight="true" outlineLevel="0" collapsed="false">
      <c r="A21" s="13"/>
      <c r="B21" s="14"/>
      <c r="C21" s="15"/>
      <c r="D21" s="16"/>
      <c r="E21" s="13" t="str">
        <f aca="false">IF(D21="","",IFERROR(INDEX('Plan de Cuentas'!$B$5:$B$1241,MATCH(D21,'Plan de Cuentas'!$A$5:$A$1241,0)),"No encontrado"))</f>
        <v/>
      </c>
      <c r="F21" s="16"/>
      <c r="G21" s="13" t="str">
        <f aca="false">IF(F21="","",IFERROR(INDEX('Plan de Cuentas'!$B$5:$B$1241,MATCH(F21,'Plan de Cuentas'!$A$5:$A$1241,0)),"No encontrado"))</f>
        <v/>
      </c>
      <c r="H21" s="17"/>
      <c r="I21" s="13"/>
    </row>
    <row r="22" customFormat="false" ht="15" hidden="false" customHeight="true" outlineLevel="0" collapsed="false">
      <c r="A22" s="13"/>
      <c r="B22" s="14"/>
      <c r="C22" s="15"/>
      <c r="D22" s="16"/>
      <c r="E22" s="13" t="str">
        <f aca="false">IF(D22="","",IFERROR(INDEX('Plan de Cuentas'!$B$5:$B$1241,MATCH(D22,'Plan de Cuentas'!$A$5:$A$1241,0)),"No encontrado"))</f>
        <v/>
      </c>
      <c r="F22" s="16"/>
      <c r="G22" s="13" t="str">
        <f aca="false">IF(F22="","",IFERROR(INDEX('Plan de Cuentas'!$B$5:$B$1241,MATCH(F22,'Plan de Cuentas'!$A$5:$A$1241,0)),"No encontrado"))</f>
        <v/>
      </c>
      <c r="H22" s="17"/>
      <c r="I22" s="13"/>
    </row>
    <row r="23" customFormat="false" ht="15" hidden="false" customHeight="true" outlineLevel="0" collapsed="false">
      <c r="A23" s="13"/>
      <c r="B23" s="14"/>
      <c r="C23" s="15"/>
      <c r="D23" s="16"/>
      <c r="E23" s="13" t="str">
        <f aca="false">IF(D23="","",IFERROR(INDEX('Plan de Cuentas'!$B$5:$B$1241,MATCH(D23,'Plan de Cuentas'!$A$5:$A$1241,0)),"No encontrado"))</f>
        <v/>
      </c>
      <c r="F23" s="16"/>
      <c r="G23" s="13" t="str">
        <f aca="false">IF(F23="","",IFERROR(INDEX('Plan de Cuentas'!$B$5:$B$1241,MATCH(F23,'Plan de Cuentas'!$A$5:$A$1241,0)),"No encontrado"))</f>
        <v/>
      </c>
      <c r="H23" s="17"/>
      <c r="I23" s="13"/>
    </row>
    <row r="24" customFormat="false" ht="15" hidden="false" customHeight="true" outlineLevel="0" collapsed="false">
      <c r="A24" s="13"/>
      <c r="B24" s="14"/>
      <c r="C24" s="15"/>
      <c r="D24" s="16"/>
      <c r="E24" s="13" t="str">
        <f aca="false">IF(D24="","",IFERROR(INDEX('Plan de Cuentas'!$B$5:$B$1241,MATCH(D24,'Plan de Cuentas'!$A$5:$A$1241,0)),"No encontrado"))</f>
        <v/>
      </c>
      <c r="F24" s="16"/>
      <c r="G24" s="13" t="str">
        <f aca="false">IF(F24="","",IFERROR(INDEX('Plan de Cuentas'!$B$5:$B$1241,MATCH(F24,'Plan de Cuentas'!$A$5:$A$1241,0)),"No encontrado"))</f>
        <v/>
      </c>
      <c r="H24" s="17"/>
      <c r="I24" s="13"/>
    </row>
    <row r="25" customFormat="false" ht="15" hidden="false" customHeight="true" outlineLevel="0" collapsed="false">
      <c r="A25" s="13"/>
      <c r="B25" s="14"/>
      <c r="C25" s="15"/>
      <c r="D25" s="16"/>
      <c r="E25" s="13" t="str">
        <f aca="false">IF(D25="","",IFERROR(INDEX('Plan de Cuentas'!$B$5:$B$1241,MATCH(D25,'Plan de Cuentas'!$A$5:$A$1241,0)),"No encontrado"))</f>
        <v/>
      </c>
      <c r="F25" s="16"/>
      <c r="G25" s="13" t="str">
        <f aca="false">IF(F25="","",IFERROR(INDEX('Plan de Cuentas'!$B$5:$B$1241,MATCH(F25,'Plan de Cuentas'!$A$5:$A$1241,0)),"No encontrado"))</f>
        <v/>
      </c>
      <c r="H25" s="17"/>
      <c r="I25" s="13"/>
    </row>
    <row r="26" customFormat="false" ht="15" hidden="false" customHeight="true" outlineLevel="0" collapsed="false">
      <c r="A26" s="13"/>
      <c r="B26" s="14"/>
      <c r="C26" s="15"/>
      <c r="D26" s="16"/>
      <c r="E26" s="13" t="str">
        <f aca="false">IF(D26="","",IFERROR(INDEX('Plan de Cuentas'!$B$5:$B$1241,MATCH(D26,'Plan de Cuentas'!$A$5:$A$1241,0)),"No encontrado"))</f>
        <v/>
      </c>
      <c r="F26" s="16"/>
      <c r="G26" s="13" t="str">
        <f aca="false">IF(F26="","",IFERROR(INDEX('Plan de Cuentas'!$B$5:$B$1241,MATCH(F26,'Plan de Cuentas'!$A$5:$A$1241,0)),"No encontrado"))</f>
        <v/>
      </c>
      <c r="H26" s="17"/>
      <c r="I26" s="13"/>
    </row>
    <row r="27" customFormat="false" ht="15" hidden="false" customHeight="true" outlineLevel="0" collapsed="false">
      <c r="A27" s="13"/>
      <c r="B27" s="14"/>
      <c r="C27" s="15"/>
      <c r="D27" s="16"/>
      <c r="E27" s="13" t="str">
        <f aca="false">IF(D27="","",IFERROR(INDEX('Plan de Cuentas'!$B$5:$B$1241,MATCH(D27,'Plan de Cuentas'!$A$5:$A$1241,0)),"No encontrado"))</f>
        <v/>
      </c>
      <c r="F27" s="16"/>
      <c r="G27" s="13" t="str">
        <f aca="false">IF(F27="","",IFERROR(INDEX('Plan de Cuentas'!$B$5:$B$1241,MATCH(F27,'Plan de Cuentas'!$A$5:$A$1241,0)),"No encontrado"))</f>
        <v/>
      </c>
      <c r="H27" s="17"/>
      <c r="I27" s="13"/>
    </row>
    <row r="28" customFormat="false" ht="15" hidden="false" customHeight="true" outlineLevel="0" collapsed="false">
      <c r="A28" s="13"/>
      <c r="B28" s="14"/>
      <c r="C28" s="15"/>
      <c r="D28" s="16"/>
      <c r="E28" s="13" t="str">
        <f aca="false">IF(D28="","",IFERROR(INDEX('Plan de Cuentas'!$B$5:$B$1241,MATCH(D28,'Plan de Cuentas'!$A$5:$A$1241,0)),"No encontrado"))</f>
        <v/>
      </c>
      <c r="F28" s="16"/>
      <c r="G28" s="13" t="str">
        <f aca="false">IF(F28="","",IFERROR(INDEX('Plan de Cuentas'!$B$5:$B$1241,MATCH(F28,'Plan de Cuentas'!$A$5:$A$1241,0)),"No encontrado"))</f>
        <v/>
      </c>
      <c r="H28" s="17"/>
      <c r="I28" s="13"/>
    </row>
    <row r="29" customFormat="false" ht="15" hidden="false" customHeight="true" outlineLevel="0" collapsed="false">
      <c r="A29" s="13"/>
      <c r="B29" s="14"/>
      <c r="C29" s="15"/>
      <c r="D29" s="16"/>
      <c r="E29" s="13" t="str">
        <f aca="false">IF(D29="","",IFERROR(INDEX('Plan de Cuentas'!$B$5:$B$1241,MATCH(D29,'Plan de Cuentas'!$A$5:$A$1241,0)),"No encontrado"))</f>
        <v/>
      </c>
      <c r="F29" s="16"/>
      <c r="G29" s="13" t="str">
        <f aca="false">IF(F29="","",IFERROR(INDEX('Plan de Cuentas'!$B$5:$B$1241,MATCH(F29,'Plan de Cuentas'!$A$5:$A$1241,0)),"No encontrado"))</f>
        <v/>
      </c>
      <c r="H29" s="17"/>
      <c r="I29" s="13"/>
    </row>
    <row r="30" customFormat="false" ht="15" hidden="false" customHeight="true" outlineLevel="0" collapsed="false">
      <c r="A30" s="13"/>
      <c r="B30" s="14"/>
      <c r="C30" s="15"/>
      <c r="D30" s="16"/>
      <c r="E30" s="13" t="str">
        <f aca="false">IF(D30="","",IFERROR(INDEX('Plan de Cuentas'!$B$5:$B$1241,MATCH(D30,'Plan de Cuentas'!$A$5:$A$1241,0)),"No encontrado"))</f>
        <v/>
      </c>
      <c r="F30" s="16"/>
      <c r="G30" s="13" t="str">
        <f aca="false">IF(F30="","",IFERROR(INDEX('Plan de Cuentas'!$B$5:$B$1241,MATCH(F30,'Plan de Cuentas'!$A$5:$A$1241,0)),"No encontrado"))</f>
        <v/>
      </c>
      <c r="H30" s="17"/>
      <c r="I30" s="13"/>
    </row>
    <row r="31" customFormat="false" ht="15" hidden="false" customHeight="true" outlineLevel="0" collapsed="false">
      <c r="A31" s="13"/>
      <c r="B31" s="14"/>
      <c r="C31" s="15"/>
      <c r="D31" s="16"/>
      <c r="E31" s="13" t="str">
        <f aca="false">IF(D31="","",IFERROR(INDEX('Plan de Cuentas'!$B$5:$B$1241,MATCH(D31,'Plan de Cuentas'!$A$5:$A$1241,0)),"No encontrado"))</f>
        <v/>
      </c>
      <c r="F31" s="16"/>
      <c r="G31" s="13" t="str">
        <f aca="false">IF(F31="","",IFERROR(INDEX('Plan de Cuentas'!$B$5:$B$1241,MATCH(F31,'Plan de Cuentas'!$A$5:$A$1241,0)),"No encontrado"))</f>
        <v/>
      </c>
      <c r="H31" s="17"/>
      <c r="I31" s="13"/>
    </row>
    <row r="32" customFormat="false" ht="15" hidden="false" customHeight="true" outlineLevel="0" collapsed="false">
      <c r="A32" s="13"/>
      <c r="B32" s="14"/>
      <c r="C32" s="15"/>
      <c r="D32" s="16"/>
      <c r="E32" s="13" t="str">
        <f aca="false">IF(D32="","",IFERROR(INDEX('Plan de Cuentas'!$B$5:$B$1241,MATCH(D32,'Plan de Cuentas'!$A$5:$A$1241,0)),"No encontrado"))</f>
        <v/>
      </c>
      <c r="F32" s="16"/>
      <c r="G32" s="13" t="str">
        <f aca="false">IF(F32="","",IFERROR(INDEX('Plan de Cuentas'!$B$5:$B$1241,MATCH(F32,'Plan de Cuentas'!$A$5:$A$1241,0)),"No encontrado"))</f>
        <v/>
      </c>
      <c r="H32" s="17"/>
      <c r="I32" s="13"/>
    </row>
    <row r="33" customFormat="false" ht="15" hidden="false" customHeight="true" outlineLevel="0" collapsed="false">
      <c r="A33" s="13"/>
      <c r="B33" s="14"/>
      <c r="C33" s="15"/>
      <c r="D33" s="16"/>
      <c r="E33" s="13" t="str">
        <f aca="false">IF(D33="","",IFERROR(INDEX('Plan de Cuentas'!$B$5:$B$1241,MATCH(D33,'Plan de Cuentas'!$A$5:$A$1241,0)),"No encontrado"))</f>
        <v/>
      </c>
      <c r="F33" s="16"/>
      <c r="G33" s="13" t="str">
        <f aca="false">IF(F33="","",IFERROR(INDEX('Plan de Cuentas'!$B$5:$B$1241,MATCH(F33,'Plan de Cuentas'!$A$5:$A$1241,0)),"No encontrado"))</f>
        <v/>
      </c>
      <c r="H33" s="17"/>
      <c r="I33" s="13"/>
    </row>
    <row r="34" customFormat="false" ht="15" hidden="false" customHeight="true" outlineLevel="0" collapsed="false">
      <c r="A34" s="13"/>
      <c r="B34" s="14"/>
      <c r="C34" s="15"/>
      <c r="D34" s="16"/>
      <c r="E34" s="13" t="str">
        <f aca="false">IF(D34="","",IFERROR(INDEX('Plan de Cuentas'!$B$5:$B$1241,MATCH(D34,'Plan de Cuentas'!$A$5:$A$1241,0)),"No encontrado"))</f>
        <v/>
      </c>
      <c r="F34" s="16"/>
      <c r="G34" s="13" t="str">
        <f aca="false">IF(F34="","",IFERROR(INDEX('Plan de Cuentas'!$B$5:$B$1241,MATCH(F34,'Plan de Cuentas'!$A$5:$A$1241,0)),"No encontrado"))</f>
        <v/>
      </c>
      <c r="H34" s="17"/>
      <c r="I34" s="13"/>
    </row>
    <row r="35" customFormat="false" ht="15" hidden="false" customHeight="true" outlineLevel="0" collapsed="false">
      <c r="A35" s="13"/>
      <c r="B35" s="14"/>
      <c r="C35" s="15"/>
      <c r="D35" s="16"/>
      <c r="E35" s="13" t="str">
        <f aca="false">IF(D35="","",IFERROR(INDEX('Plan de Cuentas'!$B$5:$B$1241,MATCH(D35,'Plan de Cuentas'!$A$5:$A$1241,0)),"No encontrado"))</f>
        <v/>
      </c>
      <c r="F35" s="16"/>
      <c r="G35" s="13" t="str">
        <f aca="false">IF(F35="","",IFERROR(INDEX('Plan de Cuentas'!$B$5:$B$1241,MATCH(F35,'Plan de Cuentas'!$A$5:$A$1241,0)),"No encontrado"))</f>
        <v/>
      </c>
      <c r="H35" s="17"/>
      <c r="I35" s="13"/>
    </row>
    <row r="36" customFormat="false" ht="15" hidden="false" customHeight="true" outlineLevel="0" collapsed="false">
      <c r="A36" s="13"/>
      <c r="B36" s="14"/>
      <c r="C36" s="15"/>
      <c r="D36" s="16"/>
      <c r="E36" s="13" t="str">
        <f aca="false">IF(D36="","",IFERROR(INDEX('Plan de Cuentas'!$B$5:$B$1241,MATCH(D36,'Plan de Cuentas'!$A$5:$A$1241,0)),"No encontrado"))</f>
        <v/>
      </c>
      <c r="F36" s="16"/>
      <c r="G36" s="13" t="str">
        <f aca="false">IF(F36="","",IFERROR(INDEX('Plan de Cuentas'!$B$5:$B$1241,MATCH(F36,'Plan de Cuentas'!$A$5:$A$1241,0)),"No encontrado"))</f>
        <v/>
      </c>
      <c r="H36" s="17"/>
      <c r="I36" s="13"/>
    </row>
    <row r="37" customFormat="false" ht="15" hidden="false" customHeight="true" outlineLevel="0" collapsed="false">
      <c r="A37" s="13"/>
      <c r="B37" s="14"/>
      <c r="C37" s="15"/>
      <c r="D37" s="16"/>
      <c r="E37" s="13" t="str">
        <f aca="false">IF(D37="","",IFERROR(INDEX('Plan de Cuentas'!$B$5:$B$1241,MATCH(D37,'Plan de Cuentas'!$A$5:$A$1241,0)),"No encontrado"))</f>
        <v/>
      </c>
      <c r="F37" s="16"/>
      <c r="G37" s="13" t="str">
        <f aca="false">IF(F37="","",IFERROR(INDEX('Plan de Cuentas'!$B$5:$B$1241,MATCH(F37,'Plan de Cuentas'!$A$5:$A$1241,0)),"No encontrado"))</f>
        <v/>
      </c>
      <c r="H37" s="17"/>
      <c r="I37" s="13"/>
    </row>
    <row r="38" customFormat="false" ht="15" hidden="false" customHeight="true" outlineLevel="0" collapsed="false">
      <c r="A38" s="13"/>
      <c r="B38" s="14"/>
      <c r="C38" s="15"/>
      <c r="D38" s="16"/>
      <c r="E38" s="13" t="str">
        <f aca="false">IF(D38="","",IFERROR(INDEX('Plan de Cuentas'!$B$5:$B$1241,MATCH(D38,'Plan de Cuentas'!$A$5:$A$1241,0)),"No encontrado"))</f>
        <v/>
      </c>
      <c r="F38" s="16"/>
      <c r="G38" s="13" t="str">
        <f aca="false">IF(F38="","",IFERROR(INDEX('Plan de Cuentas'!$B$5:$B$1241,MATCH(F38,'Plan de Cuentas'!$A$5:$A$1241,0)),"No encontrado"))</f>
        <v/>
      </c>
      <c r="H38" s="17"/>
      <c r="I38" s="13"/>
    </row>
    <row r="39" customFormat="false" ht="15" hidden="false" customHeight="true" outlineLevel="0" collapsed="false">
      <c r="A39" s="13"/>
      <c r="B39" s="14"/>
      <c r="C39" s="15"/>
      <c r="D39" s="16"/>
      <c r="E39" s="13" t="str">
        <f aca="false">IF(D39="","",IFERROR(INDEX('Plan de Cuentas'!$B$5:$B$1241,MATCH(D39,'Plan de Cuentas'!$A$5:$A$1241,0)),"No encontrado"))</f>
        <v/>
      </c>
      <c r="F39" s="16"/>
      <c r="G39" s="13" t="str">
        <f aca="false">IF(F39="","",IFERROR(INDEX('Plan de Cuentas'!$B$5:$B$1241,MATCH(F39,'Plan de Cuentas'!$A$5:$A$1241,0)),"No encontrado"))</f>
        <v/>
      </c>
      <c r="H39" s="17"/>
      <c r="I39" s="13"/>
    </row>
    <row r="40" customFormat="false" ht="15" hidden="false" customHeight="true" outlineLevel="0" collapsed="false">
      <c r="A40" s="13"/>
      <c r="B40" s="14"/>
      <c r="C40" s="15"/>
      <c r="D40" s="16"/>
      <c r="E40" s="13" t="str">
        <f aca="false">IF(D40="","",IFERROR(INDEX('Plan de Cuentas'!$B$5:$B$1241,MATCH(D40,'Plan de Cuentas'!$A$5:$A$1241,0)),"No encontrado"))</f>
        <v/>
      </c>
      <c r="F40" s="16"/>
      <c r="G40" s="13" t="str">
        <f aca="false">IF(F40="","",IFERROR(INDEX('Plan de Cuentas'!$B$5:$B$1241,MATCH(F40,'Plan de Cuentas'!$A$5:$A$1241,0)),"No encontrado"))</f>
        <v/>
      </c>
      <c r="H40" s="17"/>
      <c r="I40" s="13"/>
    </row>
    <row r="41" customFormat="false" ht="15" hidden="false" customHeight="true" outlineLevel="0" collapsed="false">
      <c r="A41" s="13"/>
      <c r="B41" s="14"/>
      <c r="C41" s="15"/>
      <c r="D41" s="16"/>
      <c r="E41" s="13" t="str">
        <f aca="false">IF(D41="","",IFERROR(INDEX('Plan de Cuentas'!$B$5:$B$1241,MATCH(D41,'Plan de Cuentas'!$A$5:$A$1241,0)),"No encontrado"))</f>
        <v/>
      </c>
      <c r="F41" s="16"/>
      <c r="G41" s="13" t="str">
        <f aca="false">IF(F41="","",IFERROR(INDEX('Plan de Cuentas'!$B$5:$B$1241,MATCH(F41,'Plan de Cuentas'!$A$5:$A$1241,0)),"No encontrado"))</f>
        <v/>
      </c>
      <c r="H41" s="17"/>
      <c r="I41" s="13"/>
    </row>
    <row r="42" customFormat="false" ht="15" hidden="false" customHeight="true" outlineLevel="0" collapsed="false">
      <c r="A42" s="13"/>
      <c r="B42" s="14"/>
      <c r="C42" s="15"/>
      <c r="D42" s="16"/>
      <c r="E42" s="13" t="str">
        <f aca="false">IF(D42="","",IFERROR(INDEX('Plan de Cuentas'!$B$5:$B$1241,MATCH(D42,'Plan de Cuentas'!$A$5:$A$1241,0)),"No encontrado"))</f>
        <v/>
      </c>
      <c r="F42" s="16"/>
      <c r="G42" s="13" t="str">
        <f aca="false">IF(F42="","",IFERROR(INDEX('Plan de Cuentas'!$B$5:$B$1241,MATCH(F42,'Plan de Cuentas'!$A$5:$A$1241,0)),"No encontrado"))</f>
        <v/>
      </c>
      <c r="H42" s="17"/>
      <c r="I42" s="13"/>
    </row>
    <row r="43" customFormat="false" ht="15" hidden="false" customHeight="true" outlineLevel="0" collapsed="false">
      <c r="A43" s="13"/>
      <c r="B43" s="14"/>
      <c r="C43" s="15"/>
      <c r="D43" s="16"/>
      <c r="E43" s="13" t="str">
        <f aca="false">IF(D43="","",IFERROR(INDEX('Plan de Cuentas'!$B$5:$B$1241,MATCH(D43,'Plan de Cuentas'!$A$5:$A$1241,0)),"No encontrado"))</f>
        <v/>
      </c>
      <c r="F43" s="16"/>
      <c r="G43" s="13" t="str">
        <f aca="false">IF(F43="","",IFERROR(INDEX('Plan de Cuentas'!$B$5:$B$1241,MATCH(F43,'Plan de Cuentas'!$A$5:$A$1241,0)),"No encontrado"))</f>
        <v/>
      </c>
      <c r="H43" s="17"/>
      <c r="I43" s="13"/>
    </row>
    <row r="44" customFormat="false" ht="15" hidden="false" customHeight="true" outlineLevel="0" collapsed="false">
      <c r="A44" s="13"/>
      <c r="B44" s="14"/>
      <c r="C44" s="15"/>
      <c r="D44" s="16"/>
      <c r="E44" s="13" t="str">
        <f aca="false">IF(D44="","",IFERROR(INDEX('Plan de Cuentas'!$B$5:$B$1241,MATCH(D44,'Plan de Cuentas'!$A$5:$A$1241,0)),"No encontrado"))</f>
        <v/>
      </c>
      <c r="F44" s="16"/>
      <c r="G44" s="13" t="str">
        <f aca="false">IF(F44="","",IFERROR(INDEX('Plan de Cuentas'!$B$5:$B$1241,MATCH(F44,'Plan de Cuentas'!$A$5:$A$1241,0)),"No encontrado"))</f>
        <v/>
      </c>
      <c r="H44" s="17"/>
      <c r="I44" s="13"/>
    </row>
    <row r="45" customFormat="false" ht="15" hidden="false" customHeight="true" outlineLevel="0" collapsed="false">
      <c r="A45" s="13"/>
      <c r="B45" s="14"/>
      <c r="C45" s="15"/>
      <c r="D45" s="16"/>
      <c r="E45" s="13" t="str">
        <f aca="false">IF(D45="","",IFERROR(INDEX('Plan de Cuentas'!$B$5:$B$1241,MATCH(D45,'Plan de Cuentas'!$A$5:$A$1241,0)),"No encontrado"))</f>
        <v/>
      </c>
      <c r="F45" s="16"/>
      <c r="G45" s="13" t="str">
        <f aca="false">IF(F45="","",IFERROR(INDEX('Plan de Cuentas'!$B$5:$B$1241,MATCH(F45,'Plan de Cuentas'!$A$5:$A$1241,0)),"No encontrado"))</f>
        <v/>
      </c>
      <c r="H45" s="17"/>
      <c r="I45" s="13"/>
    </row>
    <row r="46" customFormat="false" ht="15" hidden="false" customHeight="true" outlineLevel="0" collapsed="false">
      <c r="A46" s="13"/>
      <c r="B46" s="14"/>
      <c r="C46" s="15"/>
      <c r="D46" s="16"/>
      <c r="E46" s="13" t="str">
        <f aca="false">IF(D46="","",IFERROR(INDEX('Plan de Cuentas'!$B$5:$B$1241,MATCH(D46,'Plan de Cuentas'!$A$5:$A$1241,0)),"No encontrado"))</f>
        <v/>
      </c>
      <c r="F46" s="16"/>
      <c r="G46" s="13" t="str">
        <f aca="false">IF(F46="","",IFERROR(INDEX('Plan de Cuentas'!$B$5:$B$1241,MATCH(F46,'Plan de Cuentas'!$A$5:$A$1241,0)),"No encontrado"))</f>
        <v/>
      </c>
      <c r="H46" s="17"/>
      <c r="I46" s="13"/>
    </row>
    <row r="47" customFormat="false" ht="15" hidden="false" customHeight="true" outlineLevel="0" collapsed="false">
      <c r="A47" s="13"/>
      <c r="B47" s="14"/>
      <c r="C47" s="15"/>
      <c r="D47" s="16"/>
      <c r="E47" s="13" t="str">
        <f aca="false">IF(D47="","",IFERROR(INDEX('Plan de Cuentas'!$B$5:$B$1241,MATCH(D47,'Plan de Cuentas'!$A$5:$A$1241,0)),"No encontrado"))</f>
        <v/>
      </c>
      <c r="F47" s="16"/>
      <c r="G47" s="13" t="str">
        <f aca="false">IF(F47="","",IFERROR(INDEX('Plan de Cuentas'!$B$5:$B$1241,MATCH(F47,'Plan de Cuentas'!$A$5:$A$1241,0)),"No encontrado"))</f>
        <v/>
      </c>
      <c r="H47" s="17"/>
      <c r="I47" s="13"/>
    </row>
    <row r="48" customFormat="false" ht="15" hidden="false" customHeight="true" outlineLevel="0" collapsed="false">
      <c r="A48" s="13"/>
      <c r="B48" s="14"/>
      <c r="C48" s="15"/>
      <c r="D48" s="16"/>
      <c r="E48" s="13" t="str">
        <f aca="false">IF(D48="","",IFERROR(INDEX('Plan de Cuentas'!$B$5:$B$1241,MATCH(D48,'Plan de Cuentas'!$A$5:$A$1241,0)),"No encontrado"))</f>
        <v/>
      </c>
      <c r="F48" s="16"/>
      <c r="G48" s="13" t="str">
        <f aca="false">IF(F48="","",IFERROR(INDEX('Plan de Cuentas'!$B$5:$B$1241,MATCH(F48,'Plan de Cuentas'!$A$5:$A$1241,0)),"No encontrado"))</f>
        <v/>
      </c>
      <c r="H48" s="17"/>
      <c r="I48" s="13"/>
    </row>
    <row r="49" customFormat="false" ht="15" hidden="false" customHeight="true" outlineLevel="0" collapsed="false">
      <c r="A49" s="13"/>
      <c r="B49" s="14"/>
      <c r="C49" s="15"/>
      <c r="D49" s="16"/>
      <c r="E49" s="13" t="str">
        <f aca="false">IF(D49="","",IFERROR(INDEX('Plan de Cuentas'!$B$5:$B$1241,MATCH(D49,'Plan de Cuentas'!$A$5:$A$1241,0)),"No encontrado"))</f>
        <v/>
      </c>
      <c r="F49" s="16"/>
      <c r="G49" s="13" t="str">
        <f aca="false">IF(F49="","",IFERROR(INDEX('Plan de Cuentas'!$B$5:$B$1241,MATCH(F49,'Plan de Cuentas'!$A$5:$A$1241,0)),"No encontrado"))</f>
        <v/>
      </c>
      <c r="H49" s="17"/>
      <c r="I49" s="13"/>
    </row>
    <row r="50" customFormat="false" ht="15" hidden="false" customHeight="true" outlineLevel="0" collapsed="false">
      <c r="A50" s="13"/>
      <c r="B50" s="14"/>
      <c r="C50" s="15"/>
      <c r="D50" s="16"/>
      <c r="E50" s="13" t="str">
        <f aca="false">IF(D50="","",IFERROR(INDEX('Plan de Cuentas'!$B$5:$B$1241,MATCH(D50,'Plan de Cuentas'!$A$5:$A$1241,0)),"No encontrado"))</f>
        <v/>
      </c>
      <c r="F50" s="16"/>
      <c r="G50" s="13" t="str">
        <f aca="false">IF(F50="","",IFERROR(INDEX('Plan de Cuentas'!$B$5:$B$1241,MATCH(F50,'Plan de Cuentas'!$A$5:$A$1241,0)),"No encontrado"))</f>
        <v/>
      </c>
      <c r="H50" s="17"/>
      <c r="I50" s="13"/>
    </row>
    <row r="51" customFormat="false" ht="15" hidden="false" customHeight="true" outlineLevel="0" collapsed="false">
      <c r="A51" s="13"/>
      <c r="B51" s="14"/>
      <c r="C51" s="15"/>
      <c r="D51" s="16"/>
      <c r="E51" s="13" t="str">
        <f aca="false">IF(D51="","",IFERROR(INDEX('Plan de Cuentas'!$B$5:$B$1241,MATCH(D51,'Plan de Cuentas'!$A$5:$A$1241,0)),"No encontrado"))</f>
        <v/>
      </c>
      <c r="F51" s="16"/>
      <c r="G51" s="13" t="str">
        <f aca="false">IF(F51="","",IFERROR(INDEX('Plan de Cuentas'!$B$5:$B$1241,MATCH(F51,'Plan de Cuentas'!$A$5:$A$1241,0)),"No encontrado"))</f>
        <v/>
      </c>
      <c r="H51" s="17"/>
      <c r="I51" s="13"/>
    </row>
    <row r="52" customFormat="false" ht="15" hidden="false" customHeight="true" outlineLevel="0" collapsed="false">
      <c r="A52" s="13"/>
      <c r="B52" s="14"/>
      <c r="C52" s="15"/>
      <c r="D52" s="16"/>
      <c r="E52" s="13" t="str">
        <f aca="false">IF(D52="","",IFERROR(INDEX('Plan de Cuentas'!$B$5:$B$1241,MATCH(D52,'Plan de Cuentas'!$A$5:$A$1241,0)),"No encontrado"))</f>
        <v/>
      </c>
      <c r="F52" s="16"/>
      <c r="G52" s="13" t="str">
        <f aca="false">IF(F52="","",IFERROR(INDEX('Plan de Cuentas'!$B$5:$B$1241,MATCH(F52,'Plan de Cuentas'!$A$5:$A$1241,0)),"No encontrado"))</f>
        <v/>
      </c>
      <c r="H52" s="17"/>
      <c r="I52" s="13"/>
    </row>
    <row r="53" customFormat="false" ht="15" hidden="false" customHeight="true" outlineLevel="0" collapsed="false">
      <c r="A53" s="13"/>
      <c r="B53" s="14"/>
      <c r="C53" s="15"/>
      <c r="D53" s="16"/>
      <c r="E53" s="13" t="str">
        <f aca="false">IF(D53="","",IFERROR(INDEX('Plan de Cuentas'!$B$5:$B$1241,MATCH(D53,'Plan de Cuentas'!$A$5:$A$1241,0)),"No encontrado"))</f>
        <v/>
      </c>
      <c r="F53" s="16"/>
      <c r="G53" s="13" t="str">
        <f aca="false">IF(F53="","",IFERROR(INDEX('Plan de Cuentas'!$B$5:$B$1241,MATCH(F53,'Plan de Cuentas'!$A$5:$A$1241,0)),"No encontrado"))</f>
        <v/>
      </c>
      <c r="H53" s="17"/>
      <c r="I53" s="13"/>
    </row>
    <row r="54" customFormat="false" ht="15" hidden="false" customHeight="true" outlineLevel="0" collapsed="false">
      <c r="A54" s="13"/>
      <c r="B54" s="14"/>
      <c r="C54" s="15"/>
      <c r="D54" s="16"/>
      <c r="E54" s="13" t="str">
        <f aca="false">IF(D54="","",IFERROR(INDEX('Plan de Cuentas'!$B$5:$B$1241,MATCH(D54,'Plan de Cuentas'!$A$5:$A$1241,0)),"No encontrado"))</f>
        <v/>
      </c>
      <c r="F54" s="16"/>
      <c r="G54" s="13" t="str">
        <f aca="false">IF(F54="","",IFERROR(INDEX('Plan de Cuentas'!$B$5:$B$1241,MATCH(F54,'Plan de Cuentas'!$A$5:$A$1241,0)),"No encontrado"))</f>
        <v/>
      </c>
      <c r="H54" s="17"/>
      <c r="I54" s="13"/>
    </row>
    <row r="55" customFormat="false" ht="15" hidden="false" customHeight="true" outlineLevel="0" collapsed="false">
      <c r="A55" s="13"/>
      <c r="B55" s="14"/>
      <c r="C55" s="15"/>
      <c r="D55" s="16"/>
      <c r="E55" s="13" t="str">
        <f aca="false">IF(D55="","",IFERROR(INDEX('Plan de Cuentas'!$B$5:$B$1241,MATCH(D55,'Plan de Cuentas'!$A$5:$A$1241,0)),"No encontrado"))</f>
        <v/>
      </c>
      <c r="F55" s="16"/>
      <c r="G55" s="13" t="str">
        <f aca="false">IF(F55="","",IFERROR(INDEX('Plan de Cuentas'!$B$5:$B$1241,MATCH(F55,'Plan de Cuentas'!$A$5:$A$1241,0)),"No encontrado"))</f>
        <v/>
      </c>
      <c r="H55" s="17"/>
      <c r="I55" s="13"/>
    </row>
    <row r="56" customFormat="false" ht="15" hidden="false" customHeight="true" outlineLevel="0" collapsed="false">
      <c r="A56" s="13"/>
      <c r="B56" s="14"/>
      <c r="C56" s="15"/>
      <c r="D56" s="16"/>
      <c r="E56" s="13" t="str">
        <f aca="false">IF(D56="","",IFERROR(INDEX('Plan de Cuentas'!$B$5:$B$1241,MATCH(D56,'Plan de Cuentas'!$A$5:$A$1241,0)),"No encontrado"))</f>
        <v/>
      </c>
      <c r="F56" s="16"/>
      <c r="G56" s="13" t="str">
        <f aca="false">IF(F56="","",IFERROR(INDEX('Plan de Cuentas'!$B$5:$B$1241,MATCH(F56,'Plan de Cuentas'!$A$5:$A$1241,0)),"No encontrado"))</f>
        <v/>
      </c>
      <c r="H56" s="17"/>
      <c r="I56" s="13"/>
    </row>
    <row r="57" customFormat="false" ht="15" hidden="false" customHeight="true" outlineLevel="0" collapsed="false">
      <c r="A57" s="13"/>
      <c r="B57" s="14"/>
      <c r="C57" s="15"/>
      <c r="D57" s="16"/>
      <c r="E57" s="13" t="str">
        <f aca="false">IF(D57="","",IFERROR(INDEX('Plan de Cuentas'!$B$5:$B$1241,MATCH(D57,'Plan de Cuentas'!$A$5:$A$1241,0)),"No encontrado"))</f>
        <v/>
      </c>
      <c r="F57" s="16"/>
      <c r="G57" s="13" t="str">
        <f aca="false">IF(F57="","",IFERROR(INDEX('Plan de Cuentas'!$B$5:$B$1241,MATCH(F57,'Plan de Cuentas'!$A$5:$A$1241,0)),"No encontrado"))</f>
        <v/>
      </c>
      <c r="H57" s="17"/>
      <c r="I57" s="13"/>
    </row>
    <row r="58" customFormat="false" ht="15" hidden="false" customHeight="true" outlineLevel="0" collapsed="false">
      <c r="A58" s="13"/>
      <c r="B58" s="14"/>
      <c r="C58" s="15"/>
      <c r="D58" s="16"/>
      <c r="E58" s="13" t="str">
        <f aca="false">IF(D58="","",IFERROR(INDEX('Plan de Cuentas'!$B$5:$B$1241,MATCH(D58,'Plan de Cuentas'!$A$5:$A$1241,0)),"No encontrado"))</f>
        <v/>
      </c>
      <c r="F58" s="16"/>
      <c r="G58" s="13" t="str">
        <f aca="false">IF(F58="","",IFERROR(INDEX('Plan de Cuentas'!$B$5:$B$1241,MATCH(F58,'Plan de Cuentas'!$A$5:$A$1241,0)),"No encontrado"))</f>
        <v/>
      </c>
      <c r="H58" s="17"/>
      <c r="I58" s="13"/>
    </row>
    <row r="59" customFormat="false" ht="15" hidden="false" customHeight="true" outlineLevel="0" collapsed="false">
      <c r="A59" s="13"/>
      <c r="B59" s="14"/>
      <c r="C59" s="15"/>
      <c r="D59" s="16"/>
      <c r="E59" s="13" t="str">
        <f aca="false">IF(D59="","",IFERROR(INDEX('Plan de Cuentas'!$B$5:$B$1241,MATCH(D59,'Plan de Cuentas'!$A$5:$A$1241,0)),"No encontrado"))</f>
        <v/>
      </c>
      <c r="F59" s="16"/>
      <c r="G59" s="13" t="str">
        <f aca="false">IF(F59="","",IFERROR(INDEX('Plan de Cuentas'!$B$5:$B$1241,MATCH(F59,'Plan de Cuentas'!$A$5:$A$1241,0)),"No encontrado"))</f>
        <v/>
      </c>
      <c r="H59" s="17"/>
      <c r="I59" s="13"/>
    </row>
    <row r="60" customFormat="false" ht="15" hidden="false" customHeight="true" outlineLevel="0" collapsed="false">
      <c r="A60" s="13"/>
      <c r="B60" s="14"/>
      <c r="C60" s="15"/>
      <c r="D60" s="16"/>
      <c r="E60" s="13" t="str">
        <f aca="false">IF(D60="","",IFERROR(INDEX('Plan de Cuentas'!$B$5:$B$1241,MATCH(D60,'Plan de Cuentas'!$A$5:$A$1241,0)),"No encontrado"))</f>
        <v/>
      </c>
      <c r="F60" s="16"/>
      <c r="G60" s="13" t="str">
        <f aca="false">IF(F60="","",IFERROR(INDEX('Plan de Cuentas'!$B$5:$B$1241,MATCH(F60,'Plan de Cuentas'!$A$5:$A$1241,0)),"No encontrado"))</f>
        <v/>
      </c>
      <c r="H60" s="17"/>
      <c r="I60" s="13"/>
    </row>
    <row r="61" customFormat="false" ht="15" hidden="false" customHeight="true" outlineLevel="0" collapsed="false">
      <c r="A61" s="13"/>
      <c r="B61" s="14"/>
      <c r="C61" s="15"/>
      <c r="D61" s="16"/>
      <c r="E61" s="13" t="str">
        <f aca="false">IF(D61="","",IFERROR(INDEX('Plan de Cuentas'!$B$5:$B$1241,MATCH(D61,'Plan de Cuentas'!$A$5:$A$1241,0)),"No encontrado"))</f>
        <v/>
      </c>
      <c r="F61" s="16"/>
      <c r="G61" s="13" t="str">
        <f aca="false">IF(F61="","",IFERROR(INDEX('Plan de Cuentas'!$B$5:$B$1241,MATCH(F61,'Plan de Cuentas'!$A$5:$A$1241,0)),"No encontrado"))</f>
        <v/>
      </c>
      <c r="H61" s="17"/>
      <c r="I61" s="13"/>
    </row>
    <row r="62" customFormat="false" ht="15" hidden="false" customHeight="true" outlineLevel="0" collapsed="false">
      <c r="A62" s="13"/>
      <c r="B62" s="14"/>
      <c r="C62" s="15"/>
      <c r="D62" s="16"/>
      <c r="E62" s="13" t="str">
        <f aca="false">IF(D62="","",IFERROR(INDEX('Plan de Cuentas'!$B$5:$B$1241,MATCH(D62,'Plan de Cuentas'!$A$5:$A$1241,0)),"No encontrado"))</f>
        <v/>
      </c>
      <c r="F62" s="16"/>
      <c r="G62" s="13" t="str">
        <f aca="false">IF(F62="","",IFERROR(INDEX('Plan de Cuentas'!$B$5:$B$1241,MATCH(F62,'Plan de Cuentas'!$A$5:$A$1241,0)),"No encontrado"))</f>
        <v/>
      </c>
      <c r="H62" s="17"/>
      <c r="I62" s="13"/>
    </row>
    <row r="63" customFormat="false" ht="15" hidden="false" customHeight="true" outlineLevel="0" collapsed="false">
      <c r="A63" s="13"/>
      <c r="B63" s="14"/>
      <c r="C63" s="15"/>
      <c r="D63" s="16"/>
      <c r="E63" s="13" t="str">
        <f aca="false">IF(D63="","",IFERROR(INDEX('Plan de Cuentas'!$B$5:$B$1241,MATCH(D63,'Plan de Cuentas'!$A$5:$A$1241,0)),"No encontrado"))</f>
        <v/>
      </c>
      <c r="F63" s="16"/>
      <c r="G63" s="13" t="str">
        <f aca="false">IF(F63="","",IFERROR(INDEX('Plan de Cuentas'!$B$5:$B$1241,MATCH(F63,'Plan de Cuentas'!$A$5:$A$1241,0)),"No encontrado"))</f>
        <v/>
      </c>
      <c r="H63" s="17"/>
      <c r="I63" s="13"/>
    </row>
    <row r="64" customFormat="false" ht="15" hidden="false" customHeight="true" outlineLevel="0" collapsed="false">
      <c r="A64" s="13"/>
      <c r="B64" s="14"/>
      <c r="C64" s="15"/>
      <c r="D64" s="16"/>
      <c r="E64" s="13" t="str">
        <f aca="false">IF(D64="","",IFERROR(INDEX('Plan de Cuentas'!$B$5:$B$1241,MATCH(D64,'Plan de Cuentas'!$A$5:$A$1241,0)),"No encontrado"))</f>
        <v/>
      </c>
      <c r="F64" s="16"/>
      <c r="G64" s="13" t="str">
        <f aca="false">IF(F64="","",IFERROR(INDEX('Plan de Cuentas'!$B$5:$B$1241,MATCH(F64,'Plan de Cuentas'!$A$5:$A$1241,0)),"No encontrado"))</f>
        <v/>
      </c>
      <c r="H64" s="17"/>
      <c r="I64" s="13"/>
    </row>
    <row r="65" customFormat="false" ht="15" hidden="false" customHeight="true" outlineLevel="0" collapsed="false">
      <c r="A65" s="13"/>
      <c r="B65" s="14"/>
      <c r="C65" s="15"/>
      <c r="D65" s="16"/>
      <c r="E65" s="13" t="str">
        <f aca="false">IF(D65="","",IFERROR(INDEX('Plan de Cuentas'!$B$5:$B$1241,MATCH(D65,'Plan de Cuentas'!$A$5:$A$1241,0)),"No encontrado"))</f>
        <v/>
      </c>
      <c r="F65" s="16"/>
      <c r="G65" s="13" t="str">
        <f aca="false">IF(F65="","",IFERROR(INDEX('Plan de Cuentas'!$B$5:$B$1241,MATCH(F65,'Plan de Cuentas'!$A$5:$A$1241,0)),"No encontrado"))</f>
        <v/>
      </c>
      <c r="H65" s="17"/>
      <c r="I65" s="13"/>
    </row>
    <row r="66" customFormat="false" ht="15" hidden="false" customHeight="true" outlineLevel="0" collapsed="false">
      <c r="A66" s="13"/>
      <c r="B66" s="14"/>
      <c r="C66" s="15"/>
      <c r="D66" s="16"/>
      <c r="E66" s="13" t="str">
        <f aca="false">IF(D66="","",IFERROR(INDEX('Plan de Cuentas'!$B$5:$B$1241,MATCH(D66,'Plan de Cuentas'!$A$5:$A$1241,0)),"No encontrado"))</f>
        <v/>
      </c>
      <c r="F66" s="16"/>
      <c r="G66" s="13" t="str">
        <f aca="false">IF(F66="","",IFERROR(INDEX('Plan de Cuentas'!$B$5:$B$1241,MATCH(F66,'Plan de Cuentas'!$A$5:$A$1241,0)),"No encontrado"))</f>
        <v/>
      </c>
      <c r="H66" s="17"/>
      <c r="I66" s="13"/>
    </row>
    <row r="67" customFormat="false" ht="15" hidden="false" customHeight="true" outlineLevel="0" collapsed="false">
      <c r="A67" s="13"/>
      <c r="B67" s="14"/>
      <c r="C67" s="15"/>
      <c r="D67" s="16"/>
      <c r="E67" s="13" t="str">
        <f aca="false">IF(D67="","",IFERROR(INDEX('Plan de Cuentas'!$B$5:$B$1241,MATCH(D67,'Plan de Cuentas'!$A$5:$A$1241,0)),"No encontrado"))</f>
        <v/>
      </c>
      <c r="F67" s="16"/>
      <c r="G67" s="13" t="str">
        <f aca="false">IF(F67="","",IFERROR(INDEX('Plan de Cuentas'!$B$5:$B$1241,MATCH(F67,'Plan de Cuentas'!$A$5:$A$1241,0)),"No encontrado"))</f>
        <v/>
      </c>
      <c r="H67" s="17"/>
      <c r="I67" s="13"/>
    </row>
    <row r="68" customFormat="false" ht="15" hidden="false" customHeight="true" outlineLevel="0" collapsed="false">
      <c r="A68" s="13"/>
      <c r="B68" s="14"/>
      <c r="C68" s="15"/>
      <c r="D68" s="16"/>
      <c r="E68" s="13" t="str">
        <f aca="false">IF(D68="","",IFERROR(INDEX('Plan de Cuentas'!$B$5:$B$1241,MATCH(D68,'Plan de Cuentas'!$A$5:$A$1241,0)),"No encontrado"))</f>
        <v/>
      </c>
      <c r="F68" s="16"/>
      <c r="G68" s="13" t="str">
        <f aca="false">IF(F68="","",IFERROR(INDEX('Plan de Cuentas'!$B$5:$B$1241,MATCH(F68,'Plan de Cuentas'!$A$5:$A$1241,0)),"No encontrado"))</f>
        <v/>
      </c>
      <c r="H68" s="17"/>
      <c r="I68" s="13"/>
    </row>
    <row r="69" customFormat="false" ht="15" hidden="false" customHeight="true" outlineLevel="0" collapsed="false">
      <c r="A69" s="13"/>
      <c r="B69" s="14"/>
      <c r="C69" s="15"/>
      <c r="D69" s="16"/>
      <c r="E69" s="13" t="str">
        <f aca="false">IF(D69="","",IFERROR(INDEX('Plan de Cuentas'!$B$5:$B$1241,MATCH(D69,'Plan de Cuentas'!$A$5:$A$1241,0)),"No encontrado"))</f>
        <v/>
      </c>
      <c r="F69" s="16"/>
      <c r="G69" s="13" t="str">
        <f aca="false">IF(F69="","",IFERROR(INDEX('Plan de Cuentas'!$B$5:$B$1241,MATCH(F69,'Plan de Cuentas'!$A$5:$A$1241,0)),"No encontrado"))</f>
        <v/>
      </c>
      <c r="H69" s="17"/>
      <c r="I69" s="13"/>
    </row>
    <row r="70" customFormat="false" ht="15" hidden="false" customHeight="true" outlineLevel="0" collapsed="false">
      <c r="A70" s="13"/>
      <c r="B70" s="14"/>
      <c r="C70" s="15"/>
      <c r="D70" s="16"/>
      <c r="E70" s="13" t="str">
        <f aca="false">IF(D70="","",IFERROR(INDEX('Plan de Cuentas'!$B$5:$B$1241,MATCH(D70,'Plan de Cuentas'!$A$5:$A$1241,0)),"No encontrado"))</f>
        <v/>
      </c>
      <c r="F70" s="16"/>
      <c r="G70" s="13" t="str">
        <f aca="false">IF(F70="","",IFERROR(INDEX('Plan de Cuentas'!$B$5:$B$1241,MATCH(F70,'Plan de Cuentas'!$A$5:$A$1241,0)),"No encontrado"))</f>
        <v/>
      </c>
      <c r="H70" s="17"/>
      <c r="I70" s="13"/>
    </row>
    <row r="71" customFormat="false" ht="15" hidden="false" customHeight="true" outlineLevel="0" collapsed="false">
      <c r="A71" s="13"/>
      <c r="B71" s="14"/>
      <c r="C71" s="15"/>
      <c r="D71" s="16"/>
      <c r="E71" s="13" t="str">
        <f aca="false">IF(D71="","",IFERROR(INDEX('Plan de Cuentas'!$B$5:$B$1241,MATCH(D71,'Plan de Cuentas'!$A$5:$A$1241,0)),"No encontrado"))</f>
        <v/>
      </c>
      <c r="F71" s="16"/>
      <c r="G71" s="13" t="str">
        <f aca="false">IF(F71="","",IFERROR(INDEX('Plan de Cuentas'!$B$5:$B$1241,MATCH(F71,'Plan de Cuentas'!$A$5:$A$1241,0)),"No encontrado"))</f>
        <v/>
      </c>
      <c r="H71" s="17"/>
      <c r="I71" s="13"/>
    </row>
    <row r="72" customFormat="false" ht="15" hidden="false" customHeight="true" outlineLevel="0" collapsed="false">
      <c r="A72" s="13"/>
      <c r="B72" s="14"/>
      <c r="C72" s="15"/>
      <c r="D72" s="16"/>
      <c r="E72" s="13" t="str">
        <f aca="false">IF(D72="","",IFERROR(INDEX('Plan de Cuentas'!$B$5:$B$1241,MATCH(D72,'Plan de Cuentas'!$A$5:$A$1241,0)),"No encontrado"))</f>
        <v/>
      </c>
      <c r="F72" s="16"/>
      <c r="G72" s="13" t="str">
        <f aca="false">IF(F72="","",IFERROR(INDEX('Plan de Cuentas'!$B$5:$B$1241,MATCH(F72,'Plan de Cuentas'!$A$5:$A$1241,0)),"No encontrado"))</f>
        <v/>
      </c>
      <c r="H72" s="17"/>
      <c r="I72" s="13"/>
    </row>
    <row r="73" customFormat="false" ht="15" hidden="false" customHeight="true" outlineLevel="0" collapsed="false">
      <c r="A73" s="13"/>
      <c r="B73" s="14"/>
      <c r="C73" s="15"/>
      <c r="D73" s="16"/>
      <c r="E73" s="13" t="str">
        <f aca="false">IF(D73="","",IFERROR(INDEX('Plan de Cuentas'!$B$5:$B$1241,MATCH(D73,'Plan de Cuentas'!$A$5:$A$1241,0)),"No encontrado"))</f>
        <v/>
      </c>
      <c r="F73" s="16"/>
      <c r="G73" s="13" t="str">
        <f aca="false">IF(F73="","",IFERROR(INDEX('Plan de Cuentas'!$B$5:$B$1241,MATCH(F73,'Plan de Cuentas'!$A$5:$A$1241,0)),"No encontrado"))</f>
        <v/>
      </c>
      <c r="H73" s="17"/>
      <c r="I73" s="13"/>
    </row>
    <row r="74" customFormat="false" ht="15" hidden="false" customHeight="true" outlineLevel="0" collapsed="false">
      <c r="A74" s="13"/>
      <c r="B74" s="14"/>
      <c r="C74" s="15"/>
      <c r="D74" s="16"/>
      <c r="E74" s="13" t="str">
        <f aca="false">IF(D74="","",IFERROR(INDEX('Plan de Cuentas'!$B$5:$B$1241,MATCH(D74,'Plan de Cuentas'!$A$5:$A$1241,0)),"No encontrado"))</f>
        <v/>
      </c>
      <c r="F74" s="16"/>
      <c r="G74" s="13" t="str">
        <f aca="false">IF(F74="","",IFERROR(INDEX('Plan de Cuentas'!$B$5:$B$1241,MATCH(F74,'Plan de Cuentas'!$A$5:$A$1241,0)),"No encontrado"))</f>
        <v/>
      </c>
      <c r="H74" s="17"/>
      <c r="I74" s="13"/>
    </row>
    <row r="75" customFormat="false" ht="15" hidden="false" customHeight="true" outlineLevel="0" collapsed="false">
      <c r="A75" s="13"/>
      <c r="B75" s="14"/>
      <c r="C75" s="15"/>
      <c r="D75" s="16"/>
      <c r="E75" s="13" t="str">
        <f aca="false">IF(D75="","",IFERROR(INDEX('Plan de Cuentas'!$B$5:$B$1241,MATCH(D75,'Plan de Cuentas'!$A$5:$A$1241,0)),"No encontrado"))</f>
        <v/>
      </c>
      <c r="F75" s="16"/>
      <c r="G75" s="13" t="str">
        <f aca="false">IF(F75="","",IFERROR(INDEX('Plan de Cuentas'!$B$5:$B$1241,MATCH(F75,'Plan de Cuentas'!$A$5:$A$1241,0)),"No encontrado"))</f>
        <v/>
      </c>
      <c r="H75" s="17"/>
      <c r="I75" s="13"/>
    </row>
    <row r="76" customFormat="false" ht="15" hidden="false" customHeight="true" outlineLevel="0" collapsed="false">
      <c r="A76" s="13"/>
      <c r="B76" s="14"/>
      <c r="C76" s="15"/>
      <c r="D76" s="16"/>
      <c r="E76" s="13" t="str">
        <f aca="false">IF(D76="","",IFERROR(INDEX('Plan de Cuentas'!$B$5:$B$1241,MATCH(D76,'Plan de Cuentas'!$A$5:$A$1241,0)),"No encontrado"))</f>
        <v/>
      </c>
      <c r="F76" s="16"/>
      <c r="G76" s="13" t="str">
        <f aca="false">IF(F76="","",IFERROR(INDEX('Plan de Cuentas'!$B$5:$B$1241,MATCH(F76,'Plan de Cuentas'!$A$5:$A$1241,0)),"No encontrado"))</f>
        <v/>
      </c>
      <c r="H76" s="17"/>
      <c r="I76" s="13"/>
    </row>
    <row r="77" customFormat="false" ht="15" hidden="false" customHeight="true" outlineLevel="0" collapsed="false">
      <c r="A77" s="13"/>
      <c r="B77" s="14"/>
      <c r="C77" s="15"/>
      <c r="D77" s="16"/>
      <c r="E77" s="13" t="str">
        <f aca="false">IF(D77="","",IFERROR(INDEX('Plan de Cuentas'!$B$5:$B$1241,MATCH(D77,'Plan de Cuentas'!$A$5:$A$1241,0)),"No encontrado"))</f>
        <v/>
      </c>
      <c r="F77" s="16"/>
      <c r="G77" s="13" t="str">
        <f aca="false">IF(F77="","",IFERROR(INDEX('Plan de Cuentas'!$B$5:$B$1241,MATCH(F77,'Plan de Cuentas'!$A$5:$A$1241,0)),"No encontrado"))</f>
        <v/>
      </c>
      <c r="H77" s="17"/>
      <c r="I77" s="13"/>
    </row>
    <row r="78" customFormat="false" ht="15" hidden="false" customHeight="true" outlineLevel="0" collapsed="false">
      <c r="A78" s="13"/>
      <c r="B78" s="14"/>
      <c r="C78" s="15"/>
      <c r="D78" s="16"/>
      <c r="E78" s="13" t="str">
        <f aca="false">IF(D78="","",IFERROR(INDEX('Plan de Cuentas'!$B$5:$B$1241,MATCH(D78,'Plan de Cuentas'!$A$5:$A$1241,0)),"No encontrado"))</f>
        <v/>
      </c>
      <c r="F78" s="16"/>
      <c r="G78" s="13" t="str">
        <f aca="false">IF(F78="","",IFERROR(INDEX('Plan de Cuentas'!$B$5:$B$1241,MATCH(F78,'Plan de Cuentas'!$A$5:$A$1241,0)),"No encontrado"))</f>
        <v/>
      </c>
      <c r="H78" s="17"/>
      <c r="I78" s="13"/>
    </row>
    <row r="79" customFormat="false" ht="15" hidden="false" customHeight="true" outlineLevel="0" collapsed="false">
      <c r="A79" s="13"/>
      <c r="B79" s="14"/>
      <c r="C79" s="15"/>
      <c r="D79" s="16"/>
      <c r="E79" s="13" t="str">
        <f aca="false">IF(D79="","",IFERROR(INDEX('Plan de Cuentas'!$B$5:$B$1241,MATCH(D79,'Plan de Cuentas'!$A$5:$A$1241,0)),"No encontrado"))</f>
        <v/>
      </c>
      <c r="F79" s="16"/>
      <c r="G79" s="13" t="str">
        <f aca="false">IF(F79="","",IFERROR(INDEX('Plan de Cuentas'!$B$5:$B$1241,MATCH(F79,'Plan de Cuentas'!$A$5:$A$1241,0)),"No encontrado"))</f>
        <v/>
      </c>
      <c r="H79" s="17"/>
      <c r="I79" s="13"/>
    </row>
    <row r="80" customFormat="false" ht="15" hidden="false" customHeight="true" outlineLevel="0" collapsed="false">
      <c r="A80" s="13"/>
      <c r="B80" s="14"/>
      <c r="C80" s="15"/>
      <c r="D80" s="16"/>
      <c r="E80" s="13" t="str">
        <f aca="false">IF(D80="","",IFERROR(INDEX('Plan de Cuentas'!$B$5:$B$1241,MATCH(D80,'Plan de Cuentas'!$A$5:$A$1241,0)),"No encontrado"))</f>
        <v/>
      </c>
      <c r="F80" s="16"/>
      <c r="G80" s="13" t="str">
        <f aca="false">IF(F80="","",IFERROR(INDEX('Plan de Cuentas'!$B$5:$B$1241,MATCH(F80,'Plan de Cuentas'!$A$5:$A$1241,0)),"No encontrado"))</f>
        <v/>
      </c>
      <c r="H80" s="17"/>
      <c r="I80" s="13"/>
    </row>
    <row r="81" customFormat="false" ht="15" hidden="false" customHeight="true" outlineLevel="0" collapsed="false">
      <c r="A81" s="13"/>
      <c r="B81" s="14"/>
      <c r="C81" s="15"/>
      <c r="D81" s="16"/>
      <c r="E81" s="13" t="str">
        <f aca="false">IF(D81="","",IFERROR(INDEX('Plan de Cuentas'!$B$5:$B$1241,MATCH(D81,'Plan de Cuentas'!$A$5:$A$1241,0)),"No encontrado"))</f>
        <v/>
      </c>
      <c r="F81" s="16"/>
      <c r="G81" s="13" t="str">
        <f aca="false">IF(F81="","",IFERROR(INDEX('Plan de Cuentas'!$B$5:$B$1241,MATCH(F81,'Plan de Cuentas'!$A$5:$A$1241,0)),"No encontrado"))</f>
        <v/>
      </c>
      <c r="H81" s="17"/>
      <c r="I81" s="13"/>
    </row>
    <row r="82" customFormat="false" ht="15" hidden="false" customHeight="true" outlineLevel="0" collapsed="false">
      <c r="A82" s="13"/>
      <c r="B82" s="14"/>
      <c r="C82" s="15"/>
      <c r="D82" s="16"/>
      <c r="E82" s="13" t="str">
        <f aca="false">IF(D82="","",IFERROR(INDEX('Plan de Cuentas'!$B$5:$B$1241,MATCH(D82,'Plan de Cuentas'!$A$5:$A$1241,0)),"No encontrado"))</f>
        <v/>
      </c>
      <c r="F82" s="16"/>
      <c r="G82" s="13" t="str">
        <f aca="false">IF(F82="","",IFERROR(INDEX('Plan de Cuentas'!$B$5:$B$1241,MATCH(F82,'Plan de Cuentas'!$A$5:$A$1241,0)),"No encontrado"))</f>
        <v/>
      </c>
      <c r="H82" s="17"/>
      <c r="I82" s="13"/>
    </row>
    <row r="83" customFormat="false" ht="15" hidden="false" customHeight="true" outlineLevel="0" collapsed="false">
      <c r="A83" s="13"/>
      <c r="B83" s="14"/>
      <c r="C83" s="15"/>
      <c r="D83" s="16"/>
      <c r="E83" s="13" t="str">
        <f aca="false">IF(D83="","",IFERROR(INDEX('Plan de Cuentas'!$B$5:$B$1241,MATCH(D83,'Plan de Cuentas'!$A$5:$A$1241,0)),"No encontrado"))</f>
        <v/>
      </c>
      <c r="F83" s="16"/>
      <c r="G83" s="13" t="str">
        <f aca="false">IF(F83="","",IFERROR(INDEX('Plan de Cuentas'!$B$5:$B$1241,MATCH(F83,'Plan de Cuentas'!$A$5:$A$1241,0)),"No encontrado"))</f>
        <v/>
      </c>
      <c r="H83" s="17"/>
      <c r="I83" s="13"/>
    </row>
    <row r="84" customFormat="false" ht="15" hidden="false" customHeight="true" outlineLevel="0" collapsed="false">
      <c r="A84" s="13"/>
      <c r="B84" s="14"/>
      <c r="C84" s="15"/>
      <c r="D84" s="16"/>
      <c r="E84" s="13" t="str">
        <f aca="false">IF(D84="","",IFERROR(INDEX('Plan de Cuentas'!$B$5:$B$1241,MATCH(D84,'Plan de Cuentas'!$A$5:$A$1241,0)),"No encontrado"))</f>
        <v/>
      </c>
      <c r="F84" s="16"/>
      <c r="G84" s="13" t="str">
        <f aca="false">IF(F84="","",IFERROR(INDEX('Plan de Cuentas'!$B$5:$B$1241,MATCH(F84,'Plan de Cuentas'!$A$5:$A$1241,0)),"No encontrado"))</f>
        <v/>
      </c>
      <c r="H84" s="17"/>
      <c r="I84" s="13"/>
    </row>
    <row r="85" customFormat="false" ht="15" hidden="false" customHeight="true" outlineLevel="0" collapsed="false">
      <c r="A85" s="13"/>
      <c r="B85" s="14"/>
      <c r="C85" s="15"/>
      <c r="D85" s="16"/>
      <c r="E85" s="13" t="str">
        <f aca="false">IF(D85="","",IFERROR(INDEX('Plan de Cuentas'!$B$5:$B$1241,MATCH(D85,'Plan de Cuentas'!$A$5:$A$1241,0)),"No encontrado"))</f>
        <v/>
      </c>
      <c r="F85" s="16"/>
      <c r="G85" s="13" t="str">
        <f aca="false">IF(F85="","",IFERROR(INDEX('Plan de Cuentas'!$B$5:$B$1241,MATCH(F85,'Plan de Cuentas'!$A$5:$A$1241,0)),"No encontrado"))</f>
        <v/>
      </c>
      <c r="H85" s="17"/>
      <c r="I85" s="13"/>
    </row>
    <row r="86" customFormat="false" ht="15" hidden="false" customHeight="true" outlineLevel="0" collapsed="false">
      <c r="A86" s="13"/>
      <c r="B86" s="14"/>
      <c r="C86" s="15"/>
      <c r="D86" s="16"/>
      <c r="E86" s="13" t="str">
        <f aca="false">IF(D86="","",IFERROR(INDEX('Plan de Cuentas'!$B$5:$B$1241,MATCH(D86,'Plan de Cuentas'!$A$5:$A$1241,0)),"No encontrado"))</f>
        <v/>
      </c>
      <c r="F86" s="16"/>
      <c r="G86" s="13" t="str">
        <f aca="false">IF(F86="","",IFERROR(INDEX('Plan de Cuentas'!$B$5:$B$1241,MATCH(F86,'Plan de Cuentas'!$A$5:$A$1241,0)),"No encontrado"))</f>
        <v/>
      </c>
      <c r="H86" s="17"/>
      <c r="I86" s="13"/>
    </row>
    <row r="87" customFormat="false" ht="15" hidden="false" customHeight="true" outlineLevel="0" collapsed="false">
      <c r="A87" s="13"/>
      <c r="B87" s="14"/>
      <c r="C87" s="15"/>
      <c r="D87" s="16"/>
      <c r="E87" s="13" t="str">
        <f aca="false">IF(D87="","",IFERROR(INDEX('Plan de Cuentas'!$B$5:$B$1241,MATCH(D87,'Plan de Cuentas'!$A$5:$A$1241,0)),"No encontrado"))</f>
        <v/>
      </c>
      <c r="F87" s="16"/>
      <c r="G87" s="13" t="str">
        <f aca="false">IF(F87="","",IFERROR(INDEX('Plan de Cuentas'!$B$5:$B$1241,MATCH(F87,'Plan de Cuentas'!$A$5:$A$1241,0)),"No encontrado"))</f>
        <v/>
      </c>
      <c r="H87" s="17"/>
      <c r="I87" s="13"/>
    </row>
    <row r="88" customFormat="false" ht="15" hidden="false" customHeight="true" outlineLevel="0" collapsed="false">
      <c r="A88" s="13"/>
      <c r="B88" s="14"/>
      <c r="C88" s="15"/>
      <c r="D88" s="16"/>
      <c r="E88" s="13" t="str">
        <f aca="false">IF(D88="","",IFERROR(INDEX('Plan de Cuentas'!$B$5:$B$1241,MATCH(D88,'Plan de Cuentas'!$A$5:$A$1241,0)),"No encontrado"))</f>
        <v/>
      </c>
      <c r="F88" s="16"/>
      <c r="G88" s="13" t="str">
        <f aca="false">IF(F88="","",IFERROR(INDEX('Plan de Cuentas'!$B$5:$B$1241,MATCH(F88,'Plan de Cuentas'!$A$5:$A$1241,0)),"No encontrado"))</f>
        <v/>
      </c>
      <c r="H88" s="17"/>
      <c r="I88" s="13"/>
    </row>
    <row r="89" customFormat="false" ht="15" hidden="false" customHeight="true" outlineLevel="0" collapsed="false">
      <c r="A89" s="13"/>
      <c r="B89" s="14"/>
      <c r="C89" s="15"/>
      <c r="D89" s="16"/>
      <c r="E89" s="13" t="str">
        <f aca="false">IF(D89="","",IFERROR(INDEX('Plan de Cuentas'!$B$5:$B$1241,MATCH(D89,'Plan de Cuentas'!$A$5:$A$1241,0)),"No encontrado"))</f>
        <v/>
      </c>
      <c r="F89" s="16"/>
      <c r="G89" s="13" t="str">
        <f aca="false">IF(F89="","",IFERROR(INDEX('Plan de Cuentas'!$B$5:$B$1241,MATCH(F89,'Plan de Cuentas'!$A$5:$A$1241,0)),"No encontrado"))</f>
        <v/>
      </c>
      <c r="H89" s="17"/>
      <c r="I89" s="13"/>
    </row>
    <row r="90" customFormat="false" ht="15" hidden="false" customHeight="true" outlineLevel="0" collapsed="false">
      <c r="A90" s="13"/>
      <c r="B90" s="14"/>
      <c r="C90" s="15"/>
      <c r="D90" s="16"/>
      <c r="E90" s="13" t="str">
        <f aca="false">IF(D90="","",IFERROR(INDEX('Plan de Cuentas'!$B$5:$B$1241,MATCH(D90,'Plan de Cuentas'!$A$5:$A$1241,0)),"No encontrado"))</f>
        <v/>
      </c>
      <c r="F90" s="16"/>
      <c r="G90" s="13" t="str">
        <f aca="false">IF(F90="","",IFERROR(INDEX('Plan de Cuentas'!$B$5:$B$1241,MATCH(F90,'Plan de Cuentas'!$A$5:$A$1241,0)),"No encontrado"))</f>
        <v/>
      </c>
      <c r="H90" s="17"/>
      <c r="I90" s="13"/>
    </row>
    <row r="91" customFormat="false" ht="15" hidden="false" customHeight="true" outlineLevel="0" collapsed="false">
      <c r="A91" s="13"/>
      <c r="B91" s="14"/>
      <c r="C91" s="15"/>
      <c r="D91" s="16"/>
      <c r="E91" s="13" t="str">
        <f aca="false">IF(D91="","",IFERROR(INDEX('Plan de Cuentas'!$B$5:$B$1241,MATCH(D91,'Plan de Cuentas'!$A$5:$A$1241,0)),"No encontrado"))</f>
        <v/>
      </c>
      <c r="F91" s="16"/>
      <c r="G91" s="13" t="str">
        <f aca="false">IF(F91="","",IFERROR(INDEX('Plan de Cuentas'!$B$5:$B$1241,MATCH(F91,'Plan de Cuentas'!$A$5:$A$1241,0)),"No encontrado"))</f>
        <v/>
      </c>
      <c r="H91" s="17"/>
      <c r="I91" s="13"/>
    </row>
    <row r="92" customFormat="false" ht="15" hidden="false" customHeight="true" outlineLevel="0" collapsed="false">
      <c r="A92" s="13"/>
      <c r="B92" s="14"/>
      <c r="C92" s="15"/>
      <c r="D92" s="16"/>
      <c r="E92" s="13" t="str">
        <f aca="false">IF(D92="","",IFERROR(INDEX('Plan de Cuentas'!$B$5:$B$1241,MATCH(D92,'Plan de Cuentas'!$A$5:$A$1241,0)),"No encontrado"))</f>
        <v/>
      </c>
      <c r="F92" s="16"/>
      <c r="G92" s="13" t="str">
        <f aca="false">IF(F92="","",IFERROR(INDEX('Plan de Cuentas'!$B$5:$B$1241,MATCH(F92,'Plan de Cuentas'!$A$5:$A$1241,0)),"No encontrado"))</f>
        <v/>
      </c>
      <c r="H92" s="17"/>
      <c r="I92" s="13"/>
    </row>
    <row r="93" customFormat="false" ht="15" hidden="false" customHeight="true" outlineLevel="0" collapsed="false">
      <c r="A93" s="13"/>
      <c r="B93" s="14"/>
      <c r="C93" s="15"/>
      <c r="D93" s="16"/>
      <c r="E93" s="13" t="str">
        <f aca="false">IF(D93="","",IFERROR(INDEX('Plan de Cuentas'!$B$5:$B$1241,MATCH(D93,'Plan de Cuentas'!$A$5:$A$1241,0)),"No encontrado"))</f>
        <v/>
      </c>
      <c r="F93" s="16"/>
      <c r="G93" s="13" t="str">
        <f aca="false">IF(F93="","",IFERROR(INDEX('Plan de Cuentas'!$B$5:$B$1241,MATCH(F93,'Plan de Cuentas'!$A$5:$A$1241,0)),"No encontrado"))</f>
        <v/>
      </c>
      <c r="H93" s="17"/>
      <c r="I93" s="13"/>
    </row>
    <row r="94" customFormat="false" ht="15" hidden="false" customHeight="true" outlineLevel="0" collapsed="false">
      <c r="A94" s="13"/>
      <c r="B94" s="14"/>
      <c r="C94" s="15"/>
      <c r="D94" s="16"/>
      <c r="E94" s="13" t="str">
        <f aca="false">IF(D94="","",IFERROR(INDEX('Plan de Cuentas'!$B$5:$B$1241,MATCH(D94,'Plan de Cuentas'!$A$5:$A$1241,0)),"No encontrado"))</f>
        <v/>
      </c>
      <c r="F94" s="16"/>
      <c r="G94" s="13" t="str">
        <f aca="false">IF(F94="","",IFERROR(INDEX('Plan de Cuentas'!$B$5:$B$1241,MATCH(F94,'Plan de Cuentas'!$A$5:$A$1241,0)),"No encontrado"))</f>
        <v/>
      </c>
      <c r="H94" s="17"/>
      <c r="I94" s="13"/>
    </row>
    <row r="95" customFormat="false" ht="15" hidden="false" customHeight="true" outlineLevel="0" collapsed="false">
      <c r="A95" s="13"/>
      <c r="B95" s="14"/>
      <c r="C95" s="15"/>
      <c r="D95" s="16"/>
      <c r="E95" s="13" t="str">
        <f aca="false">IF(D95="","",IFERROR(INDEX('Plan de Cuentas'!$B$5:$B$1241,MATCH(D95,'Plan de Cuentas'!$A$5:$A$1241,0)),"No encontrado"))</f>
        <v/>
      </c>
      <c r="F95" s="16"/>
      <c r="G95" s="13" t="str">
        <f aca="false">IF(F95="","",IFERROR(INDEX('Plan de Cuentas'!$B$5:$B$1241,MATCH(F95,'Plan de Cuentas'!$A$5:$A$1241,0)),"No encontrado"))</f>
        <v/>
      </c>
      <c r="H95" s="17"/>
      <c r="I95" s="13"/>
    </row>
    <row r="96" customFormat="false" ht="15" hidden="false" customHeight="true" outlineLevel="0" collapsed="false">
      <c r="A96" s="13"/>
      <c r="B96" s="14"/>
      <c r="C96" s="15"/>
      <c r="D96" s="16"/>
      <c r="E96" s="13" t="str">
        <f aca="false">IF(D96="","",IFERROR(INDEX('Plan de Cuentas'!$B$5:$B$1241,MATCH(D96,'Plan de Cuentas'!$A$5:$A$1241,0)),"No encontrado"))</f>
        <v/>
      </c>
      <c r="F96" s="16"/>
      <c r="G96" s="13" t="str">
        <f aca="false">IF(F96="","",IFERROR(INDEX('Plan de Cuentas'!$B$5:$B$1241,MATCH(F96,'Plan de Cuentas'!$A$5:$A$1241,0)),"No encontrado"))</f>
        <v/>
      </c>
      <c r="H96" s="17"/>
      <c r="I96" s="13"/>
    </row>
    <row r="97" customFormat="false" ht="15" hidden="false" customHeight="true" outlineLevel="0" collapsed="false">
      <c r="A97" s="13"/>
      <c r="B97" s="14"/>
      <c r="C97" s="15"/>
      <c r="D97" s="16"/>
      <c r="E97" s="13" t="str">
        <f aca="false">IF(D97="","",IFERROR(INDEX('Plan de Cuentas'!$B$5:$B$1241,MATCH(D97,'Plan de Cuentas'!$A$5:$A$1241,0)),"No encontrado"))</f>
        <v/>
      </c>
      <c r="F97" s="16"/>
      <c r="G97" s="13" t="str">
        <f aca="false">IF(F97="","",IFERROR(INDEX('Plan de Cuentas'!$B$5:$B$1241,MATCH(F97,'Plan de Cuentas'!$A$5:$A$1241,0)),"No encontrado"))</f>
        <v/>
      </c>
      <c r="H97" s="17"/>
      <c r="I97" s="13"/>
    </row>
    <row r="98" customFormat="false" ht="15" hidden="false" customHeight="true" outlineLevel="0" collapsed="false">
      <c r="A98" s="13"/>
      <c r="B98" s="14"/>
      <c r="C98" s="15"/>
      <c r="D98" s="16"/>
      <c r="E98" s="13" t="str">
        <f aca="false">IF(D98="","",IFERROR(INDEX('Plan de Cuentas'!$B$5:$B$1241,MATCH(D98,'Plan de Cuentas'!$A$5:$A$1241,0)),"No encontrado"))</f>
        <v/>
      </c>
      <c r="F98" s="16"/>
      <c r="G98" s="13" t="str">
        <f aca="false">IF(F98="","",IFERROR(INDEX('Plan de Cuentas'!$B$5:$B$1241,MATCH(F98,'Plan de Cuentas'!$A$5:$A$1241,0)),"No encontrado"))</f>
        <v/>
      </c>
      <c r="H98" s="17"/>
      <c r="I98" s="13"/>
    </row>
    <row r="99" customFormat="false" ht="15" hidden="false" customHeight="true" outlineLevel="0" collapsed="false">
      <c r="A99" s="13"/>
      <c r="B99" s="14"/>
      <c r="C99" s="15"/>
      <c r="D99" s="16"/>
      <c r="E99" s="13" t="str">
        <f aca="false">IF(D99="","",IFERROR(INDEX('Plan de Cuentas'!$B$5:$B$1241,MATCH(D99,'Plan de Cuentas'!$A$5:$A$1241,0)),"No encontrado"))</f>
        <v/>
      </c>
      <c r="F99" s="16"/>
      <c r="G99" s="13" t="str">
        <f aca="false">IF(F99="","",IFERROR(INDEX('Plan de Cuentas'!$B$5:$B$1241,MATCH(F99,'Plan de Cuentas'!$A$5:$A$1241,0)),"No encontrado"))</f>
        <v/>
      </c>
      <c r="H99" s="17"/>
      <c r="I99" s="13"/>
    </row>
    <row r="100" customFormat="false" ht="15" hidden="false" customHeight="true" outlineLevel="0" collapsed="false">
      <c r="A100" s="13"/>
      <c r="B100" s="14"/>
      <c r="C100" s="15"/>
      <c r="D100" s="16"/>
      <c r="E100" s="13" t="str">
        <f aca="false">IF(D100="","",IFERROR(INDEX('Plan de Cuentas'!$B$5:$B$1241,MATCH(D100,'Plan de Cuentas'!$A$5:$A$1241,0)),"No encontrado"))</f>
        <v/>
      </c>
      <c r="F100" s="16"/>
      <c r="G100" s="13" t="str">
        <f aca="false">IF(F100="","",IFERROR(INDEX('Plan de Cuentas'!$B$5:$B$1241,MATCH(F100,'Plan de Cuentas'!$A$5:$A$1241,0)),"No encontrado"))</f>
        <v/>
      </c>
      <c r="H100" s="17"/>
      <c r="I100" s="13"/>
    </row>
    <row r="101" customFormat="false" ht="15" hidden="false" customHeight="true" outlineLevel="0" collapsed="false">
      <c r="A101" s="13"/>
      <c r="B101" s="14"/>
      <c r="C101" s="15"/>
      <c r="D101" s="16"/>
      <c r="E101" s="13" t="str">
        <f aca="false">IF(D101="","",IFERROR(INDEX('Plan de Cuentas'!$B$5:$B$1241,MATCH(D101,'Plan de Cuentas'!$A$5:$A$1241,0)),"No encontrado"))</f>
        <v/>
      </c>
      <c r="F101" s="16"/>
      <c r="G101" s="13" t="str">
        <f aca="false">IF(F101="","",IFERROR(INDEX('Plan de Cuentas'!$B$5:$B$1241,MATCH(F101,'Plan de Cuentas'!$A$5:$A$1241,0)),"No encontrado"))</f>
        <v/>
      </c>
      <c r="H101" s="17"/>
      <c r="I101" s="13"/>
    </row>
    <row r="102" customFormat="false" ht="15" hidden="false" customHeight="true" outlineLevel="0" collapsed="false">
      <c r="A102" s="13"/>
      <c r="B102" s="14"/>
      <c r="C102" s="15"/>
      <c r="D102" s="16"/>
      <c r="E102" s="13" t="str">
        <f aca="false">IF(D102="","",IFERROR(INDEX('Plan de Cuentas'!$B$5:$B$1241,MATCH(D102,'Plan de Cuentas'!$A$5:$A$1241,0)),"No encontrado"))</f>
        <v/>
      </c>
      <c r="F102" s="16"/>
      <c r="G102" s="13" t="str">
        <f aca="false">IF(F102="","",IFERROR(INDEX('Plan de Cuentas'!$B$5:$B$1241,MATCH(F102,'Plan de Cuentas'!$A$5:$A$1241,0)),"No encontrado"))</f>
        <v/>
      </c>
      <c r="H102" s="17"/>
      <c r="I102" s="13"/>
    </row>
    <row r="103" customFormat="false" ht="15" hidden="false" customHeight="true" outlineLevel="0" collapsed="false">
      <c r="A103" s="13"/>
      <c r="B103" s="14"/>
      <c r="C103" s="15"/>
      <c r="D103" s="16"/>
      <c r="E103" s="13" t="str">
        <f aca="false">IF(D103="","",IFERROR(INDEX('Plan de Cuentas'!$B$5:$B$1241,MATCH(D103,'Plan de Cuentas'!$A$5:$A$1241,0)),"No encontrado"))</f>
        <v/>
      </c>
      <c r="F103" s="16"/>
      <c r="G103" s="13" t="str">
        <f aca="false">IF(F103="","",IFERROR(INDEX('Plan de Cuentas'!$B$5:$B$1241,MATCH(F103,'Plan de Cuentas'!$A$5:$A$1241,0)),"No encontrado"))</f>
        <v/>
      </c>
      <c r="H103" s="17"/>
      <c r="I103" s="13"/>
    </row>
    <row r="104" customFormat="false" ht="15" hidden="false" customHeight="true" outlineLevel="0" collapsed="false">
      <c r="A104" s="13"/>
      <c r="B104" s="14"/>
      <c r="C104" s="15"/>
      <c r="D104" s="16"/>
      <c r="E104" s="13" t="str">
        <f aca="false">IF(D104="","",IFERROR(INDEX('Plan de Cuentas'!$B$5:$B$1241,MATCH(D104,'Plan de Cuentas'!$A$5:$A$1241,0)),"No encontrado"))</f>
        <v/>
      </c>
      <c r="F104" s="16"/>
      <c r="G104" s="13" t="str">
        <f aca="false">IF(F104="","",IFERROR(INDEX('Plan de Cuentas'!$B$5:$B$1241,MATCH(F104,'Plan de Cuentas'!$A$5:$A$1241,0)),"No encontrado"))</f>
        <v/>
      </c>
      <c r="H104" s="17"/>
      <c r="I104" s="13"/>
    </row>
    <row r="105" customFormat="false" ht="15" hidden="false" customHeight="true" outlineLevel="0" collapsed="false">
      <c r="A105" s="13"/>
      <c r="B105" s="14"/>
      <c r="C105" s="15"/>
      <c r="D105" s="16"/>
      <c r="E105" s="13" t="str">
        <f aca="false">IF(D105="","",IFERROR(INDEX('Plan de Cuentas'!$B$5:$B$1241,MATCH(D105,'Plan de Cuentas'!$A$5:$A$1241,0)),"No encontrado"))</f>
        <v/>
      </c>
      <c r="F105" s="16"/>
      <c r="G105" s="13" t="str">
        <f aca="false">IF(F105="","",IFERROR(INDEX('Plan de Cuentas'!$B$5:$B$1241,MATCH(F105,'Plan de Cuentas'!$A$5:$A$1241,0)),"No encontrado"))</f>
        <v/>
      </c>
      <c r="H105" s="17"/>
      <c r="I105" s="13"/>
    </row>
    <row r="106" customFormat="false" ht="15" hidden="false" customHeight="true" outlineLevel="0" collapsed="false">
      <c r="A106" s="13"/>
      <c r="B106" s="14"/>
      <c r="C106" s="15"/>
      <c r="D106" s="16"/>
      <c r="E106" s="13" t="str">
        <f aca="false">IF(D106="","",IFERROR(INDEX('Plan de Cuentas'!$B$5:$B$1241,MATCH(D106,'Plan de Cuentas'!$A$5:$A$1241,0)),"No encontrado"))</f>
        <v/>
      </c>
      <c r="F106" s="16"/>
      <c r="G106" s="13" t="str">
        <f aca="false">IF(F106="","",IFERROR(INDEX('Plan de Cuentas'!$B$5:$B$1241,MATCH(F106,'Plan de Cuentas'!$A$5:$A$1241,0)),"No encontrado"))</f>
        <v/>
      </c>
      <c r="H106" s="17"/>
      <c r="I106" s="13"/>
    </row>
    <row r="107" customFormat="false" ht="15" hidden="false" customHeight="true" outlineLevel="0" collapsed="false">
      <c r="A107" s="13"/>
      <c r="B107" s="14"/>
      <c r="C107" s="15"/>
      <c r="D107" s="16"/>
      <c r="E107" s="13" t="str">
        <f aca="false">IF(D107="","",IFERROR(INDEX('Plan de Cuentas'!$B$5:$B$1241,MATCH(D107,'Plan de Cuentas'!$A$5:$A$1241,0)),"No encontrado"))</f>
        <v/>
      </c>
      <c r="F107" s="16"/>
      <c r="G107" s="13" t="str">
        <f aca="false">IF(F107="","",IFERROR(INDEX('Plan de Cuentas'!$B$5:$B$1241,MATCH(F107,'Plan de Cuentas'!$A$5:$A$1241,0)),"No encontrado"))</f>
        <v/>
      </c>
      <c r="H107" s="17"/>
      <c r="I107" s="13"/>
    </row>
    <row r="108" customFormat="false" ht="15" hidden="false" customHeight="true" outlineLevel="0" collapsed="false">
      <c r="A108" s="13"/>
      <c r="B108" s="14"/>
      <c r="C108" s="15"/>
      <c r="D108" s="16"/>
      <c r="E108" s="13" t="str">
        <f aca="false">IF(D108="","",IFERROR(INDEX('Plan de Cuentas'!$B$5:$B$1241,MATCH(D108,'Plan de Cuentas'!$A$5:$A$1241,0)),"No encontrado"))</f>
        <v/>
      </c>
      <c r="F108" s="16"/>
      <c r="G108" s="13" t="str">
        <f aca="false">IF(F108="","",IFERROR(INDEX('Plan de Cuentas'!$B$5:$B$1241,MATCH(F108,'Plan de Cuentas'!$A$5:$A$1241,0)),"No encontrado"))</f>
        <v/>
      </c>
      <c r="H108" s="17"/>
      <c r="I108" s="13"/>
    </row>
    <row r="109" customFormat="false" ht="15" hidden="false" customHeight="true" outlineLevel="0" collapsed="false">
      <c r="A109" s="13"/>
      <c r="B109" s="14"/>
      <c r="C109" s="15"/>
      <c r="D109" s="16"/>
      <c r="E109" s="13" t="str">
        <f aca="false">IF(D109="","",IFERROR(INDEX('Plan de Cuentas'!$B$5:$B$1241,MATCH(D109,'Plan de Cuentas'!$A$5:$A$1241,0)),"No encontrado"))</f>
        <v/>
      </c>
      <c r="F109" s="16"/>
      <c r="G109" s="13" t="str">
        <f aca="false">IF(F109="","",IFERROR(INDEX('Plan de Cuentas'!$B$5:$B$1241,MATCH(F109,'Plan de Cuentas'!$A$5:$A$1241,0)),"No encontrado"))</f>
        <v/>
      </c>
      <c r="H109" s="17"/>
      <c r="I109" s="13"/>
    </row>
    <row r="110" customFormat="false" ht="15" hidden="false" customHeight="true" outlineLevel="0" collapsed="false">
      <c r="A110" s="13"/>
      <c r="B110" s="14"/>
      <c r="C110" s="15"/>
      <c r="D110" s="16"/>
      <c r="E110" s="13" t="str">
        <f aca="false">IF(D110="","",IFERROR(INDEX('Plan de Cuentas'!$B$5:$B$1241,MATCH(D110,'Plan de Cuentas'!$A$5:$A$1241,0)),"No encontrado"))</f>
        <v/>
      </c>
      <c r="F110" s="16"/>
      <c r="G110" s="13" t="str">
        <f aca="false">IF(F110="","",IFERROR(INDEX('Plan de Cuentas'!$B$5:$B$1241,MATCH(F110,'Plan de Cuentas'!$A$5:$A$1241,0)),"No encontrado"))</f>
        <v/>
      </c>
      <c r="H110" s="17"/>
      <c r="I110" s="13"/>
    </row>
    <row r="111" customFormat="false" ht="15" hidden="false" customHeight="true" outlineLevel="0" collapsed="false">
      <c r="A111" s="13"/>
      <c r="B111" s="14"/>
      <c r="C111" s="15"/>
      <c r="D111" s="16"/>
      <c r="E111" s="13" t="str">
        <f aca="false">IF(D111="","",IFERROR(INDEX('Plan de Cuentas'!$B$5:$B$1241,MATCH(D111,'Plan de Cuentas'!$A$5:$A$1241,0)),"No encontrado"))</f>
        <v/>
      </c>
      <c r="F111" s="16"/>
      <c r="G111" s="13" t="str">
        <f aca="false">IF(F111="","",IFERROR(INDEX('Plan de Cuentas'!$B$5:$B$1241,MATCH(F111,'Plan de Cuentas'!$A$5:$A$1241,0)),"No encontrado"))</f>
        <v/>
      </c>
      <c r="H111" s="17"/>
      <c r="I111" s="13"/>
    </row>
    <row r="112" customFormat="false" ht="15" hidden="false" customHeight="true" outlineLevel="0" collapsed="false">
      <c r="A112" s="13"/>
      <c r="B112" s="14"/>
      <c r="C112" s="15"/>
      <c r="D112" s="16"/>
      <c r="E112" s="13" t="str">
        <f aca="false">IF(D112="","",IFERROR(INDEX('Plan de Cuentas'!$B$5:$B$1241,MATCH(D112,'Plan de Cuentas'!$A$5:$A$1241,0)),"No encontrado"))</f>
        <v/>
      </c>
      <c r="F112" s="16"/>
      <c r="G112" s="13" t="str">
        <f aca="false">IF(F112="","",IFERROR(INDEX('Plan de Cuentas'!$B$5:$B$1241,MATCH(F112,'Plan de Cuentas'!$A$5:$A$1241,0)),"No encontrado"))</f>
        <v/>
      </c>
      <c r="H112" s="17"/>
      <c r="I112" s="13"/>
    </row>
    <row r="113" customFormat="false" ht="15" hidden="false" customHeight="true" outlineLevel="0" collapsed="false">
      <c r="A113" s="13"/>
      <c r="B113" s="14"/>
      <c r="C113" s="15"/>
      <c r="D113" s="16"/>
      <c r="E113" s="13" t="str">
        <f aca="false">IF(D113="","",IFERROR(INDEX('Plan de Cuentas'!$B$5:$B$1241,MATCH(D113,'Plan de Cuentas'!$A$5:$A$1241,0)),"No encontrado"))</f>
        <v/>
      </c>
      <c r="F113" s="16"/>
      <c r="G113" s="13" t="str">
        <f aca="false">IF(F113="","",IFERROR(INDEX('Plan de Cuentas'!$B$5:$B$1241,MATCH(F113,'Plan de Cuentas'!$A$5:$A$1241,0)),"No encontrado"))</f>
        <v/>
      </c>
      <c r="H113" s="17"/>
      <c r="I113" s="13"/>
    </row>
    <row r="114" customFormat="false" ht="15" hidden="false" customHeight="true" outlineLevel="0" collapsed="false">
      <c r="A114" s="13"/>
      <c r="B114" s="14"/>
      <c r="C114" s="15"/>
      <c r="D114" s="16"/>
      <c r="E114" s="13" t="str">
        <f aca="false">IF(D114="","",IFERROR(INDEX('Plan de Cuentas'!$B$5:$B$1241,MATCH(D114,'Plan de Cuentas'!$A$5:$A$1241,0)),"No encontrado"))</f>
        <v/>
      </c>
      <c r="F114" s="16"/>
      <c r="G114" s="13" t="str">
        <f aca="false">IF(F114="","",IFERROR(INDEX('Plan de Cuentas'!$B$5:$B$1241,MATCH(F114,'Plan de Cuentas'!$A$5:$A$1241,0)),"No encontrado"))</f>
        <v/>
      </c>
      <c r="H114" s="17"/>
      <c r="I114" s="13"/>
    </row>
    <row r="115" customFormat="false" ht="15" hidden="false" customHeight="true" outlineLevel="0" collapsed="false">
      <c r="A115" s="13"/>
      <c r="B115" s="14"/>
      <c r="C115" s="15"/>
      <c r="D115" s="16"/>
      <c r="E115" s="13" t="str">
        <f aca="false">IF(D115="","",IFERROR(INDEX('Plan de Cuentas'!$B$5:$B$1241,MATCH(D115,'Plan de Cuentas'!$A$5:$A$1241,0)),"No encontrado"))</f>
        <v/>
      </c>
      <c r="F115" s="16"/>
      <c r="G115" s="13" t="str">
        <f aca="false">IF(F115="","",IFERROR(INDEX('Plan de Cuentas'!$B$5:$B$1241,MATCH(F115,'Plan de Cuentas'!$A$5:$A$1241,0)),"No encontrado"))</f>
        <v/>
      </c>
      <c r="H115" s="17"/>
      <c r="I115" s="13"/>
    </row>
    <row r="116" customFormat="false" ht="15" hidden="false" customHeight="true" outlineLevel="0" collapsed="false">
      <c r="A116" s="13"/>
      <c r="B116" s="14"/>
      <c r="C116" s="15"/>
      <c r="D116" s="16"/>
      <c r="E116" s="13" t="str">
        <f aca="false">IF(D116="","",IFERROR(INDEX('Plan de Cuentas'!$B$5:$B$1241,MATCH(D116,'Plan de Cuentas'!$A$5:$A$1241,0)),"No encontrado"))</f>
        <v/>
      </c>
      <c r="F116" s="16"/>
      <c r="G116" s="13" t="str">
        <f aca="false">IF(F116="","",IFERROR(INDEX('Plan de Cuentas'!$B$5:$B$1241,MATCH(F116,'Plan de Cuentas'!$A$5:$A$1241,0)),"No encontrado"))</f>
        <v/>
      </c>
      <c r="H116" s="17"/>
      <c r="I116" s="13"/>
    </row>
    <row r="117" customFormat="false" ht="15" hidden="false" customHeight="true" outlineLevel="0" collapsed="false">
      <c r="A117" s="13"/>
      <c r="B117" s="14"/>
      <c r="C117" s="15"/>
      <c r="D117" s="16"/>
      <c r="E117" s="13" t="str">
        <f aca="false">IF(D117="","",IFERROR(INDEX('Plan de Cuentas'!$B$5:$B$1241,MATCH(D117,'Plan de Cuentas'!$A$5:$A$1241,0)),"No encontrado"))</f>
        <v/>
      </c>
      <c r="F117" s="16"/>
      <c r="G117" s="13" t="str">
        <f aca="false">IF(F117="","",IFERROR(INDEX('Plan de Cuentas'!$B$5:$B$1241,MATCH(F117,'Plan de Cuentas'!$A$5:$A$1241,0)),"No encontrado"))</f>
        <v/>
      </c>
      <c r="H117" s="17"/>
      <c r="I117" s="13"/>
    </row>
    <row r="118" customFormat="false" ht="15" hidden="false" customHeight="true" outlineLevel="0" collapsed="false">
      <c r="A118" s="13"/>
      <c r="B118" s="14"/>
      <c r="C118" s="15"/>
      <c r="D118" s="16"/>
      <c r="E118" s="13" t="str">
        <f aca="false">IF(D118="","",IFERROR(INDEX('Plan de Cuentas'!$B$5:$B$1241,MATCH(D118,'Plan de Cuentas'!$A$5:$A$1241,0)),"No encontrado"))</f>
        <v/>
      </c>
      <c r="F118" s="16"/>
      <c r="G118" s="13" t="str">
        <f aca="false">IF(F118="","",IFERROR(INDEX('Plan de Cuentas'!$B$5:$B$1241,MATCH(F118,'Plan de Cuentas'!$A$5:$A$1241,0)),"No encontrado"))</f>
        <v/>
      </c>
      <c r="H118" s="17"/>
      <c r="I118" s="13"/>
    </row>
    <row r="119" customFormat="false" ht="15" hidden="false" customHeight="true" outlineLevel="0" collapsed="false">
      <c r="A119" s="13"/>
      <c r="B119" s="14"/>
      <c r="C119" s="15"/>
      <c r="D119" s="16"/>
      <c r="E119" s="13" t="str">
        <f aca="false">IF(D119="","",IFERROR(INDEX('Plan de Cuentas'!$B$5:$B$1241,MATCH(D119,'Plan de Cuentas'!$A$5:$A$1241,0)),"No encontrado"))</f>
        <v/>
      </c>
      <c r="F119" s="16"/>
      <c r="G119" s="13" t="str">
        <f aca="false">IF(F119="","",IFERROR(INDEX('Plan de Cuentas'!$B$5:$B$1241,MATCH(F119,'Plan de Cuentas'!$A$5:$A$1241,0)),"No encontrado"))</f>
        <v/>
      </c>
      <c r="H119" s="17"/>
      <c r="I119" s="13"/>
    </row>
    <row r="120" customFormat="false" ht="15" hidden="false" customHeight="true" outlineLevel="0" collapsed="false">
      <c r="A120" s="13"/>
      <c r="B120" s="14"/>
      <c r="C120" s="15"/>
      <c r="D120" s="16"/>
      <c r="E120" s="13" t="str">
        <f aca="false">IF(D120="","",IFERROR(INDEX('Plan de Cuentas'!$B$5:$B$1241,MATCH(D120,'Plan de Cuentas'!$A$5:$A$1241,0)),"No encontrado"))</f>
        <v/>
      </c>
      <c r="F120" s="16"/>
      <c r="G120" s="13" t="str">
        <f aca="false">IF(F120="","",IFERROR(INDEX('Plan de Cuentas'!$B$5:$B$1241,MATCH(F120,'Plan de Cuentas'!$A$5:$A$1241,0)),"No encontrado"))</f>
        <v/>
      </c>
      <c r="H120" s="17"/>
      <c r="I120" s="13"/>
    </row>
    <row r="121" customFormat="false" ht="15" hidden="false" customHeight="true" outlineLevel="0" collapsed="false">
      <c r="A121" s="13"/>
      <c r="B121" s="14"/>
      <c r="C121" s="15"/>
      <c r="D121" s="16"/>
      <c r="E121" s="13" t="str">
        <f aca="false">IF(D121="","",IFERROR(INDEX('Plan de Cuentas'!$B$5:$B$1241,MATCH(D121,'Plan de Cuentas'!$A$5:$A$1241,0)),"No encontrado"))</f>
        <v/>
      </c>
      <c r="F121" s="16"/>
      <c r="G121" s="13" t="str">
        <f aca="false">IF(F121="","",IFERROR(INDEX('Plan de Cuentas'!$B$5:$B$1241,MATCH(F121,'Plan de Cuentas'!$A$5:$A$1241,0)),"No encontrado"))</f>
        <v/>
      </c>
      <c r="H121" s="17"/>
      <c r="I121" s="13"/>
    </row>
    <row r="122" customFormat="false" ht="15" hidden="false" customHeight="true" outlineLevel="0" collapsed="false">
      <c r="A122" s="13"/>
      <c r="B122" s="14"/>
      <c r="C122" s="15"/>
      <c r="D122" s="16"/>
      <c r="E122" s="13" t="str">
        <f aca="false">IF(D122="","",IFERROR(INDEX('Plan de Cuentas'!$B$5:$B$1241,MATCH(D122,'Plan de Cuentas'!$A$5:$A$1241,0)),"No encontrado"))</f>
        <v/>
      </c>
      <c r="F122" s="16"/>
      <c r="G122" s="13" t="str">
        <f aca="false">IF(F122="","",IFERROR(INDEX('Plan de Cuentas'!$B$5:$B$1241,MATCH(F122,'Plan de Cuentas'!$A$5:$A$1241,0)),"No encontrado"))</f>
        <v/>
      </c>
      <c r="H122" s="17"/>
      <c r="I122" s="13"/>
    </row>
    <row r="123" customFormat="false" ht="15" hidden="false" customHeight="true" outlineLevel="0" collapsed="false">
      <c r="A123" s="13"/>
      <c r="B123" s="14"/>
      <c r="C123" s="15"/>
      <c r="D123" s="16"/>
      <c r="E123" s="13" t="str">
        <f aca="false">IF(D123="","",IFERROR(INDEX('Plan de Cuentas'!$B$5:$B$1241,MATCH(D123,'Plan de Cuentas'!$A$5:$A$1241,0)),"No encontrado"))</f>
        <v/>
      </c>
      <c r="F123" s="16"/>
      <c r="G123" s="13" t="str">
        <f aca="false">IF(F123="","",IFERROR(INDEX('Plan de Cuentas'!$B$5:$B$1241,MATCH(F123,'Plan de Cuentas'!$A$5:$A$1241,0)),"No encontrado"))</f>
        <v/>
      </c>
      <c r="H123" s="17"/>
      <c r="I123" s="13"/>
    </row>
    <row r="124" customFormat="false" ht="15" hidden="false" customHeight="true" outlineLevel="0" collapsed="false">
      <c r="A124" s="13"/>
      <c r="B124" s="14"/>
      <c r="C124" s="15"/>
      <c r="D124" s="16"/>
      <c r="E124" s="13" t="str">
        <f aca="false">IF(D124="","",IFERROR(INDEX('Plan de Cuentas'!$B$5:$B$1241,MATCH(D124,'Plan de Cuentas'!$A$5:$A$1241,0)),"No encontrado"))</f>
        <v/>
      </c>
      <c r="F124" s="16"/>
      <c r="G124" s="13" t="str">
        <f aca="false">IF(F124="","",IFERROR(INDEX('Plan de Cuentas'!$B$5:$B$1241,MATCH(F124,'Plan de Cuentas'!$A$5:$A$1241,0)),"No encontrado"))</f>
        <v/>
      </c>
      <c r="H124" s="17"/>
      <c r="I124" s="13"/>
    </row>
    <row r="125" customFormat="false" ht="15" hidden="false" customHeight="true" outlineLevel="0" collapsed="false">
      <c r="A125" s="13"/>
      <c r="B125" s="14"/>
      <c r="C125" s="15"/>
      <c r="D125" s="16"/>
      <c r="E125" s="13" t="str">
        <f aca="false">IF(D125="","",IFERROR(INDEX('Plan de Cuentas'!$B$5:$B$1241,MATCH(D125,'Plan de Cuentas'!$A$5:$A$1241,0)),"No encontrado"))</f>
        <v/>
      </c>
      <c r="F125" s="16"/>
      <c r="G125" s="13" t="str">
        <f aca="false">IF(F125="","",IFERROR(INDEX('Plan de Cuentas'!$B$5:$B$1241,MATCH(F125,'Plan de Cuentas'!$A$5:$A$1241,0)),"No encontrado"))</f>
        <v/>
      </c>
      <c r="H125" s="17"/>
      <c r="I125" s="13"/>
    </row>
    <row r="126" customFormat="false" ht="15" hidden="false" customHeight="true" outlineLevel="0" collapsed="false">
      <c r="A126" s="13"/>
      <c r="B126" s="14"/>
      <c r="C126" s="15"/>
      <c r="D126" s="16"/>
      <c r="E126" s="13" t="str">
        <f aca="false">IF(D126="","",IFERROR(INDEX('Plan de Cuentas'!$B$5:$B$1241,MATCH(D126,'Plan de Cuentas'!$A$5:$A$1241,0)),"No encontrado"))</f>
        <v/>
      </c>
      <c r="F126" s="16"/>
      <c r="G126" s="13" t="str">
        <f aca="false">IF(F126="","",IFERROR(INDEX('Plan de Cuentas'!$B$5:$B$1241,MATCH(F126,'Plan de Cuentas'!$A$5:$A$1241,0)),"No encontrado"))</f>
        <v/>
      </c>
      <c r="H126" s="17"/>
      <c r="I126" s="13"/>
    </row>
    <row r="127" customFormat="false" ht="15" hidden="false" customHeight="true" outlineLevel="0" collapsed="false">
      <c r="A127" s="13"/>
      <c r="B127" s="14"/>
      <c r="C127" s="15"/>
      <c r="D127" s="16"/>
      <c r="E127" s="13" t="str">
        <f aca="false">IF(D127="","",IFERROR(INDEX('Plan de Cuentas'!$B$5:$B$1241,MATCH(D127,'Plan de Cuentas'!$A$5:$A$1241,0)),"No encontrado"))</f>
        <v/>
      </c>
      <c r="F127" s="16"/>
      <c r="G127" s="13" t="str">
        <f aca="false">IF(F127="","",IFERROR(INDEX('Plan de Cuentas'!$B$5:$B$1241,MATCH(F127,'Plan de Cuentas'!$A$5:$A$1241,0)),"No encontrado"))</f>
        <v/>
      </c>
      <c r="H127" s="17"/>
      <c r="I127" s="13"/>
    </row>
    <row r="128" customFormat="false" ht="15" hidden="false" customHeight="true" outlineLevel="0" collapsed="false">
      <c r="A128" s="13"/>
      <c r="B128" s="14"/>
      <c r="C128" s="15"/>
      <c r="D128" s="16"/>
      <c r="E128" s="13" t="str">
        <f aca="false">IF(D128="","",IFERROR(INDEX('Plan de Cuentas'!$B$5:$B$1241,MATCH(D128,'Plan de Cuentas'!$A$5:$A$1241,0)),"No encontrado"))</f>
        <v/>
      </c>
      <c r="F128" s="16"/>
      <c r="G128" s="13" t="str">
        <f aca="false">IF(F128="","",IFERROR(INDEX('Plan de Cuentas'!$B$5:$B$1241,MATCH(F128,'Plan de Cuentas'!$A$5:$A$1241,0)),"No encontrado"))</f>
        <v/>
      </c>
      <c r="H128" s="17"/>
      <c r="I128" s="13"/>
    </row>
    <row r="129" customFormat="false" ht="15" hidden="false" customHeight="true" outlineLevel="0" collapsed="false">
      <c r="A129" s="13"/>
      <c r="B129" s="14"/>
      <c r="C129" s="15"/>
      <c r="D129" s="16"/>
      <c r="E129" s="13" t="str">
        <f aca="false">IF(D129="","",IFERROR(INDEX('Plan de Cuentas'!$B$5:$B$1241,MATCH(D129,'Plan de Cuentas'!$A$5:$A$1241,0)),"No encontrado"))</f>
        <v/>
      </c>
      <c r="F129" s="16"/>
      <c r="G129" s="13" t="str">
        <f aca="false">IF(F129="","",IFERROR(INDEX('Plan de Cuentas'!$B$5:$B$1241,MATCH(F129,'Plan de Cuentas'!$A$5:$A$1241,0)),"No encontrado"))</f>
        <v/>
      </c>
      <c r="H129" s="17"/>
      <c r="I129" s="13"/>
    </row>
    <row r="130" customFormat="false" ht="15" hidden="false" customHeight="true" outlineLevel="0" collapsed="false">
      <c r="A130" s="13"/>
      <c r="B130" s="14"/>
      <c r="C130" s="15"/>
      <c r="D130" s="16"/>
      <c r="E130" s="13" t="str">
        <f aca="false">IF(D130="","",IFERROR(INDEX('Plan de Cuentas'!$B$5:$B$1241,MATCH(D130,'Plan de Cuentas'!$A$5:$A$1241,0)),"No encontrado"))</f>
        <v/>
      </c>
      <c r="F130" s="16"/>
      <c r="G130" s="13" t="str">
        <f aca="false">IF(F130="","",IFERROR(INDEX('Plan de Cuentas'!$B$5:$B$1241,MATCH(F130,'Plan de Cuentas'!$A$5:$A$1241,0)),"No encontrado"))</f>
        <v/>
      </c>
      <c r="H130" s="17"/>
      <c r="I130" s="13"/>
    </row>
    <row r="131" customFormat="false" ht="15" hidden="false" customHeight="true" outlineLevel="0" collapsed="false">
      <c r="A131" s="13"/>
      <c r="B131" s="14"/>
      <c r="C131" s="15"/>
      <c r="D131" s="16"/>
      <c r="E131" s="13" t="str">
        <f aca="false">IF(D131="","",IFERROR(INDEX('Plan de Cuentas'!$B$5:$B$1241,MATCH(D131,'Plan de Cuentas'!$A$5:$A$1241,0)),"No encontrado"))</f>
        <v/>
      </c>
      <c r="F131" s="16"/>
      <c r="G131" s="13" t="str">
        <f aca="false">IF(F131="","",IFERROR(INDEX('Plan de Cuentas'!$B$5:$B$1241,MATCH(F131,'Plan de Cuentas'!$A$5:$A$1241,0)),"No encontrado"))</f>
        <v/>
      </c>
      <c r="H131" s="17"/>
      <c r="I131" s="13"/>
    </row>
    <row r="132" customFormat="false" ht="15" hidden="false" customHeight="true" outlineLevel="0" collapsed="false">
      <c r="A132" s="13"/>
      <c r="B132" s="14"/>
      <c r="C132" s="15"/>
      <c r="D132" s="16"/>
      <c r="E132" s="13" t="str">
        <f aca="false">IF(D132="","",IFERROR(INDEX('Plan de Cuentas'!$B$5:$B$1241,MATCH(D132,'Plan de Cuentas'!$A$5:$A$1241,0)),"No encontrado"))</f>
        <v/>
      </c>
      <c r="F132" s="16"/>
      <c r="G132" s="13" t="str">
        <f aca="false">IF(F132="","",IFERROR(INDEX('Plan de Cuentas'!$B$5:$B$1241,MATCH(F132,'Plan de Cuentas'!$A$5:$A$1241,0)),"No encontrado"))</f>
        <v/>
      </c>
      <c r="H132" s="17"/>
      <c r="I132" s="13"/>
    </row>
    <row r="133" customFormat="false" ht="15" hidden="false" customHeight="true" outlineLevel="0" collapsed="false">
      <c r="A133" s="13"/>
      <c r="B133" s="14"/>
      <c r="C133" s="15"/>
      <c r="D133" s="16"/>
      <c r="E133" s="13" t="str">
        <f aca="false">IF(D133="","",IFERROR(INDEX('Plan de Cuentas'!$B$5:$B$1241,MATCH(D133,'Plan de Cuentas'!$A$5:$A$1241,0)),"No encontrado"))</f>
        <v/>
      </c>
      <c r="F133" s="16"/>
      <c r="G133" s="13" t="str">
        <f aca="false">IF(F133="","",IFERROR(INDEX('Plan de Cuentas'!$B$5:$B$1241,MATCH(F133,'Plan de Cuentas'!$A$5:$A$1241,0)),"No encontrado"))</f>
        <v/>
      </c>
      <c r="H133" s="17"/>
      <c r="I133" s="13"/>
    </row>
    <row r="134" customFormat="false" ht="15" hidden="false" customHeight="true" outlineLevel="0" collapsed="false">
      <c r="A134" s="13"/>
      <c r="B134" s="14"/>
      <c r="C134" s="15"/>
      <c r="D134" s="16"/>
      <c r="E134" s="13" t="str">
        <f aca="false">IF(D134="","",IFERROR(INDEX('Plan de Cuentas'!$B$5:$B$1241,MATCH(D134,'Plan de Cuentas'!$A$5:$A$1241,0)),"No encontrado"))</f>
        <v/>
      </c>
      <c r="F134" s="16"/>
      <c r="G134" s="13" t="str">
        <f aca="false">IF(F134="","",IFERROR(INDEX('Plan de Cuentas'!$B$5:$B$1241,MATCH(F134,'Plan de Cuentas'!$A$5:$A$1241,0)),"No encontrado"))</f>
        <v/>
      </c>
      <c r="H134" s="17"/>
      <c r="I134" s="13"/>
    </row>
    <row r="135" customFormat="false" ht="15" hidden="false" customHeight="true" outlineLevel="0" collapsed="false">
      <c r="A135" s="13"/>
      <c r="B135" s="14"/>
      <c r="C135" s="15"/>
      <c r="D135" s="16"/>
      <c r="E135" s="13" t="str">
        <f aca="false">IF(D135="","",IFERROR(INDEX('Plan de Cuentas'!$B$5:$B$1241,MATCH(D135,'Plan de Cuentas'!$A$5:$A$1241,0)),"No encontrado"))</f>
        <v/>
      </c>
      <c r="F135" s="16"/>
      <c r="G135" s="13" t="str">
        <f aca="false">IF(F135="","",IFERROR(INDEX('Plan de Cuentas'!$B$5:$B$1241,MATCH(F135,'Plan de Cuentas'!$A$5:$A$1241,0)),"No encontrado"))</f>
        <v/>
      </c>
      <c r="H135" s="17"/>
      <c r="I135" s="13"/>
    </row>
    <row r="136" customFormat="false" ht="15" hidden="false" customHeight="true" outlineLevel="0" collapsed="false">
      <c r="A136" s="13"/>
      <c r="B136" s="14"/>
      <c r="C136" s="15"/>
      <c r="D136" s="16"/>
      <c r="E136" s="13" t="str">
        <f aca="false">IF(D136="","",IFERROR(INDEX('Plan de Cuentas'!$B$5:$B$1241,MATCH(D136,'Plan de Cuentas'!$A$5:$A$1241,0)),"No encontrado"))</f>
        <v/>
      </c>
      <c r="F136" s="16"/>
      <c r="G136" s="13" t="str">
        <f aca="false">IF(F136="","",IFERROR(INDEX('Plan de Cuentas'!$B$5:$B$1241,MATCH(F136,'Plan de Cuentas'!$A$5:$A$1241,0)),"No encontrado"))</f>
        <v/>
      </c>
      <c r="H136" s="17"/>
      <c r="I136" s="13"/>
    </row>
    <row r="137" customFormat="false" ht="15" hidden="false" customHeight="true" outlineLevel="0" collapsed="false">
      <c r="A137" s="13"/>
      <c r="B137" s="14"/>
      <c r="C137" s="15"/>
      <c r="D137" s="16"/>
      <c r="E137" s="13" t="str">
        <f aca="false">IF(D137="","",IFERROR(INDEX('Plan de Cuentas'!$B$5:$B$1241,MATCH(D137,'Plan de Cuentas'!$A$5:$A$1241,0)),"No encontrado"))</f>
        <v/>
      </c>
      <c r="F137" s="16"/>
      <c r="G137" s="13" t="str">
        <f aca="false">IF(F137="","",IFERROR(INDEX('Plan de Cuentas'!$B$5:$B$1241,MATCH(F137,'Plan de Cuentas'!$A$5:$A$1241,0)),"No encontrado"))</f>
        <v/>
      </c>
      <c r="H137" s="17"/>
      <c r="I137" s="13"/>
    </row>
    <row r="138" customFormat="false" ht="15" hidden="false" customHeight="true" outlineLevel="0" collapsed="false">
      <c r="A138" s="13"/>
      <c r="B138" s="14"/>
      <c r="C138" s="15"/>
      <c r="D138" s="16"/>
      <c r="E138" s="13" t="str">
        <f aca="false">IF(D138="","",IFERROR(INDEX('Plan de Cuentas'!$B$5:$B$1241,MATCH(D138,'Plan de Cuentas'!$A$5:$A$1241,0)),"No encontrado"))</f>
        <v/>
      </c>
      <c r="F138" s="16"/>
      <c r="G138" s="13" t="str">
        <f aca="false">IF(F138="","",IFERROR(INDEX('Plan de Cuentas'!$B$5:$B$1241,MATCH(F138,'Plan de Cuentas'!$A$5:$A$1241,0)),"No encontrado"))</f>
        <v/>
      </c>
      <c r="H138" s="17"/>
      <c r="I138" s="13"/>
    </row>
    <row r="139" customFormat="false" ht="15" hidden="false" customHeight="true" outlineLevel="0" collapsed="false">
      <c r="A139" s="13"/>
      <c r="B139" s="14"/>
      <c r="C139" s="15"/>
      <c r="D139" s="16"/>
      <c r="E139" s="13" t="str">
        <f aca="false">IF(D139="","",IFERROR(INDEX('Plan de Cuentas'!$B$5:$B$1241,MATCH(D139,'Plan de Cuentas'!$A$5:$A$1241,0)),"No encontrado"))</f>
        <v/>
      </c>
      <c r="F139" s="16"/>
      <c r="G139" s="13" t="str">
        <f aca="false">IF(F139="","",IFERROR(INDEX('Plan de Cuentas'!$B$5:$B$1241,MATCH(F139,'Plan de Cuentas'!$A$5:$A$1241,0)),"No encontrado"))</f>
        <v/>
      </c>
      <c r="H139" s="17"/>
      <c r="I139" s="13"/>
    </row>
    <row r="140" customFormat="false" ht="15" hidden="false" customHeight="true" outlineLevel="0" collapsed="false">
      <c r="A140" s="13"/>
      <c r="B140" s="14"/>
      <c r="C140" s="15"/>
      <c r="D140" s="16"/>
      <c r="E140" s="13" t="str">
        <f aca="false">IF(D140="","",IFERROR(INDEX('Plan de Cuentas'!$B$5:$B$1241,MATCH(D140,'Plan de Cuentas'!$A$5:$A$1241,0)),"No encontrado"))</f>
        <v/>
      </c>
      <c r="F140" s="16"/>
      <c r="G140" s="13" t="str">
        <f aca="false">IF(F140="","",IFERROR(INDEX('Plan de Cuentas'!$B$5:$B$1241,MATCH(F140,'Plan de Cuentas'!$A$5:$A$1241,0)),"No encontrado"))</f>
        <v/>
      </c>
      <c r="H140" s="17"/>
      <c r="I140" s="13"/>
    </row>
    <row r="141" customFormat="false" ht="15" hidden="false" customHeight="true" outlineLevel="0" collapsed="false">
      <c r="A141" s="13"/>
      <c r="B141" s="14"/>
      <c r="C141" s="15"/>
      <c r="D141" s="16"/>
      <c r="E141" s="13" t="str">
        <f aca="false">IF(D141="","",IFERROR(INDEX('Plan de Cuentas'!$B$5:$B$1241,MATCH(D141,'Plan de Cuentas'!$A$5:$A$1241,0)),"No encontrado"))</f>
        <v/>
      </c>
      <c r="F141" s="16"/>
      <c r="G141" s="13" t="str">
        <f aca="false">IF(F141="","",IFERROR(INDEX('Plan de Cuentas'!$B$5:$B$1241,MATCH(F141,'Plan de Cuentas'!$A$5:$A$1241,0)),"No encontrado"))</f>
        <v/>
      </c>
      <c r="H141" s="17"/>
      <c r="I141" s="13"/>
    </row>
    <row r="142" customFormat="false" ht="15" hidden="false" customHeight="true" outlineLevel="0" collapsed="false">
      <c r="A142" s="13"/>
      <c r="B142" s="14"/>
      <c r="C142" s="15"/>
      <c r="D142" s="16"/>
      <c r="E142" s="13" t="str">
        <f aca="false">IF(D142="","",IFERROR(INDEX('Plan de Cuentas'!$B$5:$B$1241,MATCH(D142,'Plan de Cuentas'!$A$5:$A$1241,0)),"No encontrado"))</f>
        <v/>
      </c>
      <c r="F142" s="16"/>
      <c r="G142" s="13" t="str">
        <f aca="false">IF(F142="","",IFERROR(INDEX('Plan de Cuentas'!$B$5:$B$1241,MATCH(F142,'Plan de Cuentas'!$A$5:$A$1241,0)),"No encontrado"))</f>
        <v/>
      </c>
      <c r="H142" s="17"/>
      <c r="I142" s="13"/>
    </row>
    <row r="143" customFormat="false" ht="15" hidden="false" customHeight="true" outlineLevel="0" collapsed="false">
      <c r="A143" s="13"/>
      <c r="B143" s="14"/>
      <c r="C143" s="15"/>
      <c r="D143" s="16"/>
      <c r="E143" s="13" t="str">
        <f aca="false">IF(D143="","",IFERROR(INDEX('Plan de Cuentas'!$B$5:$B$1241,MATCH(D143,'Plan de Cuentas'!$A$5:$A$1241,0)),"No encontrado"))</f>
        <v/>
      </c>
      <c r="F143" s="16"/>
      <c r="G143" s="13" t="str">
        <f aca="false">IF(F143="","",IFERROR(INDEX('Plan de Cuentas'!$B$5:$B$1241,MATCH(F143,'Plan de Cuentas'!$A$5:$A$1241,0)),"No encontrado"))</f>
        <v/>
      </c>
      <c r="H143" s="17"/>
      <c r="I143" s="13"/>
    </row>
    <row r="144" customFormat="false" ht="15" hidden="false" customHeight="true" outlineLevel="0" collapsed="false">
      <c r="A144" s="13"/>
      <c r="B144" s="14"/>
      <c r="C144" s="15"/>
      <c r="D144" s="16"/>
      <c r="E144" s="13" t="str">
        <f aca="false">IF(D144="","",IFERROR(INDEX('Plan de Cuentas'!$B$5:$B$1241,MATCH(D144,'Plan de Cuentas'!$A$5:$A$1241,0)),"No encontrado"))</f>
        <v/>
      </c>
      <c r="F144" s="16"/>
      <c r="G144" s="13" t="str">
        <f aca="false">IF(F144="","",IFERROR(INDEX('Plan de Cuentas'!$B$5:$B$1241,MATCH(F144,'Plan de Cuentas'!$A$5:$A$1241,0)),"No encontrado"))</f>
        <v/>
      </c>
      <c r="H144" s="17"/>
      <c r="I144" s="13"/>
    </row>
    <row r="145" customFormat="false" ht="15" hidden="false" customHeight="true" outlineLevel="0" collapsed="false">
      <c r="A145" s="13"/>
      <c r="B145" s="14"/>
      <c r="C145" s="15"/>
      <c r="D145" s="16"/>
      <c r="E145" s="13" t="str">
        <f aca="false">IF(D145="","",IFERROR(INDEX('Plan de Cuentas'!$B$5:$B$1241,MATCH(D145,'Plan de Cuentas'!$A$5:$A$1241,0)),"No encontrado"))</f>
        <v/>
      </c>
      <c r="F145" s="16"/>
      <c r="G145" s="13" t="str">
        <f aca="false">IF(F145="","",IFERROR(INDEX('Plan de Cuentas'!$B$5:$B$1241,MATCH(F145,'Plan de Cuentas'!$A$5:$A$1241,0)),"No encontrado"))</f>
        <v/>
      </c>
      <c r="H145" s="17"/>
      <c r="I145" s="13"/>
    </row>
    <row r="146" customFormat="false" ht="15" hidden="false" customHeight="true" outlineLevel="0" collapsed="false">
      <c r="A146" s="13"/>
      <c r="B146" s="14"/>
      <c r="C146" s="15"/>
      <c r="D146" s="16"/>
      <c r="E146" s="13" t="str">
        <f aca="false">IF(D146="","",IFERROR(INDEX('Plan de Cuentas'!$B$5:$B$1241,MATCH(D146,'Plan de Cuentas'!$A$5:$A$1241,0)),"No encontrado"))</f>
        <v/>
      </c>
      <c r="F146" s="16"/>
      <c r="G146" s="13" t="str">
        <f aca="false">IF(F146="","",IFERROR(INDEX('Plan de Cuentas'!$B$5:$B$1241,MATCH(F146,'Plan de Cuentas'!$A$5:$A$1241,0)),"No encontrado"))</f>
        <v/>
      </c>
      <c r="H146" s="17"/>
      <c r="I146" s="13"/>
    </row>
    <row r="147" customFormat="false" ht="15" hidden="false" customHeight="true" outlineLevel="0" collapsed="false">
      <c r="A147" s="13"/>
      <c r="B147" s="14"/>
      <c r="C147" s="15"/>
      <c r="D147" s="16"/>
      <c r="E147" s="13" t="str">
        <f aca="false">IF(D147="","",IFERROR(INDEX('Plan de Cuentas'!$B$5:$B$1241,MATCH(D147,'Plan de Cuentas'!$A$5:$A$1241,0)),"No encontrado"))</f>
        <v/>
      </c>
      <c r="F147" s="16"/>
      <c r="G147" s="13" t="str">
        <f aca="false">IF(F147="","",IFERROR(INDEX('Plan de Cuentas'!$B$5:$B$1241,MATCH(F147,'Plan de Cuentas'!$A$5:$A$1241,0)),"No encontrado"))</f>
        <v/>
      </c>
      <c r="H147" s="17"/>
      <c r="I147" s="13"/>
    </row>
    <row r="148" customFormat="false" ht="15" hidden="false" customHeight="true" outlineLevel="0" collapsed="false">
      <c r="A148" s="13"/>
      <c r="B148" s="14"/>
      <c r="C148" s="15"/>
      <c r="D148" s="16"/>
      <c r="E148" s="13" t="str">
        <f aca="false">IF(D148="","",IFERROR(INDEX('Plan de Cuentas'!$B$5:$B$1241,MATCH(D148,'Plan de Cuentas'!$A$5:$A$1241,0)),"No encontrado"))</f>
        <v/>
      </c>
      <c r="F148" s="16"/>
      <c r="G148" s="13" t="str">
        <f aca="false">IF(F148="","",IFERROR(INDEX('Plan de Cuentas'!$B$5:$B$1241,MATCH(F148,'Plan de Cuentas'!$A$5:$A$1241,0)),"No encontrado"))</f>
        <v/>
      </c>
      <c r="H148" s="17"/>
      <c r="I148" s="13"/>
    </row>
    <row r="149" customFormat="false" ht="15" hidden="false" customHeight="true" outlineLevel="0" collapsed="false">
      <c r="A149" s="13"/>
      <c r="B149" s="14"/>
      <c r="C149" s="15"/>
      <c r="D149" s="16"/>
      <c r="E149" s="13" t="str">
        <f aca="false">IF(D149="","",IFERROR(INDEX('Plan de Cuentas'!$B$5:$B$1241,MATCH(D149,'Plan de Cuentas'!$A$5:$A$1241,0)),"No encontrado"))</f>
        <v/>
      </c>
      <c r="F149" s="16"/>
      <c r="G149" s="13" t="str">
        <f aca="false">IF(F149="","",IFERROR(INDEX('Plan de Cuentas'!$B$5:$B$1241,MATCH(F149,'Plan de Cuentas'!$A$5:$A$1241,0)),"No encontrado"))</f>
        <v/>
      </c>
      <c r="H149" s="17"/>
      <c r="I149" s="13"/>
    </row>
    <row r="150" customFormat="false" ht="15" hidden="false" customHeight="true" outlineLevel="0" collapsed="false">
      <c r="A150" s="13"/>
      <c r="B150" s="14"/>
      <c r="C150" s="15"/>
      <c r="D150" s="16"/>
      <c r="E150" s="13" t="str">
        <f aca="false">IF(D150="","",IFERROR(INDEX('Plan de Cuentas'!$B$5:$B$1241,MATCH(D150,'Plan de Cuentas'!$A$5:$A$1241,0)),"No encontrado"))</f>
        <v/>
      </c>
      <c r="F150" s="16"/>
      <c r="G150" s="13" t="str">
        <f aca="false">IF(F150="","",IFERROR(INDEX('Plan de Cuentas'!$B$5:$B$1241,MATCH(F150,'Plan de Cuentas'!$A$5:$A$1241,0)),"No encontrado"))</f>
        <v/>
      </c>
      <c r="H150" s="17"/>
      <c r="I150" s="13"/>
    </row>
    <row r="151" customFormat="false" ht="15" hidden="false" customHeight="true" outlineLevel="0" collapsed="false">
      <c r="A151" s="13"/>
      <c r="B151" s="14"/>
      <c r="C151" s="15"/>
      <c r="D151" s="16"/>
      <c r="E151" s="13" t="str">
        <f aca="false">IF(D151="","",IFERROR(INDEX('Plan de Cuentas'!$B$5:$B$1241,MATCH(D151,'Plan de Cuentas'!$A$5:$A$1241,0)),"No encontrado"))</f>
        <v/>
      </c>
      <c r="F151" s="16"/>
      <c r="G151" s="13" t="str">
        <f aca="false">IF(F151="","",IFERROR(INDEX('Plan de Cuentas'!$B$5:$B$1241,MATCH(F151,'Plan de Cuentas'!$A$5:$A$1241,0)),"No encontrado"))</f>
        <v/>
      </c>
      <c r="H151" s="17"/>
      <c r="I151" s="13"/>
    </row>
    <row r="152" customFormat="false" ht="15" hidden="false" customHeight="true" outlineLevel="0" collapsed="false">
      <c r="A152" s="13"/>
      <c r="B152" s="14"/>
      <c r="C152" s="15"/>
      <c r="D152" s="16"/>
      <c r="E152" s="13" t="str">
        <f aca="false">IF(D152="","",IFERROR(INDEX('Plan de Cuentas'!$B$5:$B$1241,MATCH(D152,'Plan de Cuentas'!$A$5:$A$1241,0)),"No encontrado"))</f>
        <v/>
      </c>
      <c r="F152" s="16"/>
      <c r="G152" s="13" t="str">
        <f aca="false">IF(F152="","",IFERROR(INDEX('Plan de Cuentas'!$B$5:$B$1241,MATCH(F152,'Plan de Cuentas'!$A$5:$A$1241,0)),"No encontrado"))</f>
        <v/>
      </c>
      <c r="H152" s="17"/>
      <c r="I152" s="13"/>
    </row>
    <row r="153" customFormat="false" ht="15" hidden="false" customHeight="true" outlineLevel="0" collapsed="false">
      <c r="A153" s="13"/>
      <c r="B153" s="14"/>
      <c r="C153" s="15"/>
      <c r="D153" s="16"/>
      <c r="E153" s="13" t="str">
        <f aca="false">IF(D153="","",IFERROR(INDEX('Plan de Cuentas'!$B$5:$B$1241,MATCH(D153,'Plan de Cuentas'!$A$5:$A$1241,0)),"No encontrado"))</f>
        <v/>
      </c>
      <c r="F153" s="16"/>
      <c r="G153" s="13" t="str">
        <f aca="false">IF(F153="","",IFERROR(INDEX('Plan de Cuentas'!$B$5:$B$1241,MATCH(F153,'Plan de Cuentas'!$A$5:$A$1241,0)),"No encontrado"))</f>
        <v/>
      </c>
      <c r="H153" s="17"/>
      <c r="I153" s="13"/>
    </row>
    <row r="154" customFormat="false" ht="15" hidden="false" customHeight="true" outlineLevel="0" collapsed="false">
      <c r="A154" s="13"/>
      <c r="B154" s="14"/>
      <c r="C154" s="15"/>
      <c r="D154" s="16"/>
      <c r="E154" s="13" t="str">
        <f aca="false">IF(D154="","",IFERROR(INDEX('Plan de Cuentas'!$B$5:$B$1241,MATCH(D154,'Plan de Cuentas'!$A$5:$A$1241,0)),"No encontrado"))</f>
        <v/>
      </c>
      <c r="F154" s="16"/>
      <c r="G154" s="13" t="str">
        <f aca="false">IF(F154="","",IFERROR(INDEX('Plan de Cuentas'!$B$5:$B$1241,MATCH(F154,'Plan de Cuentas'!$A$5:$A$1241,0)),"No encontrado"))</f>
        <v/>
      </c>
      <c r="H154" s="17"/>
      <c r="I154" s="13"/>
    </row>
    <row r="155" customFormat="false" ht="15" hidden="false" customHeight="true" outlineLevel="0" collapsed="false">
      <c r="A155" s="13"/>
      <c r="B155" s="14"/>
      <c r="C155" s="15"/>
      <c r="D155" s="16"/>
      <c r="E155" s="13" t="str">
        <f aca="false">IF(D155="","",IFERROR(INDEX('Plan de Cuentas'!$B$5:$B$1241,MATCH(D155,'Plan de Cuentas'!$A$5:$A$1241,0)),"No encontrado"))</f>
        <v/>
      </c>
      <c r="F155" s="16"/>
      <c r="G155" s="13" t="str">
        <f aca="false">IF(F155="","",IFERROR(INDEX('Plan de Cuentas'!$B$5:$B$1241,MATCH(F155,'Plan de Cuentas'!$A$5:$A$1241,0)),"No encontrado"))</f>
        <v/>
      </c>
      <c r="H155" s="17"/>
      <c r="I155" s="13"/>
    </row>
    <row r="156" customFormat="false" ht="15" hidden="false" customHeight="true" outlineLevel="0" collapsed="false">
      <c r="A156" s="13"/>
      <c r="B156" s="14"/>
      <c r="C156" s="15"/>
      <c r="D156" s="16"/>
      <c r="E156" s="13" t="str">
        <f aca="false">IF(D156="","",IFERROR(INDEX('Plan de Cuentas'!$B$5:$B$1241,MATCH(D156,'Plan de Cuentas'!$A$5:$A$1241,0)),"No encontrado"))</f>
        <v/>
      </c>
      <c r="F156" s="16"/>
      <c r="G156" s="13" t="str">
        <f aca="false">IF(F156="","",IFERROR(INDEX('Plan de Cuentas'!$B$5:$B$1241,MATCH(F156,'Plan de Cuentas'!$A$5:$A$1241,0)),"No encontrado"))</f>
        <v/>
      </c>
      <c r="H156" s="17"/>
      <c r="I156" s="13"/>
    </row>
    <row r="157" customFormat="false" ht="15" hidden="false" customHeight="true" outlineLevel="0" collapsed="false">
      <c r="A157" s="13"/>
      <c r="B157" s="14"/>
      <c r="C157" s="15"/>
      <c r="D157" s="16"/>
      <c r="E157" s="13" t="str">
        <f aca="false">IF(D157="","",IFERROR(INDEX('Plan de Cuentas'!$B$5:$B$1241,MATCH(D157,'Plan de Cuentas'!$A$5:$A$1241,0)),"No encontrado"))</f>
        <v/>
      </c>
      <c r="F157" s="16"/>
      <c r="G157" s="13" t="str">
        <f aca="false">IF(F157="","",IFERROR(INDEX('Plan de Cuentas'!$B$5:$B$1241,MATCH(F157,'Plan de Cuentas'!$A$5:$A$1241,0)),"No encontrado"))</f>
        <v/>
      </c>
      <c r="H157" s="17"/>
      <c r="I157" s="13"/>
    </row>
    <row r="158" customFormat="false" ht="15" hidden="false" customHeight="true" outlineLevel="0" collapsed="false">
      <c r="A158" s="13"/>
      <c r="B158" s="14"/>
      <c r="C158" s="15"/>
      <c r="D158" s="16"/>
      <c r="E158" s="13" t="str">
        <f aca="false">IF(D158="","",IFERROR(INDEX('Plan de Cuentas'!$B$5:$B$1241,MATCH(D158,'Plan de Cuentas'!$A$5:$A$1241,0)),"No encontrado"))</f>
        <v/>
      </c>
      <c r="F158" s="16"/>
      <c r="G158" s="13" t="str">
        <f aca="false">IF(F158="","",IFERROR(INDEX('Plan de Cuentas'!$B$5:$B$1241,MATCH(F158,'Plan de Cuentas'!$A$5:$A$1241,0)),"No encontrado"))</f>
        <v/>
      </c>
      <c r="H158" s="17"/>
      <c r="I158" s="13"/>
    </row>
    <row r="159" customFormat="false" ht="15" hidden="false" customHeight="true" outlineLevel="0" collapsed="false">
      <c r="A159" s="13"/>
      <c r="B159" s="14"/>
      <c r="C159" s="15"/>
      <c r="D159" s="16"/>
      <c r="E159" s="13" t="str">
        <f aca="false">IF(D159="","",IFERROR(INDEX('Plan de Cuentas'!$B$5:$B$1241,MATCH(D159,'Plan de Cuentas'!$A$5:$A$1241,0)),"No encontrado"))</f>
        <v/>
      </c>
      <c r="F159" s="16"/>
      <c r="G159" s="13" t="str">
        <f aca="false">IF(F159="","",IFERROR(INDEX('Plan de Cuentas'!$B$5:$B$1241,MATCH(F159,'Plan de Cuentas'!$A$5:$A$1241,0)),"No encontrado"))</f>
        <v/>
      </c>
      <c r="H159" s="17"/>
      <c r="I159" s="13"/>
    </row>
    <row r="160" customFormat="false" ht="15" hidden="false" customHeight="true" outlineLevel="0" collapsed="false">
      <c r="A160" s="13"/>
      <c r="B160" s="14"/>
      <c r="C160" s="15"/>
      <c r="D160" s="16"/>
      <c r="E160" s="13" t="str">
        <f aca="false">IF(D160="","",IFERROR(INDEX('Plan de Cuentas'!$B$5:$B$1241,MATCH(D160,'Plan de Cuentas'!$A$5:$A$1241,0)),"No encontrado"))</f>
        <v/>
      </c>
      <c r="F160" s="16"/>
      <c r="G160" s="13" t="str">
        <f aca="false">IF(F160="","",IFERROR(INDEX('Plan de Cuentas'!$B$5:$B$1241,MATCH(F160,'Plan de Cuentas'!$A$5:$A$1241,0)),"No encontrado"))</f>
        <v/>
      </c>
      <c r="H160" s="17"/>
      <c r="I160" s="13"/>
    </row>
    <row r="161" customFormat="false" ht="15" hidden="false" customHeight="true" outlineLevel="0" collapsed="false">
      <c r="A161" s="13"/>
      <c r="B161" s="14"/>
      <c r="C161" s="15"/>
      <c r="D161" s="16"/>
      <c r="E161" s="13" t="str">
        <f aca="false">IF(D161="","",IFERROR(INDEX('Plan de Cuentas'!$B$5:$B$1241,MATCH(D161,'Plan de Cuentas'!$A$5:$A$1241,0)),"No encontrado"))</f>
        <v/>
      </c>
      <c r="F161" s="16"/>
      <c r="G161" s="13" t="str">
        <f aca="false">IF(F161="","",IFERROR(INDEX('Plan de Cuentas'!$B$5:$B$1241,MATCH(F161,'Plan de Cuentas'!$A$5:$A$1241,0)),"No encontrado"))</f>
        <v/>
      </c>
      <c r="H161" s="17"/>
      <c r="I161" s="13"/>
    </row>
    <row r="162" customFormat="false" ht="15" hidden="false" customHeight="true" outlineLevel="0" collapsed="false">
      <c r="A162" s="13"/>
      <c r="B162" s="14"/>
      <c r="C162" s="15"/>
      <c r="D162" s="16"/>
      <c r="E162" s="13" t="str">
        <f aca="false">IF(D162="","",IFERROR(INDEX('Plan de Cuentas'!$B$5:$B$1241,MATCH(D162,'Plan de Cuentas'!$A$5:$A$1241,0)),"No encontrado"))</f>
        <v/>
      </c>
      <c r="F162" s="16"/>
      <c r="G162" s="13" t="str">
        <f aca="false">IF(F162="","",IFERROR(INDEX('Plan de Cuentas'!$B$5:$B$1241,MATCH(F162,'Plan de Cuentas'!$A$5:$A$1241,0)),"No encontrado"))</f>
        <v/>
      </c>
      <c r="H162" s="17"/>
      <c r="I162" s="13"/>
    </row>
    <row r="163" customFormat="false" ht="15" hidden="false" customHeight="true" outlineLevel="0" collapsed="false">
      <c r="A163" s="13"/>
      <c r="B163" s="14"/>
      <c r="C163" s="15"/>
      <c r="D163" s="16"/>
      <c r="E163" s="13" t="str">
        <f aca="false">IF(D163="","",IFERROR(INDEX('Plan de Cuentas'!$B$5:$B$1241,MATCH(D163,'Plan de Cuentas'!$A$5:$A$1241,0)),"No encontrado"))</f>
        <v/>
      </c>
      <c r="F163" s="16"/>
      <c r="G163" s="13" t="str">
        <f aca="false">IF(F163="","",IFERROR(INDEX('Plan de Cuentas'!$B$5:$B$1241,MATCH(F163,'Plan de Cuentas'!$A$5:$A$1241,0)),"No encontrado"))</f>
        <v/>
      </c>
      <c r="H163" s="17"/>
      <c r="I163" s="13"/>
    </row>
    <row r="164" customFormat="false" ht="15" hidden="false" customHeight="true" outlineLevel="0" collapsed="false">
      <c r="A164" s="13"/>
      <c r="B164" s="14"/>
      <c r="C164" s="15"/>
      <c r="D164" s="16"/>
      <c r="E164" s="13" t="str">
        <f aca="false">IF(D164="","",IFERROR(INDEX('Plan de Cuentas'!$B$5:$B$1241,MATCH(D164,'Plan de Cuentas'!$A$5:$A$1241,0)),"No encontrado"))</f>
        <v/>
      </c>
      <c r="F164" s="16"/>
      <c r="G164" s="13" t="str">
        <f aca="false">IF(F164="","",IFERROR(INDEX('Plan de Cuentas'!$B$5:$B$1241,MATCH(F164,'Plan de Cuentas'!$A$5:$A$1241,0)),"No encontrado"))</f>
        <v/>
      </c>
      <c r="H164" s="17"/>
      <c r="I164" s="13"/>
    </row>
    <row r="165" customFormat="false" ht="15" hidden="false" customHeight="true" outlineLevel="0" collapsed="false">
      <c r="A165" s="13"/>
      <c r="B165" s="14"/>
      <c r="C165" s="15"/>
      <c r="D165" s="16"/>
      <c r="E165" s="13" t="str">
        <f aca="false">IF(D165="","",IFERROR(INDEX('Plan de Cuentas'!$B$5:$B$1241,MATCH(D165,'Plan de Cuentas'!$A$5:$A$1241,0)),"No encontrado"))</f>
        <v/>
      </c>
      <c r="F165" s="16"/>
      <c r="G165" s="13" t="str">
        <f aca="false">IF(F165="","",IFERROR(INDEX('Plan de Cuentas'!$B$5:$B$1241,MATCH(F165,'Plan de Cuentas'!$A$5:$A$1241,0)),"No encontrado"))</f>
        <v/>
      </c>
      <c r="H165" s="17"/>
      <c r="I165" s="13"/>
    </row>
    <row r="166" customFormat="false" ht="15" hidden="false" customHeight="true" outlineLevel="0" collapsed="false">
      <c r="A166" s="13"/>
      <c r="B166" s="14"/>
      <c r="C166" s="15"/>
      <c r="D166" s="16"/>
      <c r="E166" s="13" t="str">
        <f aca="false">IF(D166="","",IFERROR(INDEX('Plan de Cuentas'!$B$5:$B$1241,MATCH(D166,'Plan de Cuentas'!$A$5:$A$1241,0)),"No encontrado"))</f>
        <v/>
      </c>
      <c r="F166" s="16"/>
      <c r="G166" s="13" t="str">
        <f aca="false">IF(F166="","",IFERROR(INDEX('Plan de Cuentas'!$B$5:$B$1241,MATCH(F166,'Plan de Cuentas'!$A$5:$A$1241,0)),"No encontrado"))</f>
        <v/>
      </c>
      <c r="H166" s="17"/>
      <c r="I166" s="13"/>
    </row>
    <row r="167" customFormat="false" ht="15" hidden="false" customHeight="true" outlineLevel="0" collapsed="false">
      <c r="A167" s="13"/>
      <c r="B167" s="14"/>
      <c r="C167" s="15"/>
      <c r="D167" s="16"/>
      <c r="E167" s="13" t="str">
        <f aca="false">IF(D167="","",IFERROR(INDEX('Plan de Cuentas'!$B$5:$B$1241,MATCH(D167,'Plan de Cuentas'!$A$5:$A$1241,0)),"No encontrado"))</f>
        <v/>
      </c>
      <c r="F167" s="16"/>
      <c r="G167" s="13" t="str">
        <f aca="false">IF(F167="","",IFERROR(INDEX('Plan de Cuentas'!$B$5:$B$1241,MATCH(F167,'Plan de Cuentas'!$A$5:$A$1241,0)),"No encontrado"))</f>
        <v/>
      </c>
      <c r="H167" s="17"/>
      <c r="I167" s="13"/>
    </row>
    <row r="168" customFormat="false" ht="15" hidden="false" customHeight="true" outlineLevel="0" collapsed="false">
      <c r="A168" s="13"/>
      <c r="B168" s="14"/>
      <c r="C168" s="15"/>
      <c r="D168" s="16"/>
      <c r="E168" s="13" t="str">
        <f aca="false">IF(D168="","",IFERROR(INDEX('Plan de Cuentas'!$B$5:$B$1241,MATCH(D168,'Plan de Cuentas'!$A$5:$A$1241,0)),"No encontrado"))</f>
        <v/>
      </c>
      <c r="F168" s="16"/>
      <c r="G168" s="13" t="str">
        <f aca="false">IF(F168="","",IFERROR(INDEX('Plan de Cuentas'!$B$5:$B$1241,MATCH(F168,'Plan de Cuentas'!$A$5:$A$1241,0)),"No encontrado"))</f>
        <v/>
      </c>
      <c r="H168" s="17"/>
      <c r="I168" s="13"/>
    </row>
    <row r="169" customFormat="false" ht="15" hidden="false" customHeight="true" outlineLevel="0" collapsed="false">
      <c r="A169" s="13"/>
      <c r="B169" s="14"/>
      <c r="C169" s="15"/>
      <c r="D169" s="16"/>
      <c r="E169" s="13" t="str">
        <f aca="false">IF(D169="","",IFERROR(INDEX('Plan de Cuentas'!$B$5:$B$1241,MATCH(D169,'Plan de Cuentas'!$A$5:$A$1241,0)),"No encontrado"))</f>
        <v/>
      </c>
      <c r="F169" s="16"/>
      <c r="G169" s="13" t="str">
        <f aca="false">IF(F169="","",IFERROR(INDEX('Plan de Cuentas'!$B$5:$B$1241,MATCH(F169,'Plan de Cuentas'!$A$5:$A$1241,0)),"No encontrado"))</f>
        <v/>
      </c>
      <c r="H169" s="17"/>
      <c r="I169" s="13"/>
    </row>
    <row r="170" customFormat="false" ht="15" hidden="false" customHeight="true" outlineLevel="0" collapsed="false">
      <c r="A170" s="13"/>
      <c r="B170" s="14"/>
      <c r="C170" s="15"/>
      <c r="D170" s="16"/>
      <c r="E170" s="13" t="str">
        <f aca="false">IF(D170="","",IFERROR(INDEX('Plan de Cuentas'!$B$5:$B$1241,MATCH(D170,'Plan de Cuentas'!$A$5:$A$1241,0)),"No encontrado"))</f>
        <v/>
      </c>
      <c r="F170" s="16"/>
      <c r="G170" s="13" t="str">
        <f aca="false">IF(F170="","",IFERROR(INDEX('Plan de Cuentas'!$B$5:$B$1241,MATCH(F170,'Plan de Cuentas'!$A$5:$A$1241,0)),"No encontrado"))</f>
        <v/>
      </c>
      <c r="H170" s="17"/>
      <c r="I170" s="13"/>
    </row>
    <row r="171" customFormat="false" ht="15" hidden="false" customHeight="true" outlineLevel="0" collapsed="false">
      <c r="A171" s="13"/>
      <c r="B171" s="14"/>
      <c r="C171" s="15"/>
      <c r="D171" s="16"/>
      <c r="E171" s="13" t="str">
        <f aca="false">IF(D171="","",IFERROR(INDEX('Plan de Cuentas'!$B$5:$B$1241,MATCH(D171,'Plan de Cuentas'!$A$5:$A$1241,0)),"No encontrado"))</f>
        <v/>
      </c>
      <c r="F171" s="16"/>
      <c r="G171" s="13" t="str">
        <f aca="false">IF(F171="","",IFERROR(INDEX('Plan de Cuentas'!$B$5:$B$1241,MATCH(F171,'Plan de Cuentas'!$A$5:$A$1241,0)),"No encontrado"))</f>
        <v/>
      </c>
      <c r="H171" s="17"/>
      <c r="I171" s="13"/>
    </row>
    <row r="172" customFormat="false" ht="15" hidden="false" customHeight="true" outlineLevel="0" collapsed="false">
      <c r="A172" s="13"/>
      <c r="B172" s="14"/>
      <c r="C172" s="15"/>
      <c r="D172" s="16"/>
      <c r="E172" s="13" t="str">
        <f aca="false">IF(D172="","",IFERROR(INDEX('Plan de Cuentas'!$B$5:$B$1241,MATCH(D172,'Plan de Cuentas'!$A$5:$A$1241,0)),"No encontrado"))</f>
        <v/>
      </c>
      <c r="F172" s="16"/>
      <c r="G172" s="13" t="str">
        <f aca="false">IF(F172="","",IFERROR(INDEX('Plan de Cuentas'!$B$5:$B$1241,MATCH(F172,'Plan de Cuentas'!$A$5:$A$1241,0)),"No encontrado"))</f>
        <v/>
      </c>
      <c r="H172" s="17"/>
      <c r="I172" s="13"/>
    </row>
    <row r="173" customFormat="false" ht="15" hidden="false" customHeight="true" outlineLevel="0" collapsed="false">
      <c r="A173" s="13"/>
      <c r="B173" s="14"/>
      <c r="C173" s="15"/>
      <c r="D173" s="16"/>
      <c r="E173" s="13" t="str">
        <f aca="false">IF(D173="","",IFERROR(INDEX('Plan de Cuentas'!$B$5:$B$1241,MATCH(D173,'Plan de Cuentas'!$A$5:$A$1241,0)),"No encontrado"))</f>
        <v/>
      </c>
      <c r="F173" s="16"/>
      <c r="G173" s="13" t="str">
        <f aca="false">IF(F173="","",IFERROR(INDEX('Plan de Cuentas'!$B$5:$B$1241,MATCH(F173,'Plan de Cuentas'!$A$5:$A$1241,0)),"No encontrado"))</f>
        <v/>
      </c>
      <c r="H173" s="17"/>
      <c r="I173" s="13"/>
    </row>
    <row r="174" customFormat="false" ht="15" hidden="false" customHeight="true" outlineLevel="0" collapsed="false">
      <c r="A174" s="13"/>
      <c r="B174" s="14"/>
      <c r="C174" s="15"/>
      <c r="D174" s="16"/>
      <c r="E174" s="13" t="str">
        <f aca="false">IF(D174="","",IFERROR(INDEX('Plan de Cuentas'!$B$5:$B$1241,MATCH(D174,'Plan de Cuentas'!$A$5:$A$1241,0)),"No encontrado"))</f>
        <v/>
      </c>
      <c r="F174" s="16"/>
      <c r="G174" s="13" t="str">
        <f aca="false">IF(F174="","",IFERROR(INDEX('Plan de Cuentas'!$B$5:$B$1241,MATCH(F174,'Plan de Cuentas'!$A$5:$A$1241,0)),"No encontrado"))</f>
        <v/>
      </c>
      <c r="H174" s="17"/>
      <c r="I174" s="13"/>
    </row>
    <row r="175" customFormat="false" ht="15" hidden="false" customHeight="true" outlineLevel="0" collapsed="false">
      <c r="A175" s="13"/>
      <c r="B175" s="14"/>
      <c r="C175" s="15"/>
      <c r="D175" s="16"/>
      <c r="E175" s="13" t="str">
        <f aca="false">IF(D175="","",IFERROR(INDEX('Plan de Cuentas'!$B$5:$B$1241,MATCH(D175,'Plan de Cuentas'!$A$5:$A$1241,0)),"No encontrado"))</f>
        <v/>
      </c>
      <c r="F175" s="16"/>
      <c r="G175" s="13" t="str">
        <f aca="false">IF(F175="","",IFERROR(INDEX('Plan de Cuentas'!$B$5:$B$1241,MATCH(F175,'Plan de Cuentas'!$A$5:$A$1241,0)),"No encontrado"))</f>
        <v/>
      </c>
      <c r="H175" s="17"/>
      <c r="I175" s="13"/>
    </row>
    <row r="176" customFormat="false" ht="15" hidden="false" customHeight="true" outlineLevel="0" collapsed="false">
      <c r="A176" s="13"/>
      <c r="B176" s="14"/>
      <c r="C176" s="15"/>
      <c r="D176" s="16"/>
      <c r="E176" s="13" t="str">
        <f aca="false">IF(D176="","",IFERROR(INDEX('Plan de Cuentas'!$B$5:$B$1241,MATCH(D176,'Plan de Cuentas'!$A$5:$A$1241,0)),"No encontrado"))</f>
        <v/>
      </c>
      <c r="F176" s="16"/>
      <c r="G176" s="13" t="str">
        <f aca="false">IF(F176="","",IFERROR(INDEX('Plan de Cuentas'!$B$5:$B$1241,MATCH(F176,'Plan de Cuentas'!$A$5:$A$1241,0)),"No encontrado"))</f>
        <v/>
      </c>
      <c r="H176" s="17"/>
      <c r="I176" s="13"/>
    </row>
    <row r="177" customFormat="false" ht="15" hidden="false" customHeight="true" outlineLevel="0" collapsed="false">
      <c r="A177" s="13"/>
      <c r="B177" s="14"/>
      <c r="C177" s="15"/>
      <c r="D177" s="16"/>
      <c r="E177" s="13" t="str">
        <f aca="false">IF(D177="","",IFERROR(INDEX('Plan de Cuentas'!$B$5:$B$1241,MATCH(D177,'Plan de Cuentas'!$A$5:$A$1241,0)),"No encontrado"))</f>
        <v/>
      </c>
      <c r="F177" s="16"/>
      <c r="G177" s="13" t="str">
        <f aca="false">IF(F177="","",IFERROR(INDEX('Plan de Cuentas'!$B$5:$B$1241,MATCH(F177,'Plan de Cuentas'!$A$5:$A$1241,0)),"No encontrado"))</f>
        <v/>
      </c>
      <c r="H177" s="17"/>
      <c r="I177" s="13"/>
    </row>
    <row r="178" customFormat="false" ht="15" hidden="false" customHeight="true" outlineLevel="0" collapsed="false">
      <c r="A178" s="13"/>
      <c r="B178" s="14"/>
      <c r="C178" s="15"/>
      <c r="D178" s="16"/>
      <c r="E178" s="13" t="str">
        <f aca="false">IF(D178="","",IFERROR(INDEX('Plan de Cuentas'!$B$5:$B$1241,MATCH(D178,'Plan de Cuentas'!$A$5:$A$1241,0)),"No encontrado"))</f>
        <v/>
      </c>
      <c r="F178" s="16"/>
      <c r="G178" s="13" t="str">
        <f aca="false">IF(F178="","",IFERROR(INDEX('Plan de Cuentas'!$B$5:$B$1241,MATCH(F178,'Plan de Cuentas'!$A$5:$A$1241,0)),"No encontrado"))</f>
        <v/>
      </c>
      <c r="H178" s="17"/>
      <c r="I178" s="13"/>
    </row>
    <row r="179" customFormat="false" ht="15" hidden="false" customHeight="true" outlineLevel="0" collapsed="false">
      <c r="A179" s="13"/>
      <c r="B179" s="14"/>
      <c r="C179" s="15"/>
      <c r="D179" s="16"/>
      <c r="E179" s="13" t="str">
        <f aca="false">IF(D179="","",IFERROR(INDEX('Plan de Cuentas'!$B$5:$B$1241,MATCH(D179,'Plan de Cuentas'!$A$5:$A$1241,0)),"No encontrado"))</f>
        <v/>
      </c>
      <c r="F179" s="16"/>
      <c r="G179" s="13" t="str">
        <f aca="false">IF(F179="","",IFERROR(INDEX('Plan de Cuentas'!$B$5:$B$1241,MATCH(F179,'Plan de Cuentas'!$A$5:$A$1241,0)),"No encontrado"))</f>
        <v/>
      </c>
      <c r="H179" s="17"/>
      <c r="I179" s="13"/>
    </row>
    <row r="180" customFormat="false" ht="15" hidden="false" customHeight="true" outlineLevel="0" collapsed="false">
      <c r="A180" s="13"/>
      <c r="B180" s="14"/>
      <c r="C180" s="15"/>
      <c r="D180" s="16"/>
      <c r="E180" s="13" t="str">
        <f aca="false">IF(D180="","",IFERROR(INDEX('Plan de Cuentas'!$B$5:$B$1241,MATCH(D180,'Plan de Cuentas'!$A$5:$A$1241,0)),"No encontrado"))</f>
        <v/>
      </c>
      <c r="F180" s="16"/>
      <c r="G180" s="13" t="str">
        <f aca="false">IF(F180="","",IFERROR(INDEX('Plan de Cuentas'!$B$5:$B$1241,MATCH(F180,'Plan de Cuentas'!$A$5:$A$1241,0)),"No encontrado"))</f>
        <v/>
      </c>
      <c r="H180" s="17"/>
      <c r="I180" s="13"/>
    </row>
    <row r="181" customFormat="false" ht="15" hidden="false" customHeight="true" outlineLevel="0" collapsed="false">
      <c r="A181" s="13"/>
      <c r="B181" s="14"/>
      <c r="C181" s="15"/>
      <c r="D181" s="16"/>
      <c r="E181" s="13" t="str">
        <f aca="false">IF(D181="","",IFERROR(INDEX('Plan de Cuentas'!$B$5:$B$1241,MATCH(D181,'Plan de Cuentas'!$A$5:$A$1241,0)),"No encontrado"))</f>
        <v/>
      </c>
      <c r="F181" s="16"/>
      <c r="G181" s="13" t="str">
        <f aca="false">IF(F181="","",IFERROR(INDEX('Plan de Cuentas'!$B$5:$B$1241,MATCH(F181,'Plan de Cuentas'!$A$5:$A$1241,0)),"No encontrado"))</f>
        <v/>
      </c>
      <c r="H181" s="17"/>
      <c r="I181" s="13"/>
    </row>
    <row r="182" customFormat="false" ht="15" hidden="false" customHeight="true" outlineLevel="0" collapsed="false">
      <c r="A182" s="13"/>
      <c r="B182" s="14"/>
      <c r="C182" s="15"/>
      <c r="D182" s="16"/>
      <c r="E182" s="13" t="str">
        <f aca="false">IF(D182="","",IFERROR(INDEX('Plan de Cuentas'!$B$5:$B$1241,MATCH(D182,'Plan de Cuentas'!$A$5:$A$1241,0)),"No encontrado"))</f>
        <v/>
      </c>
      <c r="F182" s="16"/>
      <c r="G182" s="13" t="str">
        <f aca="false">IF(F182="","",IFERROR(INDEX('Plan de Cuentas'!$B$5:$B$1241,MATCH(F182,'Plan de Cuentas'!$A$5:$A$1241,0)),"No encontrado"))</f>
        <v/>
      </c>
      <c r="H182" s="17"/>
      <c r="I182" s="13"/>
    </row>
    <row r="183" customFormat="false" ht="15" hidden="false" customHeight="true" outlineLevel="0" collapsed="false">
      <c r="A183" s="13"/>
      <c r="B183" s="14"/>
      <c r="C183" s="15"/>
      <c r="D183" s="16"/>
      <c r="E183" s="13" t="str">
        <f aca="false">IF(D183="","",IFERROR(INDEX('Plan de Cuentas'!$B$5:$B$1241,MATCH(D183,'Plan de Cuentas'!$A$5:$A$1241,0)),"No encontrado"))</f>
        <v/>
      </c>
      <c r="F183" s="16"/>
      <c r="G183" s="13" t="str">
        <f aca="false">IF(F183="","",IFERROR(INDEX('Plan de Cuentas'!$B$5:$B$1241,MATCH(F183,'Plan de Cuentas'!$A$5:$A$1241,0)),"No encontrado"))</f>
        <v/>
      </c>
      <c r="H183" s="17"/>
      <c r="I183" s="13"/>
    </row>
    <row r="184" customFormat="false" ht="15" hidden="false" customHeight="true" outlineLevel="0" collapsed="false">
      <c r="A184" s="13"/>
      <c r="B184" s="14"/>
      <c r="C184" s="15"/>
      <c r="D184" s="16"/>
      <c r="E184" s="13" t="str">
        <f aca="false">IF(D184="","",IFERROR(INDEX('Plan de Cuentas'!$B$5:$B$1241,MATCH(D184,'Plan de Cuentas'!$A$5:$A$1241,0)),"No encontrado"))</f>
        <v/>
      </c>
      <c r="F184" s="16"/>
      <c r="G184" s="13" t="str">
        <f aca="false">IF(F184="","",IFERROR(INDEX('Plan de Cuentas'!$B$5:$B$1241,MATCH(F184,'Plan de Cuentas'!$A$5:$A$1241,0)),"No encontrado"))</f>
        <v/>
      </c>
      <c r="H184" s="17"/>
      <c r="I184" s="13"/>
    </row>
    <row r="185" customFormat="false" ht="15" hidden="false" customHeight="true" outlineLevel="0" collapsed="false">
      <c r="A185" s="13"/>
      <c r="B185" s="14"/>
      <c r="C185" s="15"/>
      <c r="D185" s="16"/>
      <c r="E185" s="13" t="str">
        <f aca="false">IF(D185="","",IFERROR(INDEX('Plan de Cuentas'!$B$5:$B$1241,MATCH(D185,'Plan de Cuentas'!$A$5:$A$1241,0)),"No encontrado"))</f>
        <v/>
      </c>
      <c r="F185" s="16"/>
      <c r="G185" s="13" t="str">
        <f aca="false">IF(F185="","",IFERROR(INDEX('Plan de Cuentas'!$B$5:$B$1241,MATCH(F185,'Plan de Cuentas'!$A$5:$A$1241,0)),"No encontrado"))</f>
        <v/>
      </c>
      <c r="H185" s="17"/>
      <c r="I185" s="13"/>
    </row>
    <row r="186" customFormat="false" ht="15" hidden="false" customHeight="true" outlineLevel="0" collapsed="false">
      <c r="A186" s="13"/>
      <c r="B186" s="14"/>
      <c r="C186" s="15"/>
      <c r="D186" s="16"/>
      <c r="E186" s="13" t="str">
        <f aca="false">IF(D186="","",IFERROR(INDEX('Plan de Cuentas'!$B$5:$B$1241,MATCH(D186,'Plan de Cuentas'!$A$5:$A$1241,0)),"No encontrado"))</f>
        <v/>
      </c>
      <c r="F186" s="16"/>
      <c r="G186" s="13" t="str">
        <f aca="false">IF(F186="","",IFERROR(INDEX('Plan de Cuentas'!$B$5:$B$1241,MATCH(F186,'Plan de Cuentas'!$A$5:$A$1241,0)),"No encontrado"))</f>
        <v/>
      </c>
      <c r="H186" s="17"/>
      <c r="I186" s="13"/>
    </row>
    <row r="187" customFormat="false" ht="15" hidden="false" customHeight="true" outlineLevel="0" collapsed="false">
      <c r="A187" s="13"/>
      <c r="B187" s="14"/>
      <c r="C187" s="15"/>
      <c r="D187" s="16"/>
      <c r="E187" s="13" t="str">
        <f aca="false">IF(D187="","",IFERROR(INDEX('Plan de Cuentas'!$B$5:$B$1241,MATCH(D187,'Plan de Cuentas'!$A$5:$A$1241,0)),"No encontrado"))</f>
        <v/>
      </c>
      <c r="F187" s="16"/>
      <c r="G187" s="13" t="str">
        <f aca="false">IF(F187="","",IFERROR(INDEX('Plan de Cuentas'!$B$5:$B$1241,MATCH(F187,'Plan de Cuentas'!$A$5:$A$1241,0)),"No encontrado"))</f>
        <v/>
      </c>
      <c r="H187" s="17"/>
      <c r="I187" s="13"/>
    </row>
    <row r="188" customFormat="false" ht="15" hidden="false" customHeight="true" outlineLevel="0" collapsed="false">
      <c r="A188" s="13"/>
      <c r="B188" s="14"/>
      <c r="C188" s="15"/>
      <c r="D188" s="16"/>
      <c r="E188" s="13" t="str">
        <f aca="false">IF(D188="","",IFERROR(INDEX('Plan de Cuentas'!$B$5:$B$1241,MATCH(D188,'Plan de Cuentas'!$A$5:$A$1241,0)),"No encontrado"))</f>
        <v/>
      </c>
      <c r="F188" s="16"/>
      <c r="G188" s="13" t="str">
        <f aca="false">IF(F188="","",IFERROR(INDEX('Plan de Cuentas'!$B$5:$B$1241,MATCH(F188,'Plan de Cuentas'!$A$5:$A$1241,0)),"No encontrado"))</f>
        <v/>
      </c>
      <c r="H188" s="17"/>
      <c r="I188" s="13"/>
    </row>
    <row r="189" customFormat="false" ht="15" hidden="false" customHeight="true" outlineLevel="0" collapsed="false">
      <c r="A189" s="13"/>
      <c r="B189" s="14"/>
      <c r="C189" s="15"/>
      <c r="D189" s="16"/>
      <c r="E189" s="13" t="str">
        <f aca="false">IF(D189="","",IFERROR(INDEX('Plan de Cuentas'!$B$5:$B$1241,MATCH(D189,'Plan de Cuentas'!$A$5:$A$1241,0)),"No encontrado"))</f>
        <v/>
      </c>
      <c r="F189" s="16"/>
      <c r="G189" s="13" t="str">
        <f aca="false">IF(F189="","",IFERROR(INDEX('Plan de Cuentas'!$B$5:$B$1241,MATCH(F189,'Plan de Cuentas'!$A$5:$A$1241,0)),"No encontrado"))</f>
        <v/>
      </c>
      <c r="H189" s="17"/>
      <c r="I189" s="13"/>
    </row>
    <row r="190" customFormat="false" ht="15" hidden="false" customHeight="true" outlineLevel="0" collapsed="false">
      <c r="A190" s="13"/>
      <c r="B190" s="14"/>
      <c r="C190" s="15"/>
      <c r="D190" s="16"/>
      <c r="E190" s="13" t="str">
        <f aca="false">IF(D190="","",IFERROR(INDEX('Plan de Cuentas'!$B$5:$B$1241,MATCH(D190,'Plan de Cuentas'!$A$5:$A$1241,0)),"No encontrado"))</f>
        <v/>
      </c>
      <c r="F190" s="16"/>
      <c r="G190" s="13" t="str">
        <f aca="false">IF(F190="","",IFERROR(INDEX('Plan de Cuentas'!$B$5:$B$1241,MATCH(F190,'Plan de Cuentas'!$A$5:$A$1241,0)),"No encontrado"))</f>
        <v/>
      </c>
      <c r="H190" s="17"/>
      <c r="I190" s="13"/>
    </row>
    <row r="191" customFormat="false" ht="15" hidden="false" customHeight="true" outlineLevel="0" collapsed="false">
      <c r="A191" s="13"/>
      <c r="B191" s="14"/>
      <c r="C191" s="15"/>
      <c r="D191" s="16"/>
      <c r="E191" s="13" t="str">
        <f aca="false">IF(D191="","",IFERROR(INDEX('Plan de Cuentas'!$B$5:$B$1241,MATCH(D191,'Plan de Cuentas'!$A$5:$A$1241,0)),"No encontrado"))</f>
        <v/>
      </c>
      <c r="F191" s="16"/>
      <c r="G191" s="13" t="str">
        <f aca="false">IF(F191="","",IFERROR(INDEX('Plan de Cuentas'!$B$5:$B$1241,MATCH(F191,'Plan de Cuentas'!$A$5:$A$1241,0)),"No encontrado"))</f>
        <v/>
      </c>
      <c r="H191" s="17"/>
      <c r="I191" s="13"/>
    </row>
    <row r="192" customFormat="false" ht="15" hidden="false" customHeight="true" outlineLevel="0" collapsed="false">
      <c r="A192" s="13"/>
      <c r="B192" s="14"/>
      <c r="C192" s="15"/>
      <c r="D192" s="16"/>
      <c r="E192" s="13" t="str">
        <f aca="false">IF(D192="","",IFERROR(INDEX('Plan de Cuentas'!$B$5:$B$1241,MATCH(D192,'Plan de Cuentas'!$A$5:$A$1241,0)),"No encontrado"))</f>
        <v/>
      </c>
      <c r="F192" s="16"/>
      <c r="G192" s="13" t="str">
        <f aca="false">IF(F192="","",IFERROR(INDEX('Plan de Cuentas'!$B$5:$B$1241,MATCH(F192,'Plan de Cuentas'!$A$5:$A$1241,0)),"No encontrado"))</f>
        <v/>
      </c>
      <c r="H192" s="17"/>
      <c r="I192" s="13"/>
    </row>
    <row r="193" customFormat="false" ht="15" hidden="false" customHeight="true" outlineLevel="0" collapsed="false">
      <c r="A193" s="13"/>
      <c r="B193" s="14"/>
      <c r="C193" s="15"/>
      <c r="D193" s="16"/>
      <c r="E193" s="13" t="str">
        <f aca="false">IF(D193="","",IFERROR(INDEX('Plan de Cuentas'!$B$5:$B$1241,MATCH(D193,'Plan de Cuentas'!$A$5:$A$1241,0)),"No encontrado"))</f>
        <v/>
      </c>
      <c r="F193" s="16"/>
      <c r="G193" s="13" t="str">
        <f aca="false">IF(F193="","",IFERROR(INDEX('Plan de Cuentas'!$B$5:$B$1241,MATCH(F193,'Plan de Cuentas'!$A$5:$A$1241,0)),"No encontrado"))</f>
        <v/>
      </c>
      <c r="H193" s="17"/>
      <c r="I193" s="13"/>
    </row>
    <row r="194" customFormat="false" ht="15" hidden="false" customHeight="true" outlineLevel="0" collapsed="false">
      <c r="A194" s="13"/>
      <c r="B194" s="14"/>
      <c r="C194" s="15"/>
      <c r="D194" s="16"/>
      <c r="E194" s="13" t="str">
        <f aca="false">IF(D194="","",IFERROR(INDEX('Plan de Cuentas'!$B$5:$B$1241,MATCH(D194,'Plan de Cuentas'!$A$5:$A$1241,0)),"No encontrado"))</f>
        <v/>
      </c>
      <c r="F194" s="16"/>
      <c r="G194" s="13" t="str">
        <f aca="false">IF(F194="","",IFERROR(INDEX('Plan de Cuentas'!$B$5:$B$1241,MATCH(F194,'Plan de Cuentas'!$A$5:$A$1241,0)),"No encontrado"))</f>
        <v/>
      </c>
      <c r="H194" s="17"/>
      <c r="I194" s="13"/>
    </row>
    <row r="195" customFormat="false" ht="15" hidden="false" customHeight="true" outlineLevel="0" collapsed="false">
      <c r="A195" s="13"/>
      <c r="B195" s="14"/>
      <c r="C195" s="15"/>
      <c r="D195" s="16"/>
      <c r="E195" s="13" t="str">
        <f aca="false">IF(D195="","",IFERROR(INDEX('Plan de Cuentas'!$B$5:$B$1241,MATCH(D195,'Plan de Cuentas'!$A$5:$A$1241,0)),"No encontrado"))</f>
        <v/>
      </c>
      <c r="F195" s="16"/>
      <c r="G195" s="13" t="str">
        <f aca="false">IF(F195="","",IFERROR(INDEX('Plan de Cuentas'!$B$5:$B$1241,MATCH(F195,'Plan de Cuentas'!$A$5:$A$1241,0)),"No encontrado"))</f>
        <v/>
      </c>
      <c r="H195" s="17"/>
      <c r="I195" s="13"/>
    </row>
    <row r="196" customFormat="false" ht="15" hidden="false" customHeight="true" outlineLevel="0" collapsed="false">
      <c r="A196" s="13"/>
      <c r="B196" s="14"/>
      <c r="C196" s="15"/>
      <c r="D196" s="16"/>
      <c r="E196" s="13" t="str">
        <f aca="false">IF(D196="","",IFERROR(INDEX('Plan de Cuentas'!$B$5:$B$1241,MATCH(D196,'Plan de Cuentas'!$A$5:$A$1241,0)),"No encontrado"))</f>
        <v/>
      </c>
      <c r="F196" s="16"/>
      <c r="G196" s="13" t="str">
        <f aca="false">IF(F196="","",IFERROR(INDEX('Plan de Cuentas'!$B$5:$B$1241,MATCH(F196,'Plan de Cuentas'!$A$5:$A$1241,0)),"No encontrado"))</f>
        <v/>
      </c>
      <c r="H196" s="17"/>
      <c r="I196" s="13"/>
    </row>
    <row r="197" customFormat="false" ht="15" hidden="false" customHeight="true" outlineLevel="0" collapsed="false">
      <c r="A197" s="13"/>
      <c r="B197" s="14"/>
      <c r="C197" s="15"/>
      <c r="D197" s="16"/>
      <c r="E197" s="13" t="str">
        <f aca="false">IF(D197="","",IFERROR(INDEX('Plan de Cuentas'!$B$5:$B$1241,MATCH(D197,'Plan de Cuentas'!$A$5:$A$1241,0)),"No encontrado"))</f>
        <v/>
      </c>
      <c r="F197" s="16"/>
      <c r="G197" s="13" t="str">
        <f aca="false">IF(F197="","",IFERROR(INDEX('Plan de Cuentas'!$B$5:$B$1241,MATCH(F197,'Plan de Cuentas'!$A$5:$A$1241,0)),"No encontrado"))</f>
        <v/>
      </c>
      <c r="H197" s="17"/>
      <c r="I197" s="13"/>
    </row>
    <row r="198" customFormat="false" ht="15" hidden="false" customHeight="true" outlineLevel="0" collapsed="false">
      <c r="A198" s="13"/>
      <c r="B198" s="14"/>
      <c r="C198" s="15"/>
      <c r="D198" s="16"/>
      <c r="E198" s="13" t="str">
        <f aca="false">IF(D198="","",IFERROR(INDEX('Plan de Cuentas'!$B$5:$B$1241,MATCH(D198,'Plan de Cuentas'!$A$5:$A$1241,0)),"No encontrado"))</f>
        <v/>
      </c>
      <c r="F198" s="16"/>
      <c r="G198" s="13" t="str">
        <f aca="false">IF(F198="","",IFERROR(INDEX('Plan de Cuentas'!$B$5:$B$1241,MATCH(F198,'Plan de Cuentas'!$A$5:$A$1241,0)),"No encontrado"))</f>
        <v/>
      </c>
      <c r="H198" s="17"/>
      <c r="I198" s="13"/>
    </row>
    <row r="199" customFormat="false" ht="15" hidden="false" customHeight="true" outlineLevel="0" collapsed="false">
      <c r="A199" s="13"/>
      <c r="B199" s="14"/>
      <c r="C199" s="15"/>
      <c r="D199" s="16"/>
      <c r="E199" s="13" t="str">
        <f aca="false">IF(D199="","",IFERROR(INDEX('Plan de Cuentas'!$B$5:$B$1241,MATCH(D199,'Plan de Cuentas'!$A$5:$A$1241,0)),"No encontrado"))</f>
        <v/>
      </c>
      <c r="F199" s="16"/>
      <c r="G199" s="13" t="str">
        <f aca="false">IF(F199="","",IFERROR(INDEX('Plan de Cuentas'!$B$5:$B$1241,MATCH(F199,'Plan de Cuentas'!$A$5:$A$1241,0)),"No encontrado"))</f>
        <v/>
      </c>
      <c r="H199" s="17"/>
      <c r="I199" s="13"/>
    </row>
    <row r="200" customFormat="false" ht="15" hidden="false" customHeight="true" outlineLevel="0" collapsed="false">
      <c r="A200" s="13"/>
      <c r="B200" s="14"/>
      <c r="C200" s="15"/>
      <c r="D200" s="16"/>
      <c r="E200" s="13" t="str">
        <f aca="false">IF(D200="","",IFERROR(INDEX('Plan de Cuentas'!$B$5:$B$1241,MATCH(D200,'Plan de Cuentas'!$A$5:$A$1241,0)),"No encontrado"))</f>
        <v/>
      </c>
      <c r="F200" s="16"/>
      <c r="G200" s="13" t="str">
        <f aca="false">IF(F200="","",IFERROR(INDEX('Plan de Cuentas'!$B$5:$B$1241,MATCH(F200,'Plan de Cuentas'!$A$5:$A$1241,0)),"No encontrado"))</f>
        <v/>
      </c>
      <c r="H200" s="17"/>
      <c r="I200" s="13"/>
    </row>
    <row r="201" customFormat="false" ht="15" hidden="false" customHeight="true" outlineLevel="0" collapsed="false">
      <c r="A201" s="13"/>
      <c r="B201" s="14"/>
      <c r="C201" s="15"/>
      <c r="D201" s="16"/>
      <c r="E201" s="13" t="str">
        <f aca="false">IF(D201="","",IFERROR(INDEX('Plan de Cuentas'!$B$5:$B$1241,MATCH(D201,'Plan de Cuentas'!$A$5:$A$1241,0)),"No encontrado"))</f>
        <v/>
      </c>
      <c r="F201" s="16"/>
      <c r="G201" s="13" t="str">
        <f aca="false">IF(F201="","",IFERROR(INDEX('Plan de Cuentas'!$B$5:$B$1241,MATCH(F201,'Plan de Cuentas'!$A$5:$A$1241,0)),"No encontrado"))</f>
        <v/>
      </c>
      <c r="H201" s="17"/>
      <c r="I201" s="13"/>
    </row>
    <row r="202" customFormat="false" ht="15" hidden="false" customHeight="true" outlineLevel="0" collapsed="false">
      <c r="A202" s="13"/>
      <c r="B202" s="14"/>
      <c r="C202" s="15"/>
      <c r="D202" s="16"/>
      <c r="E202" s="13" t="str">
        <f aca="false">IF(D202="","",IFERROR(INDEX('Plan de Cuentas'!$B$5:$B$1241,MATCH(D202,'Plan de Cuentas'!$A$5:$A$1241,0)),"No encontrado"))</f>
        <v/>
      </c>
      <c r="F202" s="16"/>
      <c r="G202" s="13" t="str">
        <f aca="false">IF(F202="","",IFERROR(INDEX('Plan de Cuentas'!$B$5:$B$1241,MATCH(F202,'Plan de Cuentas'!$A$5:$A$1241,0)),"No encontrado"))</f>
        <v/>
      </c>
      <c r="H202" s="17"/>
      <c r="I202" s="13"/>
    </row>
    <row r="203" customFormat="false" ht="15" hidden="false" customHeight="true" outlineLevel="0" collapsed="false">
      <c r="A203" s="13"/>
      <c r="B203" s="14"/>
      <c r="C203" s="15"/>
      <c r="D203" s="16"/>
      <c r="E203" s="13" t="str">
        <f aca="false">IF(D203="","",IFERROR(INDEX('Plan de Cuentas'!$B$5:$B$1241,MATCH(D203,'Plan de Cuentas'!$A$5:$A$1241,0)),"No encontrado"))</f>
        <v/>
      </c>
      <c r="F203" s="16"/>
      <c r="G203" s="13" t="str">
        <f aca="false">IF(F203="","",IFERROR(INDEX('Plan de Cuentas'!$B$5:$B$1241,MATCH(F203,'Plan de Cuentas'!$A$5:$A$1241,0)),"No encontrado"))</f>
        <v/>
      </c>
      <c r="H203" s="17"/>
      <c r="I203" s="13"/>
    </row>
    <row r="204" customFormat="false" ht="15" hidden="false" customHeight="true" outlineLevel="0" collapsed="false">
      <c r="A204" s="13"/>
      <c r="B204" s="14"/>
      <c r="C204" s="15"/>
      <c r="D204" s="16"/>
      <c r="E204" s="13" t="str">
        <f aca="false">IF(D204="","",IFERROR(INDEX('Plan de Cuentas'!$B$5:$B$1241,MATCH(D204,'Plan de Cuentas'!$A$5:$A$1241,0)),"No encontrado"))</f>
        <v/>
      </c>
      <c r="F204" s="16"/>
      <c r="G204" s="13" t="str">
        <f aca="false">IF(F204="","",IFERROR(INDEX('Plan de Cuentas'!$B$5:$B$1241,MATCH(F204,'Plan de Cuentas'!$A$5:$A$1241,0)),"No encontrado"))</f>
        <v/>
      </c>
      <c r="H204" s="17"/>
      <c r="I204" s="13"/>
    </row>
    <row r="205" customFormat="false" ht="15" hidden="false" customHeight="true" outlineLevel="0" collapsed="false">
      <c r="A205" s="13"/>
      <c r="B205" s="14"/>
      <c r="C205" s="15"/>
      <c r="D205" s="16"/>
      <c r="E205" s="13" t="str">
        <f aca="false">IF(D205="","",IFERROR(INDEX('Plan de Cuentas'!$B$5:$B$1241,MATCH(D205,'Plan de Cuentas'!$A$5:$A$1241,0)),"No encontrado"))</f>
        <v/>
      </c>
      <c r="F205" s="16"/>
      <c r="G205" s="13" t="str">
        <f aca="false">IF(F205="","",IFERROR(INDEX('Plan de Cuentas'!$B$5:$B$1241,MATCH(F205,'Plan de Cuentas'!$A$5:$A$1241,0)),"No encontrado"))</f>
        <v/>
      </c>
      <c r="H205" s="17"/>
      <c r="I205" s="13"/>
    </row>
    <row r="206" customFormat="false" ht="15" hidden="false" customHeight="true" outlineLevel="0" collapsed="false">
      <c r="A206" s="13"/>
      <c r="B206" s="14"/>
      <c r="C206" s="15"/>
      <c r="D206" s="16"/>
      <c r="E206" s="13" t="str">
        <f aca="false">IF(D206="","",IFERROR(INDEX('Plan de Cuentas'!$B$5:$B$1241,MATCH(D206,'Plan de Cuentas'!$A$5:$A$1241,0)),"No encontrado"))</f>
        <v/>
      </c>
      <c r="F206" s="16"/>
      <c r="G206" s="13" t="str">
        <f aca="false">IF(F206="","",IFERROR(INDEX('Plan de Cuentas'!$B$5:$B$1241,MATCH(F206,'Plan de Cuentas'!$A$5:$A$1241,0)),"No encontrado"))</f>
        <v/>
      </c>
      <c r="H206" s="17"/>
      <c r="I206" s="13"/>
    </row>
    <row r="207" customFormat="false" ht="15" hidden="false" customHeight="true" outlineLevel="0" collapsed="false">
      <c r="A207" s="13"/>
      <c r="B207" s="14"/>
      <c r="C207" s="15"/>
      <c r="D207" s="16"/>
      <c r="E207" s="13" t="str">
        <f aca="false">IF(D207="","",IFERROR(INDEX('Plan de Cuentas'!$B$5:$B$1241,MATCH(D207,'Plan de Cuentas'!$A$5:$A$1241,0)),"No encontrado"))</f>
        <v/>
      </c>
      <c r="F207" s="16"/>
      <c r="G207" s="13" t="str">
        <f aca="false">IF(F207="","",IFERROR(INDEX('Plan de Cuentas'!$B$5:$B$1241,MATCH(F207,'Plan de Cuentas'!$A$5:$A$1241,0)),"No encontrado"))</f>
        <v/>
      </c>
      <c r="H207" s="17"/>
      <c r="I207" s="13"/>
    </row>
    <row r="208" customFormat="false" ht="15" hidden="false" customHeight="true" outlineLevel="0" collapsed="false">
      <c r="A208" s="13"/>
      <c r="B208" s="14"/>
      <c r="C208" s="15"/>
      <c r="D208" s="16"/>
      <c r="E208" s="13" t="str">
        <f aca="false">IF(D208="","",IFERROR(INDEX('Plan de Cuentas'!$B$5:$B$1241,MATCH(D208,'Plan de Cuentas'!$A$5:$A$1241,0)),"No encontrado"))</f>
        <v/>
      </c>
      <c r="F208" s="16"/>
      <c r="G208" s="13" t="str">
        <f aca="false">IF(F208="","",IFERROR(INDEX('Plan de Cuentas'!$B$5:$B$1241,MATCH(F208,'Plan de Cuentas'!$A$5:$A$1241,0)),"No encontrado"))</f>
        <v/>
      </c>
      <c r="H208" s="17"/>
      <c r="I208" s="13"/>
    </row>
    <row r="209" customFormat="false" ht="15" hidden="false" customHeight="true" outlineLevel="0" collapsed="false">
      <c r="A209" s="13"/>
      <c r="B209" s="14"/>
      <c r="C209" s="15"/>
      <c r="D209" s="16"/>
      <c r="E209" s="13" t="str">
        <f aca="false">IF(D209="","",IFERROR(INDEX('Plan de Cuentas'!$B$5:$B$1241,MATCH(D209,'Plan de Cuentas'!$A$5:$A$1241,0)),"No encontrado"))</f>
        <v/>
      </c>
      <c r="F209" s="16"/>
      <c r="G209" s="13" t="str">
        <f aca="false">IF(F209="","",IFERROR(INDEX('Plan de Cuentas'!$B$5:$B$1241,MATCH(F209,'Plan de Cuentas'!$A$5:$A$1241,0)),"No encontrado"))</f>
        <v/>
      </c>
      <c r="H209" s="17"/>
      <c r="I209" s="13"/>
    </row>
    <row r="210" customFormat="false" ht="15" hidden="false" customHeight="true" outlineLevel="0" collapsed="false">
      <c r="A210" s="13"/>
      <c r="B210" s="14"/>
      <c r="C210" s="15"/>
      <c r="D210" s="16"/>
      <c r="E210" s="13" t="str">
        <f aca="false">IF(D210="","",IFERROR(INDEX('Plan de Cuentas'!$B$5:$B$1241,MATCH(D210,'Plan de Cuentas'!$A$5:$A$1241,0)),"No encontrado"))</f>
        <v/>
      </c>
      <c r="F210" s="16"/>
      <c r="G210" s="13" t="str">
        <f aca="false">IF(F210="","",IFERROR(INDEX('Plan de Cuentas'!$B$5:$B$1241,MATCH(F210,'Plan de Cuentas'!$A$5:$A$1241,0)),"No encontrado"))</f>
        <v/>
      </c>
      <c r="H210" s="17"/>
      <c r="I210" s="13"/>
    </row>
    <row r="211" customFormat="false" ht="15" hidden="false" customHeight="true" outlineLevel="0" collapsed="false">
      <c r="A211" s="13"/>
      <c r="B211" s="14"/>
      <c r="C211" s="15"/>
      <c r="D211" s="16"/>
      <c r="E211" s="13" t="str">
        <f aca="false">IF(D211="","",IFERROR(INDEX('Plan de Cuentas'!$B$5:$B$1241,MATCH(D211,'Plan de Cuentas'!$A$5:$A$1241,0)),"No encontrado"))</f>
        <v/>
      </c>
      <c r="F211" s="16"/>
      <c r="G211" s="13" t="str">
        <f aca="false">IF(F211="","",IFERROR(INDEX('Plan de Cuentas'!$B$5:$B$1241,MATCH(F211,'Plan de Cuentas'!$A$5:$A$1241,0)),"No encontrado"))</f>
        <v/>
      </c>
      <c r="H211" s="17"/>
      <c r="I211" s="13"/>
    </row>
    <row r="212" customFormat="false" ht="15" hidden="false" customHeight="true" outlineLevel="0" collapsed="false">
      <c r="A212" s="13"/>
      <c r="B212" s="14"/>
      <c r="C212" s="15"/>
      <c r="D212" s="16"/>
      <c r="E212" s="13" t="str">
        <f aca="false">IF(D212="","",IFERROR(INDEX('Plan de Cuentas'!$B$5:$B$1241,MATCH(D212,'Plan de Cuentas'!$A$5:$A$1241,0)),"No encontrado"))</f>
        <v/>
      </c>
      <c r="F212" s="16"/>
      <c r="G212" s="13" t="str">
        <f aca="false">IF(F212="","",IFERROR(INDEX('Plan de Cuentas'!$B$5:$B$1241,MATCH(F212,'Plan de Cuentas'!$A$5:$A$1241,0)),"No encontrado"))</f>
        <v/>
      </c>
      <c r="H212" s="17"/>
      <c r="I212" s="13"/>
    </row>
    <row r="213" customFormat="false" ht="15" hidden="false" customHeight="true" outlineLevel="0" collapsed="false">
      <c r="A213" s="13"/>
      <c r="B213" s="14"/>
      <c r="C213" s="15"/>
      <c r="D213" s="16"/>
      <c r="E213" s="13" t="str">
        <f aca="false">IF(D213="","",IFERROR(INDEX('Plan de Cuentas'!$B$5:$B$1241,MATCH(D213,'Plan de Cuentas'!$A$5:$A$1241,0)),"No encontrado"))</f>
        <v/>
      </c>
      <c r="F213" s="16"/>
      <c r="G213" s="13" t="str">
        <f aca="false">IF(F213="","",IFERROR(INDEX('Plan de Cuentas'!$B$5:$B$1241,MATCH(F213,'Plan de Cuentas'!$A$5:$A$1241,0)),"No encontrado"))</f>
        <v/>
      </c>
      <c r="H213" s="17"/>
      <c r="I213" s="13"/>
    </row>
    <row r="214" customFormat="false" ht="15" hidden="false" customHeight="true" outlineLevel="0" collapsed="false">
      <c r="A214" s="13"/>
      <c r="B214" s="14"/>
      <c r="C214" s="15"/>
      <c r="D214" s="16"/>
      <c r="E214" s="13" t="str">
        <f aca="false">IF(D214="","",IFERROR(INDEX('Plan de Cuentas'!$B$5:$B$1241,MATCH(D214,'Plan de Cuentas'!$A$5:$A$1241,0)),"No encontrado"))</f>
        <v/>
      </c>
      <c r="F214" s="16"/>
      <c r="G214" s="13" t="str">
        <f aca="false">IF(F214="","",IFERROR(INDEX('Plan de Cuentas'!$B$5:$B$1241,MATCH(F214,'Plan de Cuentas'!$A$5:$A$1241,0)),"No encontrado"))</f>
        <v/>
      </c>
      <c r="H214" s="17"/>
      <c r="I214" s="13"/>
    </row>
    <row r="215" customFormat="false" ht="15" hidden="false" customHeight="true" outlineLevel="0" collapsed="false">
      <c r="A215" s="13"/>
      <c r="B215" s="14"/>
      <c r="C215" s="15"/>
      <c r="D215" s="16"/>
      <c r="E215" s="13" t="str">
        <f aca="false">IF(D215="","",IFERROR(INDEX('Plan de Cuentas'!$B$5:$B$1241,MATCH(D215,'Plan de Cuentas'!$A$5:$A$1241,0)),"No encontrado"))</f>
        <v/>
      </c>
      <c r="F215" s="16"/>
      <c r="G215" s="13" t="str">
        <f aca="false">IF(F215="","",IFERROR(INDEX('Plan de Cuentas'!$B$5:$B$1241,MATCH(F215,'Plan de Cuentas'!$A$5:$A$1241,0)),"No encontrado"))</f>
        <v/>
      </c>
      <c r="H215" s="17"/>
      <c r="I215" s="13"/>
    </row>
    <row r="216" customFormat="false" ht="15" hidden="false" customHeight="true" outlineLevel="0" collapsed="false">
      <c r="A216" s="13"/>
      <c r="B216" s="14"/>
      <c r="C216" s="15"/>
      <c r="D216" s="16"/>
      <c r="E216" s="13" t="str">
        <f aca="false">IF(D216="","",IFERROR(INDEX('Plan de Cuentas'!$B$5:$B$1241,MATCH(D216,'Plan de Cuentas'!$A$5:$A$1241,0)),"No encontrado"))</f>
        <v/>
      </c>
      <c r="F216" s="16"/>
      <c r="G216" s="13" t="str">
        <f aca="false">IF(F216="","",IFERROR(INDEX('Plan de Cuentas'!$B$5:$B$1241,MATCH(F216,'Plan de Cuentas'!$A$5:$A$1241,0)),"No encontrado"))</f>
        <v/>
      </c>
      <c r="H216" s="17"/>
      <c r="I216" s="13"/>
    </row>
    <row r="217" customFormat="false" ht="15" hidden="false" customHeight="true" outlineLevel="0" collapsed="false">
      <c r="A217" s="13"/>
      <c r="B217" s="14"/>
      <c r="C217" s="15"/>
      <c r="D217" s="16"/>
      <c r="E217" s="13" t="str">
        <f aca="false">IF(D217="","",IFERROR(INDEX('Plan de Cuentas'!$B$5:$B$1241,MATCH(D217,'Plan de Cuentas'!$A$5:$A$1241,0)),"No encontrado"))</f>
        <v/>
      </c>
      <c r="F217" s="16"/>
      <c r="G217" s="13" t="str">
        <f aca="false">IF(F217="","",IFERROR(INDEX('Plan de Cuentas'!$B$5:$B$1241,MATCH(F217,'Plan de Cuentas'!$A$5:$A$1241,0)),"No encontrado"))</f>
        <v/>
      </c>
      <c r="H217" s="17"/>
      <c r="I217" s="13"/>
    </row>
    <row r="218" customFormat="false" ht="15" hidden="false" customHeight="true" outlineLevel="0" collapsed="false">
      <c r="A218" s="13"/>
      <c r="B218" s="14"/>
      <c r="C218" s="15"/>
      <c r="D218" s="16"/>
      <c r="E218" s="13" t="str">
        <f aca="false">IF(D218="","",IFERROR(INDEX('Plan de Cuentas'!$B$5:$B$1241,MATCH(D218,'Plan de Cuentas'!$A$5:$A$1241,0)),"No encontrado"))</f>
        <v/>
      </c>
      <c r="F218" s="16"/>
      <c r="G218" s="13" t="str">
        <f aca="false">IF(F218="","",IFERROR(INDEX('Plan de Cuentas'!$B$5:$B$1241,MATCH(F218,'Plan de Cuentas'!$A$5:$A$1241,0)),"No encontrado"))</f>
        <v/>
      </c>
      <c r="H218" s="17"/>
      <c r="I218" s="13"/>
    </row>
    <row r="219" customFormat="false" ht="15" hidden="false" customHeight="true" outlineLevel="0" collapsed="false">
      <c r="A219" s="13"/>
      <c r="B219" s="14"/>
      <c r="C219" s="15"/>
      <c r="D219" s="16"/>
      <c r="E219" s="13" t="str">
        <f aca="false">IF(D219="","",IFERROR(INDEX('Plan de Cuentas'!$B$5:$B$1241,MATCH(D219,'Plan de Cuentas'!$A$5:$A$1241,0)),"No encontrado"))</f>
        <v/>
      </c>
      <c r="F219" s="16"/>
      <c r="G219" s="13" t="str">
        <f aca="false">IF(F219="","",IFERROR(INDEX('Plan de Cuentas'!$B$5:$B$1241,MATCH(F219,'Plan de Cuentas'!$A$5:$A$1241,0)),"No encontrado"))</f>
        <v/>
      </c>
      <c r="H219" s="17"/>
      <c r="I219" s="13"/>
    </row>
    <row r="220" customFormat="false" ht="15" hidden="false" customHeight="true" outlineLevel="0" collapsed="false">
      <c r="A220" s="13"/>
      <c r="B220" s="14"/>
      <c r="C220" s="15"/>
      <c r="D220" s="16"/>
      <c r="E220" s="13" t="str">
        <f aca="false">IF(D220="","",IFERROR(INDEX('Plan de Cuentas'!$B$5:$B$1241,MATCH(D220,'Plan de Cuentas'!$A$5:$A$1241,0)),"No encontrado"))</f>
        <v/>
      </c>
      <c r="F220" s="16"/>
      <c r="G220" s="13" t="str">
        <f aca="false">IF(F220="","",IFERROR(INDEX('Plan de Cuentas'!$B$5:$B$1241,MATCH(F220,'Plan de Cuentas'!$A$5:$A$1241,0)),"No encontrado"))</f>
        <v/>
      </c>
      <c r="H220" s="17"/>
      <c r="I220" s="13"/>
    </row>
    <row r="221" customFormat="false" ht="15" hidden="false" customHeight="true" outlineLevel="0" collapsed="false">
      <c r="A221" s="13"/>
      <c r="B221" s="14"/>
      <c r="C221" s="15"/>
      <c r="D221" s="16"/>
      <c r="E221" s="13" t="str">
        <f aca="false">IF(D221="","",IFERROR(INDEX('Plan de Cuentas'!$B$5:$B$1241,MATCH(D221,'Plan de Cuentas'!$A$5:$A$1241,0)),"No encontrado"))</f>
        <v/>
      </c>
      <c r="F221" s="16"/>
      <c r="G221" s="13" t="str">
        <f aca="false">IF(F221="","",IFERROR(INDEX('Plan de Cuentas'!$B$5:$B$1241,MATCH(F221,'Plan de Cuentas'!$A$5:$A$1241,0)),"No encontrado"))</f>
        <v/>
      </c>
      <c r="H221" s="17"/>
      <c r="I221" s="13"/>
    </row>
    <row r="222" customFormat="false" ht="15" hidden="false" customHeight="true" outlineLevel="0" collapsed="false">
      <c r="A222" s="13"/>
      <c r="B222" s="14"/>
      <c r="C222" s="15"/>
      <c r="D222" s="16"/>
      <c r="E222" s="13" t="str">
        <f aca="false">IF(D222="","",IFERROR(INDEX('Plan de Cuentas'!$B$5:$B$1241,MATCH(D222,'Plan de Cuentas'!$A$5:$A$1241,0)),"No encontrado"))</f>
        <v/>
      </c>
      <c r="F222" s="16"/>
      <c r="G222" s="13" t="str">
        <f aca="false">IF(F222="","",IFERROR(INDEX('Plan de Cuentas'!$B$5:$B$1241,MATCH(F222,'Plan de Cuentas'!$A$5:$A$1241,0)),"No encontrado"))</f>
        <v/>
      </c>
      <c r="H222" s="17"/>
      <c r="I222" s="13"/>
    </row>
    <row r="223" customFormat="false" ht="15" hidden="false" customHeight="true" outlineLevel="0" collapsed="false">
      <c r="A223" s="13"/>
      <c r="B223" s="14"/>
      <c r="C223" s="15"/>
      <c r="D223" s="16"/>
      <c r="E223" s="13" t="str">
        <f aca="false">IF(D223="","",IFERROR(INDEX('Plan de Cuentas'!$B$5:$B$1241,MATCH(D223,'Plan de Cuentas'!$A$5:$A$1241,0)),"No encontrado"))</f>
        <v/>
      </c>
      <c r="F223" s="16"/>
      <c r="G223" s="13" t="str">
        <f aca="false">IF(F223="","",IFERROR(INDEX('Plan de Cuentas'!$B$5:$B$1241,MATCH(F223,'Plan de Cuentas'!$A$5:$A$1241,0)),"No encontrado"))</f>
        <v/>
      </c>
      <c r="H223" s="17"/>
      <c r="I223" s="13"/>
    </row>
    <row r="224" customFormat="false" ht="15" hidden="false" customHeight="true" outlineLevel="0" collapsed="false">
      <c r="A224" s="13"/>
      <c r="B224" s="14"/>
      <c r="C224" s="15"/>
      <c r="D224" s="16"/>
      <c r="E224" s="13" t="str">
        <f aca="false">IF(D224="","",IFERROR(INDEX('Plan de Cuentas'!$B$5:$B$1241,MATCH(D224,'Plan de Cuentas'!$A$5:$A$1241,0)),"No encontrado"))</f>
        <v/>
      </c>
      <c r="F224" s="16"/>
      <c r="G224" s="13" t="str">
        <f aca="false">IF(F224="","",IFERROR(INDEX('Plan de Cuentas'!$B$5:$B$1241,MATCH(F224,'Plan de Cuentas'!$A$5:$A$1241,0)),"No encontrado"))</f>
        <v/>
      </c>
      <c r="H224" s="17"/>
      <c r="I224" s="13"/>
    </row>
    <row r="225" customFormat="false" ht="15" hidden="false" customHeight="true" outlineLevel="0" collapsed="false">
      <c r="A225" s="13"/>
      <c r="B225" s="14"/>
      <c r="C225" s="15"/>
      <c r="D225" s="16"/>
      <c r="E225" s="13" t="str">
        <f aca="false">IF(D225="","",IFERROR(INDEX('Plan de Cuentas'!$B$5:$B$1241,MATCH(D225,'Plan de Cuentas'!$A$5:$A$1241,0)),"No encontrado"))</f>
        <v/>
      </c>
      <c r="F225" s="16"/>
      <c r="G225" s="13" t="str">
        <f aca="false">IF(F225="","",IFERROR(INDEX('Plan de Cuentas'!$B$5:$B$1241,MATCH(F225,'Plan de Cuentas'!$A$5:$A$1241,0)),"No encontrado"))</f>
        <v/>
      </c>
      <c r="H225" s="17"/>
      <c r="I225" s="13"/>
    </row>
    <row r="226" customFormat="false" ht="15" hidden="false" customHeight="true" outlineLevel="0" collapsed="false">
      <c r="A226" s="13"/>
      <c r="B226" s="14"/>
      <c r="C226" s="15"/>
      <c r="D226" s="16"/>
      <c r="E226" s="13" t="str">
        <f aca="false">IF(D226="","",IFERROR(INDEX('Plan de Cuentas'!$B$5:$B$1241,MATCH(D226,'Plan de Cuentas'!$A$5:$A$1241,0)),"No encontrado"))</f>
        <v/>
      </c>
      <c r="F226" s="16"/>
      <c r="G226" s="13" t="str">
        <f aca="false">IF(F226="","",IFERROR(INDEX('Plan de Cuentas'!$B$5:$B$1241,MATCH(F226,'Plan de Cuentas'!$A$5:$A$1241,0)),"No encontrado"))</f>
        <v/>
      </c>
      <c r="H226" s="17"/>
      <c r="I226" s="13"/>
    </row>
    <row r="227" customFormat="false" ht="15" hidden="false" customHeight="true" outlineLevel="0" collapsed="false">
      <c r="A227" s="13"/>
      <c r="B227" s="14"/>
      <c r="C227" s="15"/>
      <c r="D227" s="16"/>
      <c r="E227" s="13" t="str">
        <f aca="false">IF(D227="","",IFERROR(INDEX('Plan de Cuentas'!$B$5:$B$1241,MATCH(D227,'Plan de Cuentas'!$A$5:$A$1241,0)),"No encontrado"))</f>
        <v/>
      </c>
      <c r="F227" s="16"/>
      <c r="G227" s="13" t="str">
        <f aca="false">IF(F227="","",IFERROR(INDEX('Plan de Cuentas'!$B$5:$B$1241,MATCH(F227,'Plan de Cuentas'!$A$5:$A$1241,0)),"No encontrado"))</f>
        <v/>
      </c>
      <c r="H227" s="17"/>
      <c r="I227" s="13"/>
    </row>
    <row r="228" customFormat="false" ht="15" hidden="false" customHeight="true" outlineLevel="0" collapsed="false">
      <c r="A228" s="13"/>
      <c r="B228" s="14"/>
      <c r="C228" s="15"/>
      <c r="D228" s="16"/>
      <c r="E228" s="13" t="str">
        <f aca="false">IF(D228="","",IFERROR(INDEX('Plan de Cuentas'!$B$5:$B$1241,MATCH(D228,'Plan de Cuentas'!$A$5:$A$1241,0)),"No encontrado"))</f>
        <v/>
      </c>
      <c r="F228" s="16"/>
      <c r="G228" s="13" t="str">
        <f aca="false">IF(F228="","",IFERROR(INDEX('Plan de Cuentas'!$B$5:$B$1241,MATCH(F228,'Plan de Cuentas'!$A$5:$A$1241,0)),"No encontrado"))</f>
        <v/>
      </c>
      <c r="H228" s="17"/>
      <c r="I228" s="13"/>
    </row>
    <row r="229" customFormat="false" ht="15" hidden="false" customHeight="true" outlineLevel="0" collapsed="false">
      <c r="A229" s="13"/>
      <c r="B229" s="14"/>
      <c r="C229" s="15"/>
      <c r="D229" s="16"/>
      <c r="E229" s="13" t="str">
        <f aca="false">IF(D229="","",IFERROR(INDEX('Plan de Cuentas'!$B$5:$B$1241,MATCH(D229,'Plan de Cuentas'!$A$5:$A$1241,0)),"No encontrado"))</f>
        <v/>
      </c>
      <c r="F229" s="16"/>
      <c r="G229" s="13" t="str">
        <f aca="false">IF(F229="","",IFERROR(INDEX('Plan de Cuentas'!$B$5:$B$1241,MATCH(F229,'Plan de Cuentas'!$A$5:$A$1241,0)),"No encontrado"))</f>
        <v/>
      </c>
      <c r="H229" s="17"/>
      <c r="I229" s="13"/>
    </row>
    <row r="230" customFormat="false" ht="15" hidden="false" customHeight="true" outlineLevel="0" collapsed="false">
      <c r="A230" s="13"/>
      <c r="B230" s="14"/>
      <c r="C230" s="15"/>
      <c r="D230" s="16"/>
      <c r="E230" s="13" t="str">
        <f aca="false">IF(D230="","",IFERROR(INDEX('Plan de Cuentas'!$B$5:$B$1241,MATCH(D230,'Plan de Cuentas'!$A$5:$A$1241,0)),"No encontrado"))</f>
        <v/>
      </c>
      <c r="F230" s="16"/>
      <c r="G230" s="13" t="str">
        <f aca="false">IF(F230="","",IFERROR(INDEX('Plan de Cuentas'!$B$5:$B$1241,MATCH(F230,'Plan de Cuentas'!$A$5:$A$1241,0)),"No encontrado"))</f>
        <v/>
      </c>
      <c r="H230" s="17"/>
      <c r="I230" s="13"/>
    </row>
    <row r="231" customFormat="false" ht="15" hidden="false" customHeight="true" outlineLevel="0" collapsed="false">
      <c r="A231" s="13"/>
      <c r="B231" s="14"/>
      <c r="C231" s="15"/>
      <c r="D231" s="16"/>
      <c r="E231" s="13" t="str">
        <f aca="false">IF(D231="","",IFERROR(INDEX('Plan de Cuentas'!$B$5:$B$1241,MATCH(D231,'Plan de Cuentas'!$A$5:$A$1241,0)),"No encontrado"))</f>
        <v/>
      </c>
      <c r="F231" s="16"/>
      <c r="G231" s="13" t="str">
        <f aca="false">IF(F231="","",IFERROR(INDEX('Plan de Cuentas'!$B$5:$B$1241,MATCH(F231,'Plan de Cuentas'!$A$5:$A$1241,0)),"No encontrado"))</f>
        <v/>
      </c>
      <c r="H231" s="17"/>
      <c r="I231" s="13"/>
    </row>
    <row r="232" customFormat="false" ht="15" hidden="false" customHeight="true" outlineLevel="0" collapsed="false">
      <c r="A232" s="13"/>
      <c r="B232" s="14"/>
      <c r="C232" s="15"/>
      <c r="D232" s="16"/>
      <c r="E232" s="13" t="str">
        <f aca="false">IF(D232="","",IFERROR(INDEX('Plan de Cuentas'!$B$5:$B$1241,MATCH(D232,'Plan de Cuentas'!$A$5:$A$1241,0)),"No encontrado"))</f>
        <v/>
      </c>
      <c r="F232" s="16"/>
      <c r="G232" s="13" t="str">
        <f aca="false">IF(F232="","",IFERROR(INDEX('Plan de Cuentas'!$B$5:$B$1241,MATCH(F232,'Plan de Cuentas'!$A$5:$A$1241,0)),"No encontrado"))</f>
        <v/>
      </c>
      <c r="H232" s="17"/>
      <c r="I232" s="13"/>
    </row>
    <row r="233" customFormat="false" ht="15" hidden="false" customHeight="true" outlineLevel="0" collapsed="false">
      <c r="A233" s="13"/>
      <c r="B233" s="14"/>
      <c r="C233" s="15"/>
      <c r="D233" s="16"/>
      <c r="E233" s="13" t="str">
        <f aca="false">IF(D233="","",IFERROR(INDEX('Plan de Cuentas'!$B$5:$B$1241,MATCH(D233,'Plan de Cuentas'!$A$5:$A$1241,0)),"No encontrado"))</f>
        <v/>
      </c>
      <c r="F233" s="16"/>
      <c r="G233" s="13" t="str">
        <f aca="false">IF(F233="","",IFERROR(INDEX('Plan de Cuentas'!$B$5:$B$1241,MATCH(F233,'Plan de Cuentas'!$A$5:$A$1241,0)),"No encontrado"))</f>
        <v/>
      </c>
      <c r="H233" s="17"/>
      <c r="I233" s="13"/>
    </row>
    <row r="234" customFormat="false" ht="15" hidden="false" customHeight="true" outlineLevel="0" collapsed="false">
      <c r="A234" s="13"/>
      <c r="B234" s="14"/>
      <c r="C234" s="15"/>
      <c r="D234" s="16"/>
      <c r="E234" s="13" t="str">
        <f aca="false">IF(D234="","",IFERROR(INDEX('Plan de Cuentas'!$B$5:$B$1241,MATCH(D234,'Plan de Cuentas'!$A$5:$A$1241,0)),"No encontrado"))</f>
        <v/>
      </c>
      <c r="F234" s="16"/>
      <c r="G234" s="13" t="str">
        <f aca="false">IF(F234="","",IFERROR(INDEX('Plan de Cuentas'!$B$5:$B$1241,MATCH(F234,'Plan de Cuentas'!$A$5:$A$1241,0)),"No encontrado"))</f>
        <v/>
      </c>
      <c r="H234" s="17"/>
      <c r="I234" s="13"/>
    </row>
    <row r="235" customFormat="false" ht="15" hidden="false" customHeight="true" outlineLevel="0" collapsed="false">
      <c r="A235" s="13"/>
      <c r="B235" s="14"/>
      <c r="C235" s="15"/>
      <c r="D235" s="16"/>
      <c r="E235" s="13" t="str">
        <f aca="false">IF(D235="","",IFERROR(INDEX('Plan de Cuentas'!$B$5:$B$1241,MATCH(D235,'Plan de Cuentas'!$A$5:$A$1241,0)),"No encontrado"))</f>
        <v/>
      </c>
      <c r="F235" s="16"/>
      <c r="G235" s="13" t="str">
        <f aca="false">IF(F235="","",IFERROR(INDEX('Plan de Cuentas'!$B$5:$B$1241,MATCH(F235,'Plan de Cuentas'!$A$5:$A$1241,0)),"No encontrado"))</f>
        <v/>
      </c>
      <c r="H235" s="17"/>
      <c r="I235" s="13"/>
    </row>
    <row r="236" customFormat="false" ht="15" hidden="false" customHeight="true" outlineLevel="0" collapsed="false">
      <c r="A236" s="13"/>
      <c r="B236" s="14"/>
      <c r="C236" s="15"/>
      <c r="D236" s="16"/>
      <c r="E236" s="13" t="str">
        <f aca="false">IF(D236="","",IFERROR(INDEX('Plan de Cuentas'!$B$5:$B$1241,MATCH(D236,'Plan de Cuentas'!$A$5:$A$1241,0)),"No encontrado"))</f>
        <v/>
      </c>
      <c r="F236" s="16"/>
      <c r="G236" s="13" t="str">
        <f aca="false">IF(F236="","",IFERROR(INDEX('Plan de Cuentas'!$B$5:$B$1241,MATCH(F236,'Plan de Cuentas'!$A$5:$A$1241,0)),"No encontrado"))</f>
        <v/>
      </c>
      <c r="H236" s="17"/>
      <c r="I236" s="13"/>
    </row>
    <row r="237" customFormat="false" ht="15" hidden="false" customHeight="true" outlineLevel="0" collapsed="false">
      <c r="A237" s="13"/>
      <c r="B237" s="14"/>
      <c r="C237" s="15"/>
      <c r="D237" s="16"/>
      <c r="E237" s="13" t="str">
        <f aca="false">IF(D237="","",IFERROR(INDEX('Plan de Cuentas'!$B$5:$B$1241,MATCH(D237,'Plan de Cuentas'!$A$5:$A$1241,0)),"No encontrado"))</f>
        <v/>
      </c>
      <c r="F237" s="16"/>
      <c r="G237" s="13" t="str">
        <f aca="false">IF(F237="","",IFERROR(INDEX('Plan de Cuentas'!$B$5:$B$1241,MATCH(F237,'Plan de Cuentas'!$A$5:$A$1241,0)),"No encontrado"))</f>
        <v/>
      </c>
      <c r="H237" s="17"/>
      <c r="I237" s="13"/>
    </row>
    <row r="238" customFormat="false" ht="15" hidden="false" customHeight="true" outlineLevel="0" collapsed="false">
      <c r="A238" s="13"/>
      <c r="B238" s="14"/>
      <c r="C238" s="15"/>
      <c r="D238" s="16"/>
      <c r="E238" s="13" t="str">
        <f aca="false">IF(D238="","",IFERROR(INDEX('Plan de Cuentas'!$B$5:$B$1241,MATCH(D238,'Plan de Cuentas'!$A$5:$A$1241,0)),"No encontrado"))</f>
        <v/>
      </c>
      <c r="F238" s="16"/>
      <c r="G238" s="13" t="str">
        <f aca="false">IF(F238="","",IFERROR(INDEX('Plan de Cuentas'!$B$5:$B$1241,MATCH(F238,'Plan de Cuentas'!$A$5:$A$1241,0)),"No encontrado"))</f>
        <v/>
      </c>
      <c r="H238" s="17"/>
      <c r="I238" s="13"/>
    </row>
    <row r="239" customFormat="false" ht="15" hidden="false" customHeight="true" outlineLevel="0" collapsed="false">
      <c r="A239" s="13"/>
      <c r="B239" s="14"/>
      <c r="C239" s="15"/>
      <c r="D239" s="16"/>
      <c r="E239" s="13" t="str">
        <f aca="false">IF(D239="","",IFERROR(INDEX('Plan de Cuentas'!$B$5:$B$1241,MATCH(D239,'Plan de Cuentas'!$A$5:$A$1241,0)),"No encontrado"))</f>
        <v/>
      </c>
      <c r="F239" s="16"/>
      <c r="G239" s="13" t="str">
        <f aca="false">IF(F239="","",IFERROR(INDEX('Plan de Cuentas'!$B$5:$B$1241,MATCH(F239,'Plan de Cuentas'!$A$5:$A$1241,0)),"No encontrado"))</f>
        <v/>
      </c>
      <c r="H239" s="17"/>
      <c r="I239" s="13"/>
    </row>
    <row r="240" customFormat="false" ht="15" hidden="false" customHeight="true" outlineLevel="0" collapsed="false">
      <c r="A240" s="13"/>
      <c r="B240" s="14"/>
      <c r="C240" s="15"/>
      <c r="D240" s="16"/>
      <c r="E240" s="13" t="str">
        <f aca="false">IF(D240="","",IFERROR(INDEX('Plan de Cuentas'!$B$5:$B$1241,MATCH(D240,'Plan de Cuentas'!$A$5:$A$1241,0)),"No encontrado"))</f>
        <v/>
      </c>
      <c r="F240" s="16"/>
      <c r="G240" s="13" t="str">
        <f aca="false">IF(F240="","",IFERROR(INDEX('Plan de Cuentas'!$B$5:$B$1241,MATCH(F240,'Plan de Cuentas'!$A$5:$A$1241,0)),"No encontrado"))</f>
        <v/>
      </c>
      <c r="H240" s="17"/>
      <c r="I240" s="13"/>
    </row>
    <row r="241" customFormat="false" ht="15" hidden="false" customHeight="true" outlineLevel="0" collapsed="false">
      <c r="A241" s="13"/>
      <c r="B241" s="14"/>
      <c r="C241" s="15"/>
      <c r="D241" s="16"/>
      <c r="E241" s="13" t="str">
        <f aca="false">IF(D241="","",IFERROR(INDEX('Plan de Cuentas'!$B$5:$B$1241,MATCH(D241,'Plan de Cuentas'!$A$5:$A$1241,0)),"No encontrado"))</f>
        <v/>
      </c>
      <c r="F241" s="16"/>
      <c r="G241" s="13" t="str">
        <f aca="false">IF(F241="","",IFERROR(INDEX('Plan de Cuentas'!$B$5:$B$1241,MATCH(F241,'Plan de Cuentas'!$A$5:$A$1241,0)),"No encontrado"))</f>
        <v/>
      </c>
      <c r="H241" s="17"/>
      <c r="I241" s="13"/>
    </row>
    <row r="242" customFormat="false" ht="15" hidden="false" customHeight="true" outlineLevel="0" collapsed="false">
      <c r="A242" s="13"/>
      <c r="B242" s="14"/>
      <c r="C242" s="15"/>
      <c r="D242" s="16"/>
      <c r="E242" s="13" t="str">
        <f aca="false">IF(D242="","",IFERROR(INDEX('Plan de Cuentas'!$B$5:$B$1241,MATCH(D242,'Plan de Cuentas'!$A$5:$A$1241,0)),"No encontrado"))</f>
        <v/>
      </c>
      <c r="F242" s="16"/>
      <c r="G242" s="13" t="str">
        <f aca="false">IF(F242="","",IFERROR(INDEX('Plan de Cuentas'!$B$5:$B$1241,MATCH(F242,'Plan de Cuentas'!$A$5:$A$1241,0)),"No encontrado"))</f>
        <v/>
      </c>
      <c r="H242" s="17"/>
      <c r="I242" s="13"/>
    </row>
    <row r="243" customFormat="false" ht="15" hidden="false" customHeight="true" outlineLevel="0" collapsed="false">
      <c r="A243" s="13"/>
      <c r="B243" s="14"/>
      <c r="C243" s="15"/>
      <c r="D243" s="16"/>
      <c r="E243" s="13" t="str">
        <f aca="false">IF(D243="","",IFERROR(INDEX('Plan de Cuentas'!$B$5:$B$1241,MATCH(D243,'Plan de Cuentas'!$A$5:$A$1241,0)),"No encontrado"))</f>
        <v/>
      </c>
      <c r="F243" s="16"/>
      <c r="G243" s="13" t="str">
        <f aca="false">IF(F243="","",IFERROR(INDEX('Plan de Cuentas'!$B$5:$B$1241,MATCH(F243,'Plan de Cuentas'!$A$5:$A$1241,0)),"No encontrado"))</f>
        <v/>
      </c>
      <c r="H243" s="17"/>
      <c r="I243" s="13"/>
    </row>
    <row r="244" customFormat="false" ht="15" hidden="false" customHeight="true" outlineLevel="0" collapsed="false">
      <c r="A244" s="13"/>
      <c r="B244" s="14"/>
      <c r="C244" s="15"/>
      <c r="D244" s="16"/>
      <c r="E244" s="13" t="str">
        <f aca="false">IF(D244="","",IFERROR(INDEX('Plan de Cuentas'!$B$5:$B$1241,MATCH(D244,'Plan de Cuentas'!$A$5:$A$1241,0)),"No encontrado"))</f>
        <v/>
      </c>
      <c r="F244" s="16"/>
      <c r="G244" s="13" t="str">
        <f aca="false">IF(F244="","",IFERROR(INDEX('Plan de Cuentas'!$B$5:$B$1241,MATCH(F244,'Plan de Cuentas'!$A$5:$A$1241,0)),"No encontrado"))</f>
        <v/>
      </c>
      <c r="H244" s="17"/>
      <c r="I244" s="13"/>
    </row>
    <row r="245" customFormat="false" ht="15" hidden="false" customHeight="true" outlineLevel="0" collapsed="false">
      <c r="A245" s="13"/>
      <c r="B245" s="14"/>
      <c r="C245" s="15"/>
      <c r="D245" s="16"/>
      <c r="E245" s="13" t="str">
        <f aca="false">IF(D245="","",IFERROR(INDEX('Plan de Cuentas'!$B$5:$B$1241,MATCH(D245,'Plan de Cuentas'!$A$5:$A$1241,0)),"No encontrado"))</f>
        <v/>
      </c>
      <c r="F245" s="16"/>
      <c r="G245" s="13" t="str">
        <f aca="false">IF(F245="","",IFERROR(INDEX('Plan de Cuentas'!$B$5:$B$1241,MATCH(F245,'Plan de Cuentas'!$A$5:$A$1241,0)),"No encontrado"))</f>
        <v/>
      </c>
      <c r="H245" s="17"/>
      <c r="I245" s="13"/>
    </row>
    <row r="246" customFormat="false" ht="15" hidden="false" customHeight="true" outlineLevel="0" collapsed="false">
      <c r="A246" s="13"/>
      <c r="B246" s="14"/>
      <c r="C246" s="15"/>
      <c r="D246" s="16"/>
      <c r="E246" s="13" t="str">
        <f aca="false">IF(D246="","",IFERROR(INDEX('Plan de Cuentas'!$B$5:$B$1241,MATCH(D246,'Plan de Cuentas'!$A$5:$A$1241,0)),"No encontrado"))</f>
        <v/>
      </c>
      <c r="F246" s="16"/>
      <c r="G246" s="13" t="str">
        <f aca="false">IF(F246="","",IFERROR(INDEX('Plan de Cuentas'!$B$5:$B$1241,MATCH(F246,'Plan de Cuentas'!$A$5:$A$1241,0)),"No encontrado"))</f>
        <v/>
      </c>
      <c r="H246" s="17"/>
      <c r="I246" s="13"/>
    </row>
    <row r="247" customFormat="false" ht="15" hidden="false" customHeight="true" outlineLevel="0" collapsed="false">
      <c r="A247" s="13"/>
      <c r="B247" s="14"/>
      <c r="C247" s="15"/>
      <c r="D247" s="16"/>
      <c r="E247" s="13" t="str">
        <f aca="false">IF(D247="","",IFERROR(INDEX('Plan de Cuentas'!$B$5:$B$1241,MATCH(D247,'Plan de Cuentas'!$A$5:$A$1241,0)),"No encontrado"))</f>
        <v/>
      </c>
      <c r="F247" s="16"/>
      <c r="G247" s="13" t="str">
        <f aca="false">IF(F247="","",IFERROR(INDEX('Plan de Cuentas'!$B$5:$B$1241,MATCH(F247,'Plan de Cuentas'!$A$5:$A$1241,0)),"No encontrado"))</f>
        <v/>
      </c>
      <c r="H247" s="17"/>
      <c r="I247" s="13"/>
    </row>
    <row r="248" customFormat="false" ht="15" hidden="false" customHeight="true" outlineLevel="0" collapsed="false">
      <c r="A248" s="13"/>
      <c r="B248" s="14"/>
      <c r="C248" s="15"/>
      <c r="D248" s="16"/>
      <c r="E248" s="13" t="str">
        <f aca="false">IF(D248="","",IFERROR(INDEX('Plan de Cuentas'!$B$5:$B$1241,MATCH(D248,'Plan de Cuentas'!$A$5:$A$1241,0)),"No encontrado"))</f>
        <v/>
      </c>
      <c r="F248" s="16"/>
      <c r="G248" s="13" t="str">
        <f aca="false">IF(F248="","",IFERROR(INDEX('Plan de Cuentas'!$B$5:$B$1241,MATCH(F248,'Plan de Cuentas'!$A$5:$A$1241,0)),"No encontrado"))</f>
        <v/>
      </c>
      <c r="H248" s="17"/>
      <c r="I248" s="13"/>
    </row>
    <row r="249" customFormat="false" ht="15" hidden="false" customHeight="true" outlineLevel="0" collapsed="false">
      <c r="A249" s="13"/>
      <c r="B249" s="14"/>
      <c r="C249" s="15"/>
      <c r="D249" s="16"/>
      <c r="E249" s="13" t="str">
        <f aca="false">IF(D249="","",IFERROR(INDEX('Plan de Cuentas'!$B$5:$B$1241,MATCH(D249,'Plan de Cuentas'!$A$5:$A$1241,0)),"No encontrado"))</f>
        <v/>
      </c>
      <c r="F249" s="16"/>
      <c r="G249" s="13" t="str">
        <f aca="false">IF(F249="","",IFERROR(INDEX('Plan de Cuentas'!$B$5:$B$1241,MATCH(F249,'Plan de Cuentas'!$A$5:$A$1241,0)),"No encontrado"))</f>
        <v/>
      </c>
      <c r="H249" s="17"/>
      <c r="I249" s="13"/>
    </row>
    <row r="250" customFormat="false" ht="15" hidden="false" customHeight="true" outlineLevel="0" collapsed="false">
      <c r="A250" s="13"/>
      <c r="B250" s="14"/>
      <c r="C250" s="15"/>
      <c r="D250" s="16"/>
      <c r="E250" s="13" t="str">
        <f aca="false">IF(D250="","",IFERROR(INDEX('Plan de Cuentas'!$B$5:$B$1241,MATCH(D250,'Plan de Cuentas'!$A$5:$A$1241,0)),"No encontrado"))</f>
        <v/>
      </c>
      <c r="F250" s="16"/>
      <c r="G250" s="13" t="str">
        <f aca="false">IF(F250="","",IFERROR(INDEX('Plan de Cuentas'!$B$5:$B$1241,MATCH(F250,'Plan de Cuentas'!$A$5:$A$1241,0)),"No encontrado"))</f>
        <v/>
      </c>
      <c r="H250" s="17"/>
      <c r="I250" s="13"/>
    </row>
    <row r="251" customFormat="false" ht="15" hidden="false" customHeight="true" outlineLevel="0" collapsed="false">
      <c r="A251" s="13"/>
      <c r="B251" s="14"/>
      <c r="C251" s="15"/>
      <c r="D251" s="16"/>
      <c r="E251" s="13" t="str">
        <f aca="false">IF(D251="","",IFERROR(INDEX('Plan de Cuentas'!$B$5:$B$1241,MATCH(D251,'Plan de Cuentas'!$A$5:$A$1241,0)),"No encontrado"))</f>
        <v/>
      </c>
      <c r="F251" s="16"/>
      <c r="G251" s="13" t="str">
        <f aca="false">IF(F251="","",IFERROR(INDEX('Plan de Cuentas'!$B$5:$B$1241,MATCH(F251,'Plan de Cuentas'!$A$5:$A$1241,0)),"No encontrado"))</f>
        <v/>
      </c>
      <c r="H251" s="17"/>
      <c r="I251" s="13"/>
    </row>
    <row r="252" customFormat="false" ht="15" hidden="false" customHeight="true" outlineLevel="0" collapsed="false">
      <c r="A252" s="13"/>
      <c r="B252" s="14"/>
      <c r="C252" s="15"/>
      <c r="D252" s="16"/>
      <c r="E252" s="13" t="str">
        <f aca="false">IF(D252="","",IFERROR(INDEX('Plan de Cuentas'!$B$5:$B$1241,MATCH(D252,'Plan de Cuentas'!$A$5:$A$1241,0)),"No encontrado"))</f>
        <v/>
      </c>
      <c r="F252" s="16"/>
      <c r="G252" s="13" t="str">
        <f aca="false">IF(F252="","",IFERROR(INDEX('Plan de Cuentas'!$B$5:$B$1241,MATCH(F252,'Plan de Cuentas'!$A$5:$A$1241,0)),"No encontrado"))</f>
        <v/>
      </c>
      <c r="H252" s="17"/>
      <c r="I252" s="13"/>
    </row>
    <row r="253" customFormat="false" ht="15" hidden="false" customHeight="true" outlineLevel="0" collapsed="false">
      <c r="A253" s="13"/>
      <c r="B253" s="14"/>
      <c r="C253" s="15"/>
      <c r="D253" s="16"/>
      <c r="E253" s="13" t="str">
        <f aca="false">IF(D253="","",IFERROR(INDEX('Plan de Cuentas'!$B$5:$B$1241,MATCH(D253,'Plan de Cuentas'!$A$5:$A$1241,0)),"No encontrado"))</f>
        <v/>
      </c>
      <c r="F253" s="16"/>
      <c r="G253" s="13" t="str">
        <f aca="false">IF(F253="","",IFERROR(INDEX('Plan de Cuentas'!$B$5:$B$1241,MATCH(F253,'Plan de Cuentas'!$A$5:$A$1241,0)),"No encontrado"))</f>
        <v/>
      </c>
      <c r="H253" s="17"/>
      <c r="I253" s="13"/>
    </row>
    <row r="254" customFormat="false" ht="15" hidden="false" customHeight="true" outlineLevel="0" collapsed="false">
      <c r="A254" s="13"/>
      <c r="B254" s="14"/>
      <c r="C254" s="15"/>
      <c r="D254" s="16"/>
      <c r="E254" s="13" t="str">
        <f aca="false">IF(D254="","",IFERROR(INDEX('Plan de Cuentas'!$B$5:$B$1241,MATCH(D254,'Plan de Cuentas'!$A$5:$A$1241,0)),"No encontrado"))</f>
        <v/>
      </c>
      <c r="F254" s="16"/>
      <c r="G254" s="13" t="str">
        <f aca="false">IF(F254="","",IFERROR(INDEX('Plan de Cuentas'!$B$5:$B$1241,MATCH(F254,'Plan de Cuentas'!$A$5:$A$1241,0)),"No encontrado"))</f>
        <v/>
      </c>
      <c r="H254" s="17"/>
      <c r="I254" s="13"/>
    </row>
    <row r="255" customFormat="false" ht="15" hidden="false" customHeight="true" outlineLevel="0" collapsed="false">
      <c r="A255" s="13"/>
      <c r="B255" s="14"/>
      <c r="C255" s="15"/>
      <c r="D255" s="16"/>
      <c r="E255" s="13" t="str">
        <f aca="false">IF(D255="","",IFERROR(INDEX('Plan de Cuentas'!$B$5:$B$1241,MATCH(D255,'Plan de Cuentas'!$A$5:$A$1241,0)),"No encontrado"))</f>
        <v/>
      </c>
      <c r="F255" s="16"/>
      <c r="G255" s="13" t="str">
        <f aca="false">IF(F255="","",IFERROR(INDEX('Plan de Cuentas'!$B$5:$B$1241,MATCH(F255,'Plan de Cuentas'!$A$5:$A$1241,0)),"No encontrado"))</f>
        <v/>
      </c>
      <c r="H255" s="17"/>
      <c r="I255" s="13"/>
    </row>
    <row r="256" customFormat="false" ht="15" hidden="false" customHeight="true" outlineLevel="0" collapsed="false">
      <c r="A256" s="13"/>
      <c r="B256" s="14"/>
      <c r="C256" s="15"/>
      <c r="D256" s="16"/>
      <c r="E256" s="13" t="str">
        <f aca="false">IF(D256="","",IFERROR(INDEX('Plan de Cuentas'!$B$5:$B$1241,MATCH(D256,'Plan de Cuentas'!$A$5:$A$1241,0)),"No encontrado"))</f>
        <v/>
      </c>
      <c r="F256" s="16"/>
      <c r="G256" s="13" t="str">
        <f aca="false">IF(F256="","",IFERROR(INDEX('Plan de Cuentas'!$B$5:$B$1241,MATCH(F256,'Plan de Cuentas'!$A$5:$A$1241,0)),"No encontrado"))</f>
        <v/>
      </c>
      <c r="H256" s="17"/>
      <c r="I256" s="13"/>
    </row>
    <row r="257" customFormat="false" ht="15" hidden="false" customHeight="true" outlineLevel="0" collapsed="false">
      <c r="A257" s="13"/>
      <c r="B257" s="14"/>
      <c r="C257" s="15"/>
      <c r="D257" s="16"/>
      <c r="E257" s="13" t="str">
        <f aca="false">IF(D257="","",IFERROR(INDEX('Plan de Cuentas'!$B$5:$B$1241,MATCH(D257,'Plan de Cuentas'!$A$5:$A$1241,0)),"No encontrado"))</f>
        <v/>
      </c>
      <c r="F257" s="16"/>
      <c r="G257" s="13" t="str">
        <f aca="false">IF(F257="","",IFERROR(INDEX('Plan de Cuentas'!$B$5:$B$1241,MATCH(F257,'Plan de Cuentas'!$A$5:$A$1241,0)),"No encontrado"))</f>
        <v/>
      </c>
      <c r="H257" s="17"/>
      <c r="I257" s="13"/>
    </row>
    <row r="258" customFormat="false" ht="15" hidden="false" customHeight="true" outlineLevel="0" collapsed="false">
      <c r="A258" s="13"/>
      <c r="B258" s="14"/>
      <c r="C258" s="15"/>
      <c r="D258" s="16"/>
      <c r="E258" s="13" t="str">
        <f aca="false">IF(D258="","",IFERROR(INDEX('Plan de Cuentas'!$B$5:$B$1241,MATCH(D258,'Plan de Cuentas'!$A$5:$A$1241,0)),"No encontrado"))</f>
        <v/>
      </c>
      <c r="F258" s="16"/>
      <c r="G258" s="13" t="str">
        <f aca="false">IF(F258="","",IFERROR(INDEX('Plan de Cuentas'!$B$5:$B$1241,MATCH(F258,'Plan de Cuentas'!$A$5:$A$1241,0)),"No encontrado"))</f>
        <v/>
      </c>
      <c r="H258" s="17"/>
      <c r="I258" s="13"/>
    </row>
    <row r="259" customFormat="false" ht="15" hidden="false" customHeight="true" outlineLevel="0" collapsed="false">
      <c r="A259" s="13"/>
      <c r="B259" s="14"/>
      <c r="C259" s="15"/>
      <c r="D259" s="16"/>
      <c r="E259" s="13" t="str">
        <f aca="false">IF(D259="","",IFERROR(INDEX('Plan de Cuentas'!$B$5:$B$1241,MATCH(D259,'Plan de Cuentas'!$A$5:$A$1241,0)),"No encontrado"))</f>
        <v/>
      </c>
      <c r="F259" s="16"/>
      <c r="G259" s="13" t="str">
        <f aca="false">IF(F259="","",IFERROR(INDEX('Plan de Cuentas'!$B$5:$B$1241,MATCH(F259,'Plan de Cuentas'!$A$5:$A$1241,0)),"No encontrado"))</f>
        <v/>
      </c>
      <c r="H259" s="17"/>
      <c r="I259" s="13"/>
    </row>
    <row r="260" customFormat="false" ht="15" hidden="false" customHeight="true" outlineLevel="0" collapsed="false">
      <c r="A260" s="13"/>
      <c r="B260" s="14"/>
      <c r="C260" s="15"/>
      <c r="D260" s="16"/>
      <c r="E260" s="13" t="str">
        <f aca="false">IF(D260="","",IFERROR(INDEX('Plan de Cuentas'!$B$5:$B$1241,MATCH(D260,'Plan de Cuentas'!$A$5:$A$1241,0)),"No encontrado"))</f>
        <v/>
      </c>
      <c r="F260" s="16"/>
      <c r="G260" s="13" t="str">
        <f aca="false">IF(F260="","",IFERROR(INDEX('Plan de Cuentas'!$B$5:$B$1241,MATCH(F260,'Plan de Cuentas'!$A$5:$A$1241,0)),"No encontrado"))</f>
        <v/>
      </c>
      <c r="H260" s="17"/>
      <c r="I260" s="13"/>
    </row>
    <row r="261" customFormat="false" ht="15" hidden="false" customHeight="true" outlineLevel="0" collapsed="false">
      <c r="A261" s="13"/>
      <c r="B261" s="14"/>
      <c r="C261" s="15"/>
      <c r="D261" s="16"/>
      <c r="E261" s="13" t="str">
        <f aca="false">IF(D261="","",IFERROR(INDEX('Plan de Cuentas'!$B$5:$B$1241,MATCH(D261,'Plan de Cuentas'!$A$5:$A$1241,0)),"No encontrado"))</f>
        <v/>
      </c>
      <c r="F261" s="16"/>
      <c r="G261" s="13" t="str">
        <f aca="false">IF(F261="","",IFERROR(INDEX('Plan de Cuentas'!$B$5:$B$1241,MATCH(F261,'Plan de Cuentas'!$A$5:$A$1241,0)),"No encontrado"))</f>
        <v/>
      </c>
      <c r="H261" s="17"/>
      <c r="I261" s="13"/>
    </row>
    <row r="262" customFormat="false" ht="15" hidden="false" customHeight="true" outlineLevel="0" collapsed="false">
      <c r="A262" s="13"/>
      <c r="B262" s="14"/>
      <c r="C262" s="15"/>
      <c r="D262" s="16"/>
      <c r="E262" s="13" t="str">
        <f aca="false">IF(D262="","",IFERROR(INDEX('Plan de Cuentas'!$B$5:$B$1241,MATCH(D262,'Plan de Cuentas'!$A$5:$A$1241,0)),"No encontrado"))</f>
        <v/>
      </c>
      <c r="F262" s="16"/>
      <c r="G262" s="13" t="str">
        <f aca="false">IF(F262="","",IFERROR(INDEX('Plan de Cuentas'!$B$5:$B$1241,MATCH(F262,'Plan de Cuentas'!$A$5:$A$1241,0)),"No encontrado"))</f>
        <v/>
      </c>
      <c r="H262" s="17"/>
      <c r="I262" s="13"/>
    </row>
    <row r="263" customFormat="false" ht="15" hidden="false" customHeight="true" outlineLevel="0" collapsed="false">
      <c r="A263" s="13"/>
      <c r="B263" s="14"/>
      <c r="C263" s="15"/>
      <c r="D263" s="16"/>
      <c r="E263" s="13" t="str">
        <f aca="false">IF(D263="","",IFERROR(INDEX('Plan de Cuentas'!$B$5:$B$1241,MATCH(D263,'Plan de Cuentas'!$A$5:$A$1241,0)),"No encontrado"))</f>
        <v/>
      </c>
      <c r="F263" s="16"/>
      <c r="G263" s="13" t="str">
        <f aca="false">IF(F263="","",IFERROR(INDEX('Plan de Cuentas'!$B$5:$B$1241,MATCH(F263,'Plan de Cuentas'!$A$5:$A$1241,0)),"No encontrado"))</f>
        <v/>
      </c>
      <c r="H263" s="17"/>
      <c r="I263" s="13"/>
    </row>
    <row r="264" customFormat="false" ht="15" hidden="false" customHeight="true" outlineLevel="0" collapsed="false">
      <c r="A264" s="13"/>
      <c r="B264" s="14"/>
      <c r="C264" s="15"/>
      <c r="D264" s="16"/>
      <c r="E264" s="13" t="str">
        <f aca="false">IF(D264="","",IFERROR(INDEX('Plan de Cuentas'!$B$5:$B$1241,MATCH(D264,'Plan de Cuentas'!$A$5:$A$1241,0)),"No encontrado"))</f>
        <v/>
      </c>
      <c r="F264" s="16"/>
      <c r="G264" s="13" t="str">
        <f aca="false">IF(F264="","",IFERROR(INDEX('Plan de Cuentas'!$B$5:$B$1241,MATCH(F264,'Plan de Cuentas'!$A$5:$A$1241,0)),"No encontrado"))</f>
        <v/>
      </c>
      <c r="H264" s="17"/>
      <c r="I264" s="13"/>
    </row>
    <row r="265" customFormat="false" ht="15" hidden="false" customHeight="true" outlineLevel="0" collapsed="false">
      <c r="A265" s="13"/>
      <c r="B265" s="14"/>
      <c r="C265" s="15"/>
      <c r="D265" s="16"/>
      <c r="E265" s="13" t="str">
        <f aca="false">IF(D265="","",IFERROR(INDEX('Plan de Cuentas'!$B$5:$B$1241,MATCH(D265,'Plan de Cuentas'!$A$5:$A$1241,0)),"No encontrado"))</f>
        <v/>
      </c>
      <c r="F265" s="16"/>
      <c r="G265" s="13" t="str">
        <f aca="false">IF(F265="","",IFERROR(INDEX('Plan de Cuentas'!$B$5:$B$1241,MATCH(F265,'Plan de Cuentas'!$A$5:$A$1241,0)),"No encontrado"))</f>
        <v/>
      </c>
      <c r="H265" s="17"/>
      <c r="I265" s="13"/>
    </row>
    <row r="266" customFormat="false" ht="15" hidden="false" customHeight="true" outlineLevel="0" collapsed="false">
      <c r="A266" s="13"/>
      <c r="B266" s="14"/>
      <c r="C266" s="15"/>
      <c r="D266" s="16"/>
      <c r="E266" s="13" t="str">
        <f aca="false">IF(D266="","",IFERROR(INDEX('Plan de Cuentas'!$B$5:$B$1241,MATCH(D266,'Plan de Cuentas'!$A$5:$A$1241,0)),"No encontrado"))</f>
        <v/>
      </c>
      <c r="F266" s="16"/>
      <c r="G266" s="13" t="str">
        <f aca="false">IF(F266="","",IFERROR(INDEX('Plan de Cuentas'!$B$5:$B$1241,MATCH(F266,'Plan de Cuentas'!$A$5:$A$1241,0)),"No encontrado"))</f>
        <v/>
      </c>
      <c r="H266" s="17"/>
      <c r="I266" s="13"/>
    </row>
    <row r="267" customFormat="false" ht="15" hidden="false" customHeight="true" outlineLevel="0" collapsed="false">
      <c r="A267" s="13"/>
      <c r="B267" s="14"/>
      <c r="C267" s="15"/>
      <c r="D267" s="16"/>
      <c r="E267" s="13" t="str">
        <f aca="false">IF(D267="","",IFERROR(INDEX('Plan de Cuentas'!$B$5:$B$1241,MATCH(D267,'Plan de Cuentas'!$A$5:$A$1241,0)),"No encontrado"))</f>
        <v/>
      </c>
      <c r="F267" s="16"/>
      <c r="G267" s="13" t="str">
        <f aca="false">IF(F267="","",IFERROR(INDEX('Plan de Cuentas'!$B$5:$B$1241,MATCH(F267,'Plan de Cuentas'!$A$5:$A$1241,0)),"No encontrado"))</f>
        <v/>
      </c>
      <c r="H267" s="17"/>
      <c r="I267" s="13"/>
    </row>
    <row r="268" customFormat="false" ht="15" hidden="false" customHeight="true" outlineLevel="0" collapsed="false">
      <c r="A268" s="13"/>
      <c r="B268" s="14"/>
      <c r="C268" s="15"/>
      <c r="D268" s="16"/>
      <c r="E268" s="13" t="str">
        <f aca="false">IF(D268="","",IFERROR(INDEX('Plan de Cuentas'!$B$5:$B$1241,MATCH(D268,'Plan de Cuentas'!$A$5:$A$1241,0)),"No encontrado"))</f>
        <v/>
      </c>
      <c r="F268" s="16"/>
      <c r="G268" s="13" t="str">
        <f aca="false">IF(F268="","",IFERROR(INDEX('Plan de Cuentas'!$B$5:$B$1241,MATCH(F268,'Plan de Cuentas'!$A$5:$A$1241,0)),"No encontrado"))</f>
        <v/>
      </c>
      <c r="H268" s="17"/>
      <c r="I268" s="13"/>
    </row>
    <row r="269" customFormat="false" ht="15" hidden="false" customHeight="true" outlineLevel="0" collapsed="false">
      <c r="A269" s="13"/>
      <c r="B269" s="14"/>
      <c r="C269" s="15"/>
      <c r="D269" s="16"/>
      <c r="E269" s="13" t="str">
        <f aca="false">IF(D269="","",IFERROR(INDEX('Plan de Cuentas'!$B$5:$B$1241,MATCH(D269,'Plan de Cuentas'!$A$5:$A$1241,0)),"No encontrado"))</f>
        <v/>
      </c>
      <c r="F269" s="16"/>
      <c r="G269" s="13" t="str">
        <f aca="false">IF(F269="","",IFERROR(INDEX('Plan de Cuentas'!$B$5:$B$1241,MATCH(F269,'Plan de Cuentas'!$A$5:$A$1241,0)),"No encontrado"))</f>
        <v/>
      </c>
      <c r="H269" s="17"/>
      <c r="I269" s="13"/>
    </row>
    <row r="270" customFormat="false" ht="15" hidden="false" customHeight="true" outlineLevel="0" collapsed="false">
      <c r="A270" s="13"/>
      <c r="B270" s="14"/>
      <c r="C270" s="15"/>
      <c r="D270" s="16"/>
      <c r="E270" s="13" t="str">
        <f aca="false">IF(D270="","",IFERROR(INDEX('Plan de Cuentas'!$B$5:$B$1241,MATCH(D270,'Plan de Cuentas'!$A$5:$A$1241,0)),"No encontrado"))</f>
        <v/>
      </c>
      <c r="F270" s="16"/>
      <c r="G270" s="13" t="str">
        <f aca="false">IF(F270="","",IFERROR(INDEX('Plan de Cuentas'!$B$5:$B$1241,MATCH(F270,'Plan de Cuentas'!$A$5:$A$1241,0)),"No encontrado"))</f>
        <v/>
      </c>
      <c r="H270" s="17"/>
      <c r="I270" s="13"/>
    </row>
    <row r="271" customFormat="false" ht="15" hidden="false" customHeight="true" outlineLevel="0" collapsed="false">
      <c r="A271" s="13"/>
      <c r="B271" s="14"/>
      <c r="C271" s="15"/>
      <c r="D271" s="16"/>
      <c r="E271" s="13" t="str">
        <f aca="false">IF(D271="","",IFERROR(INDEX('Plan de Cuentas'!$B$5:$B$1241,MATCH(D271,'Plan de Cuentas'!$A$5:$A$1241,0)),"No encontrado"))</f>
        <v/>
      </c>
      <c r="F271" s="16"/>
      <c r="G271" s="13" t="str">
        <f aca="false">IF(F271="","",IFERROR(INDEX('Plan de Cuentas'!$B$5:$B$1241,MATCH(F271,'Plan de Cuentas'!$A$5:$A$1241,0)),"No encontrado"))</f>
        <v/>
      </c>
      <c r="H271" s="17"/>
      <c r="I271" s="13"/>
    </row>
    <row r="272" customFormat="false" ht="15" hidden="false" customHeight="true" outlineLevel="0" collapsed="false">
      <c r="A272" s="13"/>
      <c r="B272" s="14"/>
      <c r="C272" s="15"/>
      <c r="D272" s="16"/>
      <c r="E272" s="13" t="str">
        <f aca="false">IF(D272="","",IFERROR(INDEX('Plan de Cuentas'!$B$5:$B$1241,MATCH(D272,'Plan de Cuentas'!$A$5:$A$1241,0)),"No encontrado"))</f>
        <v/>
      </c>
      <c r="F272" s="16"/>
      <c r="G272" s="13" t="str">
        <f aca="false">IF(F272="","",IFERROR(INDEX('Plan de Cuentas'!$B$5:$B$1241,MATCH(F272,'Plan de Cuentas'!$A$5:$A$1241,0)),"No encontrado"))</f>
        <v/>
      </c>
      <c r="H272" s="17"/>
      <c r="I272" s="13"/>
    </row>
    <row r="273" customFormat="false" ht="15" hidden="false" customHeight="true" outlineLevel="0" collapsed="false">
      <c r="A273" s="13"/>
      <c r="B273" s="14"/>
      <c r="C273" s="15"/>
      <c r="D273" s="16"/>
      <c r="E273" s="13" t="str">
        <f aca="false">IF(D273="","",IFERROR(INDEX('Plan de Cuentas'!$B$5:$B$1241,MATCH(D273,'Plan de Cuentas'!$A$5:$A$1241,0)),"No encontrado"))</f>
        <v/>
      </c>
      <c r="F273" s="16"/>
      <c r="G273" s="13" t="str">
        <f aca="false">IF(F273="","",IFERROR(INDEX('Plan de Cuentas'!$B$5:$B$1241,MATCH(F273,'Plan de Cuentas'!$A$5:$A$1241,0)),"No encontrado"))</f>
        <v/>
      </c>
      <c r="H273" s="17"/>
      <c r="I273" s="13"/>
    </row>
    <row r="274" customFormat="false" ht="15" hidden="false" customHeight="true" outlineLevel="0" collapsed="false">
      <c r="A274" s="13"/>
      <c r="B274" s="14"/>
      <c r="C274" s="15"/>
      <c r="D274" s="16"/>
      <c r="E274" s="13" t="str">
        <f aca="false">IF(D274="","",IFERROR(INDEX('Plan de Cuentas'!$B$5:$B$1241,MATCH(D274,'Plan de Cuentas'!$A$5:$A$1241,0)),"No encontrado"))</f>
        <v/>
      </c>
      <c r="F274" s="16"/>
      <c r="G274" s="13" t="str">
        <f aca="false">IF(F274="","",IFERROR(INDEX('Plan de Cuentas'!$B$5:$B$1241,MATCH(F274,'Plan de Cuentas'!$A$5:$A$1241,0)),"No encontrado"))</f>
        <v/>
      </c>
      <c r="H274" s="17"/>
      <c r="I274" s="13"/>
    </row>
    <row r="275" customFormat="false" ht="15" hidden="false" customHeight="true" outlineLevel="0" collapsed="false">
      <c r="A275" s="13"/>
      <c r="B275" s="14"/>
      <c r="C275" s="15"/>
      <c r="D275" s="16"/>
      <c r="E275" s="13" t="str">
        <f aca="false">IF(D275="","",IFERROR(INDEX('Plan de Cuentas'!$B$5:$B$1241,MATCH(D275,'Plan de Cuentas'!$A$5:$A$1241,0)),"No encontrado"))</f>
        <v/>
      </c>
      <c r="F275" s="16"/>
      <c r="G275" s="13" t="str">
        <f aca="false">IF(F275="","",IFERROR(INDEX('Plan de Cuentas'!$B$5:$B$1241,MATCH(F275,'Plan de Cuentas'!$A$5:$A$1241,0)),"No encontrado"))</f>
        <v/>
      </c>
      <c r="H275" s="17"/>
      <c r="I275" s="13"/>
    </row>
    <row r="276" customFormat="false" ht="15" hidden="false" customHeight="true" outlineLevel="0" collapsed="false">
      <c r="A276" s="13"/>
      <c r="B276" s="14"/>
      <c r="C276" s="15"/>
      <c r="D276" s="16"/>
      <c r="E276" s="13" t="str">
        <f aca="false">IF(D276="","",IFERROR(INDEX('Plan de Cuentas'!$B$5:$B$1241,MATCH(D276,'Plan de Cuentas'!$A$5:$A$1241,0)),"No encontrado"))</f>
        <v/>
      </c>
      <c r="F276" s="16"/>
      <c r="G276" s="13" t="str">
        <f aca="false">IF(F276="","",IFERROR(INDEX('Plan de Cuentas'!$B$5:$B$1241,MATCH(F276,'Plan de Cuentas'!$A$5:$A$1241,0)),"No encontrado"))</f>
        <v/>
      </c>
      <c r="H276" s="17"/>
      <c r="I276" s="13"/>
    </row>
    <row r="277" customFormat="false" ht="15" hidden="false" customHeight="true" outlineLevel="0" collapsed="false">
      <c r="A277" s="13"/>
      <c r="B277" s="14"/>
      <c r="C277" s="15"/>
      <c r="D277" s="16"/>
      <c r="E277" s="13" t="str">
        <f aca="false">IF(D277="","",IFERROR(INDEX('Plan de Cuentas'!$B$5:$B$1241,MATCH(D277,'Plan de Cuentas'!$A$5:$A$1241,0)),"No encontrado"))</f>
        <v/>
      </c>
      <c r="F277" s="16"/>
      <c r="G277" s="13" t="str">
        <f aca="false">IF(F277="","",IFERROR(INDEX('Plan de Cuentas'!$B$5:$B$1241,MATCH(F277,'Plan de Cuentas'!$A$5:$A$1241,0)),"No encontrado"))</f>
        <v/>
      </c>
      <c r="H277" s="17"/>
      <c r="I277" s="13"/>
    </row>
    <row r="278" customFormat="false" ht="15" hidden="false" customHeight="true" outlineLevel="0" collapsed="false">
      <c r="A278" s="13"/>
      <c r="B278" s="14"/>
      <c r="C278" s="15"/>
      <c r="D278" s="16"/>
      <c r="E278" s="13" t="str">
        <f aca="false">IF(D278="","",IFERROR(INDEX('Plan de Cuentas'!$B$5:$B$1241,MATCH(D278,'Plan de Cuentas'!$A$5:$A$1241,0)),"No encontrado"))</f>
        <v/>
      </c>
      <c r="F278" s="16"/>
      <c r="G278" s="13" t="str">
        <f aca="false">IF(F278="","",IFERROR(INDEX('Plan de Cuentas'!$B$5:$B$1241,MATCH(F278,'Plan de Cuentas'!$A$5:$A$1241,0)),"No encontrado"))</f>
        <v/>
      </c>
      <c r="H278" s="17"/>
      <c r="I278" s="13"/>
    </row>
    <row r="279" customFormat="false" ht="15" hidden="false" customHeight="true" outlineLevel="0" collapsed="false">
      <c r="A279" s="13"/>
      <c r="B279" s="14"/>
      <c r="C279" s="15"/>
      <c r="D279" s="16"/>
      <c r="E279" s="13" t="str">
        <f aca="false">IF(D279="","",IFERROR(INDEX('Plan de Cuentas'!$B$5:$B$1241,MATCH(D279,'Plan de Cuentas'!$A$5:$A$1241,0)),"No encontrado"))</f>
        <v/>
      </c>
      <c r="F279" s="16"/>
      <c r="G279" s="13" t="str">
        <f aca="false">IF(F279="","",IFERROR(INDEX('Plan de Cuentas'!$B$5:$B$1241,MATCH(F279,'Plan de Cuentas'!$A$5:$A$1241,0)),"No encontrado"))</f>
        <v/>
      </c>
      <c r="H279" s="17"/>
      <c r="I279" s="13"/>
    </row>
    <row r="280" customFormat="false" ht="15" hidden="false" customHeight="true" outlineLevel="0" collapsed="false">
      <c r="A280" s="13"/>
      <c r="B280" s="14"/>
      <c r="C280" s="15"/>
      <c r="D280" s="16"/>
      <c r="E280" s="13" t="str">
        <f aca="false">IF(D280="","",IFERROR(INDEX('Plan de Cuentas'!$B$5:$B$1241,MATCH(D280,'Plan de Cuentas'!$A$5:$A$1241,0)),"No encontrado"))</f>
        <v/>
      </c>
      <c r="F280" s="16"/>
      <c r="G280" s="13" t="str">
        <f aca="false">IF(F280="","",IFERROR(INDEX('Plan de Cuentas'!$B$5:$B$1241,MATCH(F280,'Plan de Cuentas'!$A$5:$A$1241,0)),"No encontrado"))</f>
        <v/>
      </c>
      <c r="H280" s="17"/>
      <c r="I280" s="13"/>
    </row>
    <row r="281" customFormat="false" ht="15" hidden="false" customHeight="true" outlineLevel="0" collapsed="false">
      <c r="A281" s="13"/>
      <c r="B281" s="14"/>
      <c r="C281" s="15"/>
      <c r="D281" s="16"/>
      <c r="E281" s="13" t="str">
        <f aca="false">IF(D281="","",IFERROR(INDEX('Plan de Cuentas'!$B$5:$B$1241,MATCH(D281,'Plan de Cuentas'!$A$5:$A$1241,0)),"No encontrado"))</f>
        <v/>
      </c>
      <c r="F281" s="16"/>
      <c r="G281" s="13" t="str">
        <f aca="false">IF(F281="","",IFERROR(INDEX('Plan de Cuentas'!$B$5:$B$1241,MATCH(F281,'Plan de Cuentas'!$A$5:$A$1241,0)),"No encontrado"))</f>
        <v/>
      </c>
      <c r="H281" s="17"/>
      <c r="I281" s="13"/>
    </row>
    <row r="282" customFormat="false" ht="15" hidden="false" customHeight="true" outlineLevel="0" collapsed="false">
      <c r="A282" s="13"/>
      <c r="B282" s="14"/>
      <c r="C282" s="15"/>
      <c r="D282" s="16"/>
      <c r="E282" s="13" t="str">
        <f aca="false">IF(D282="","",IFERROR(INDEX('Plan de Cuentas'!$B$5:$B$1241,MATCH(D282,'Plan de Cuentas'!$A$5:$A$1241,0)),"No encontrado"))</f>
        <v/>
      </c>
      <c r="F282" s="16"/>
      <c r="G282" s="13" t="str">
        <f aca="false">IF(F282="","",IFERROR(INDEX('Plan de Cuentas'!$B$5:$B$1241,MATCH(F282,'Plan de Cuentas'!$A$5:$A$1241,0)),"No encontrado"))</f>
        <v/>
      </c>
      <c r="H282" s="17"/>
      <c r="I282" s="13"/>
    </row>
    <row r="283" customFormat="false" ht="15" hidden="false" customHeight="true" outlineLevel="0" collapsed="false">
      <c r="A283" s="13"/>
      <c r="B283" s="14"/>
      <c r="C283" s="15"/>
      <c r="D283" s="16"/>
      <c r="E283" s="13" t="str">
        <f aca="false">IF(D283="","",IFERROR(INDEX('Plan de Cuentas'!$B$5:$B$1241,MATCH(D283,'Plan de Cuentas'!$A$5:$A$1241,0)),"No encontrado"))</f>
        <v/>
      </c>
      <c r="F283" s="16"/>
      <c r="G283" s="13" t="str">
        <f aca="false">IF(F283="","",IFERROR(INDEX('Plan de Cuentas'!$B$5:$B$1241,MATCH(F283,'Plan de Cuentas'!$A$5:$A$1241,0)),"No encontrado"))</f>
        <v/>
      </c>
      <c r="H283" s="17"/>
      <c r="I283" s="13"/>
    </row>
    <row r="284" customFormat="false" ht="15" hidden="false" customHeight="true" outlineLevel="0" collapsed="false">
      <c r="A284" s="13"/>
      <c r="B284" s="14"/>
      <c r="C284" s="15"/>
      <c r="D284" s="16"/>
      <c r="E284" s="13" t="str">
        <f aca="false">IF(D284="","",IFERROR(INDEX('Plan de Cuentas'!$B$5:$B$1241,MATCH(D284,'Plan de Cuentas'!$A$5:$A$1241,0)),"No encontrado"))</f>
        <v/>
      </c>
      <c r="F284" s="16"/>
      <c r="G284" s="13" t="str">
        <f aca="false">IF(F284="","",IFERROR(INDEX('Plan de Cuentas'!$B$5:$B$1241,MATCH(F284,'Plan de Cuentas'!$A$5:$A$1241,0)),"No encontrado"))</f>
        <v/>
      </c>
      <c r="H284" s="17"/>
      <c r="I284" s="13"/>
    </row>
    <row r="285" customFormat="false" ht="15" hidden="false" customHeight="true" outlineLevel="0" collapsed="false">
      <c r="A285" s="13"/>
      <c r="B285" s="14"/>
      <c r="C285" s="15"/>
      <c r="D285" s="16"/>
      <c r="E285" s="13" t="str">
        <f aca="false">IF(D285="","",IFERROR(INDEX('Plan de Cuentas'!$B$5:$B$1241,MATCH(D285,'Plan de Cuentas'!$A$5:$A$1241,0)),"No encontrado"))</f>
        <v/>
      </c>
      <c r="F285" s="16"/>
      <c r="G285" s="13" t="str">
        <f aca="false">IF(F285="","",IFERROR(INDEX('Plan de Cuentas'!$B$5:$B$1241,MATCH(F285,'Plan de Cuentas'!$A$5:$A$1241,0)),"No encontrado"))</f>
        <v/>
      </c>
      <c r="H285" s="17"/>
      <c r="I285" s="13"/>
    </row>
    <row r="286" customFormat="false" ht="15" hidden="false" customHeight="true" outlineLevel="0" collapsed="false">
      <c r="A286" s="13"/>
      <c r="B286" s="14"/>
      <c r="C286" s="15"/>
      <c r="D286" s="16"/>
      <c r="E286" s="13" t="str">
        <f aca="false">IF(D286="","",IFERROR(INDEX('Plan de Cuentas'!$B$5:$B$1241,MATCH(D286,'Plan de Cuentas'!$A$5:$A$1241,0)),"No encontrado"))</f>
        <v/>
      </c>
      <c r="F286" s="16"/>
      <c r="G286" s="13" t="str">
        <f aca="false">IF(F286="","",IFERROR(INDEX('Plan de Cuentas'!$B$5:$B$1241,MATCH(F286,'Plan de Cuentas'!$A$5:$A$1241,0)),"No encontrado"))</f>
        <v/>
      </c>
      <c r="H286" s="17"/>
      <c r="I286" s="13"/>
    </row>
    <row r="287" customFormat="false" ht="15" hidden="false" customHeight="true" outlineLevel="0" collapsed="false">
      <c r="A287" s="13"/>
      <c r="B287" s="14"/>
      <c r="C287" s="15"/>
      <c r="D287" s="16"/>
      <c r="E287" s="13" t="str">
        <f aca="false">IF(D287="","",IFERROR(INDEX('Plan de Cuentas'!$B$5:$B$1241,MATCH(D287,'Plan de Cuentas'!$A$5:$A$1241,0)),"No encontrado"))</f>
        <v/>
      </c>
      <c r="F287" s="16"/>
      <c r="G287" s="13" t="str">
        <f aca="false">IF(F287="","",IFERROR(INDEX('Plan de Cuentas'!$B$5:$B$1241,MATCH(F287,'Plan de Cuentas'!$A$5:$A$1241,0)),"No encontrado"))</f>
        <v/>
      </c>
      <c r="H287" s="17"/>
      <c r="I287" s="13"/>
    </row>
    <row r="288" customFormat="false" ht="15" hidden="false" customHeight="true" outlineLevel="0" collapsed="false">
      <c r="A288" s="13"/>
      <c r="B288" s="14"/>
      <c r="C288" s="15"/>
      <c r="D288" s="16"/>
      <c r="E288" s="13" t="str">
        <f aca="false">IF(D288="","",IFERROR(INDEX('Plan de Cuentas'!$B$5:$B$1241,MATCH(D288,'Plan de Cuentas'!$A$5:$A$1241,0)),"No encontrado"))</f>
        <v/>
      </c>
      <c r="F288" s="16"/>
      <c r="G288" s="13" t="str">
        <f aca="false">IF(F288="","",IFERROR(INDEX('Plan de Cuentas'!$B$5:$B$1241,MATCH(F288,'Plan de Cuentas'!$A$5:$A$1241,0)),"No encontrado"))</f>
        <v/>
      </c>
      <c r="H288" s="17"/>
      <c r="I288" s="13"/>
    </row>
    <row r="289" customFormat="false" ht="15" hidden="false" customHeight="true" outlineLevel="0" collapsed="false">
      <c r="A289" s="13"/>
      <c r="B289" s="14"/>
      <c r="C289" s="15"/>
      <c r="D289" s="16"/>
      <c r="E289" s="13" t="str">
        <f aca="false">IF(D289="","",IFERROR(INDEX('Plan de Cuentas'!$B$5:$B$1241,MATCH(D289,'Plan de Cuentas'!$A$5:$A$1241,0)),"No encontrado"))</f>
        <v/>
      </c>
      <c r="F289" s="16"/>
      <c r="G289" s="13" t="str">
        <f aca="false">IF(F289="","",IFERROR(INDEX('Plan de Cuentas'!$B$5:$B$1241,MATCH(F289,'Plan de Cuentas'!$A$5:$A$1241,0)),"No encontrado"))</f>
        <v/>
      </c>
      <c r="H289" s="17"/>
      <c r="I289" s="13"/>
    </row>
    <row r="290" customFormat="false" ht="15" hidden="false" customHeight="true" outlineLevel="0" collapsed="false">
      <c r="A290" s="13"/>
      <c r="B290" s="14"/>
      <c r="C290" s="15"/>
      <c r="D290" s="16"/>
      <c r="E290" s="13" t="str">
        <f aca="false">IF(D290="","",IFERROR(INDEX('Plan de Cuentas'!$B$5:$B$1241,MATCH(D290,'Plan de Cuentas'!$A$5:$A$1241,0)),"No encontrado"))</f>
        <v/>
      </c>
      <c r="F290" s="16"/>
      <c r="G290" s="13" t="str">
        <f aca="false">IF(F290="","",IFERROR(INDEX('Plan de Cuentas'!$B$5:$B$1241,MATCH(F290,'Plan de Cuentas'!$A$5:$A$1241,0)),"No encontrado"))</f>
        <v/>
      </c>
      <c r="H290" s="17"/>
      <c r="I290" s="13"/>
    </row>
    <row r="291" customFormat="false" ht="15" hidden="false" customHeight="true" outlineLevel="0" collapsed="false">
      <c r="A291" s="13"/>
      <c r="B291" s="14"/>
      <c r="C291" s="15"/>
      <c r="D291" s="16"/>
      <c r="E291" s="13" t="str">
        <f aca="false">IF(D291="","",IFERROR(INDEX('Plan de Cuentas'!$B$5:$B$1241,MATCH(D291,'Plan de Cuentas'!$A$5:$A$1241,0)),"No encontrado"))</f>
        <v/>
      </c>
      <c r="F291" s="16"/>
      <c r="G291" s="13" t="str">
        <f aca="false">IF(F291="","",IFERROR(INDEX('Plan de Cuentas'!$B$5:$B$1241,MATCH(F291,'Plan de Cuentas'!$A$5:$A$1241,0)),"No encontrado"))</f>
        <v/>
      </c>
      <c r="H291" s="17"/>
      <c r="I291" s="13"/>
    </row>
    <row r="292" customFormat="false" ht="15" hidden="false" customHeight="true" outlineLevel="0" collapsed="false">
      <c r="A292" s="13"/>
      <c r="B292" s="14"/>
      <c r="C292" s="15"/>
      <c r="D292" s="16"/>
      <c r="E292" s="13" t="str">
        <f aca="false">IF(D292="","",IFERROR(INDEX('Plan de Cuentas'!$B$5:$B$1241,MATCH(D292,'Plan de Cuentas'!$A$5:$A$1241,0)),"No encontrado"))</f>
        <v/>
      </c>
      <c r="F292" s="16"/>
      <c r="G292" s="13" t="str">
        <f aca="false">IF(F292="","",IFERROR(INDEX('Plan de Cuentas'!$B$5:$B$1241,MATCH(F292,'Plan de Cuentas'!$A$5:$A$1241,0)),"No encontrado"))</f>
        <v/>
      </c>
      <c r="H292" s="17"/>
      <c r="I292" s="13"/>
    </row>
    <row r="293" customFormat="false" ht="15" hidden="false" customHeight="true" outlineLevel="0" collapsed="false">
      <c r="A293" s="13"/>
      <c r="B293" s="14"/>
      <c r="C293" s="15"/>
      <c r="D293" s="16"/>
      <c r="E293" s="13" t="str">
        <f aca="false">IF(D293="","",IFERROR(INDEX('Plan de Cuentas'!$B$5:$B$1241,MATCH(D293,'Plan de Cuentas'!$A$5:$A$1241,0)),"No encontrado"))</f>
        <v/>
      </c>
      <c r="F293" s="16"/>
      <c r="G293" s="13" t="str">
        <f aca="false">IF(F293="","",IFERROR(INDEX('Plan de Cuentas'!$B$5:$B$1241,MATCH(F293,'Plan de Cuentas'!$A$5:$A$1241,0)),"No encontrado"))</f>
        <v/>
      </c>
      <c r="H293" s="17"/>
      <c r="I293" s="13"/>
    </row>
    <row r="294" customFormat="false" ht="15" hidden="false" customHeight="true" outlineLevel="0" collapsed="false">
      <c r="A294" s="13"/>
      <c r="B294" s="14"/>
      <c r="C294" s="15"/>
      <c r="D294" s="16"/>
      <c r="E294" s="13" t="str">
        <f aca="false">IF(D294="","",IFERROR(INDEX('Plan de Cuentas'!$B$5:$B$1241,MATCH(D294,'Plan de Cuentas'!$A$5:$A$1241,0)),"No encontrado"))</f>
        <v/>
      </c>
      <c r="F294" s="16"/>
      <c r="G294" s="13" t="str">
        <f aca="false">IF(F294="","",IFERROR(INDEX('Plan de Cuentas'!$B$5:$B$1241,MATCH(F294,'Plan de Cuentas'!$A$5:$A$1241,0)),"No encontrado"))</f>
        <v/>
      </c>
      <c r="H294" s="17"/>
      <c r="I294" s="13"/>
    </row>
    <row r="295" customFormat="false" ht="15" hidden="false" customHeight="true" outlineLevel="0" collapsed="false">
      <c r="A295" s="13"/>
      <c r="B295" s="14"/>
      <c r="C295" s="15"/>
      <c r="D295" s="16"/>
      <c r="E295" s="13" t="str">
        <f aca="false">IF(D295="","",IFERROR(INDEX('Plan de Cuentas'!$B$5:$B$1241,MATCH(D295,'Plan de Cuentas'!$A$5:$A$1241,0)),"No encontrado"))</f>
        <v/>
      </c>
      <c r="F295" s="16"/>
      <c r="G295" s="13" t="str">
        <f aca="false">IF(F295="","",IFERROR(INDEX('Plan de Cuentas'!$B$5:$B$1241,MATCH(F295,'Plan de Cuentas'!$A$5:$A$1241,0)),"No encontrado"))</f>
        <v/>
      </c>
      <c r="H295" s="17"/>
      <c r="I295" s="13"/>
    </row>
    <row r="296" customFormat="false" ht="15" hidden="false" customHeight="true" outlineLevel="0" collapsed="false">
      <c r="A296" s="13"/>
      <c r="B296" s="14"/>
      <c r="C296" s="15"/>
      <c r="D296" s="16"/>
      <c r="E296" s="13" t="str">
        <f aca="false">IF(D296="","",IFERROR(INDEX('Plan de Cuentas'!$B$5:$B$1241,MATCH(D296,'Plan de Cuentas'!$A$5:$A$1241,0)),"No encontrado"))</f>
        <v/>
      </c>
      <c r="F296" s="16"/>
      <c r="G296" s="13" t="str">
        <f aca="false">IF(F296="","",IFERROR(INDEX('Plan de Cuentas'!$B$5:$B$1241,MATCH(F296,'Plan de Cuentas'!$A$5:$A$1241,0)),"No encontrado"))</f>
        <v/>
      </c>
      <c r="H296" s="17"/>
      <c r="I296" s="13"/>
    </row>
    <row r="297" customFormat="false" ht="15" hidden="false" customHeight="true" outlineLevel="0" collapsed="false">
      <c r="A297" s="13"/>
      <c r="B297" s="14"/>
      <c r="C297" s="15"/>
      <c r="D297" s="16"/>
      <c r="E297" s="13" t="str">
        <f aca="false">IF(D297="","",IFERROR(INDEX('Plan de Cuentas'!$B$5:$B$1241,MATCH(D297,'Plan de Cuentas'!$A$5:$A$1241,0)),"No encontrado"))</f>
        <v/>
      </c>
      <c r="F297" s="16"/>
      <c r="G297" s="13" t="str">
        <f aca="false">IF(F297="","",IFERROR(INDEX('Plan de Cuentas'!$B$5:$B$1241,MATCH(F297,'Plan de Cuentas'!$A$5:$A$1241,0)),"No encontrado"))</f>
        <v/>
      </c>
      <c r="H297" s="17"/>
      <c r="I297" s="13"/>
    </row>
    <row r="298" customFormat="false" ht="15" hidden="false" customHeight="true" outlineLevel="0" collapsed="false">
      <c r="A298" s="13"/>
      <c r="B298" s="14"/>
      <c r="C298" s="15"/>
      <c r="D298" s="16"/>
      <c r="E298" s="13" t="str">
        <f aca="false">IF(D298="","",IFERROR(INDEX('Plan de Cuentas'!$B$5:$B$1241,MATCH(D298,'Plan de Cuentas'!$A$5:$A$1241,0)),"No encontrado"))</f>
        <v/>
      </c>
      <c r="F298" s="16"/>
      <c r="G298" s="13" t="str">
        <f aca="false">IF(F298="","",IFERROR(INDEX('Plan de Cuentas'!$B$5:$B$1241,MATCH(F298,'Plan de Cuentas'!$A$5:$A$1241,0)),"No encontrado"))</f>
        <v/>
      </c>
      <c r="H298" s="17"/>
      <c r="I298" s="13"/>
    </row>
    <row r="299" customFormat="false" ht="15" hidden="false" customHeight="true" outlineLevel="0" collapsed="false">
      <c r="A299" s="13"/>
      <c r="B299" s="14"/>
      <c r="C299" s="15"/>
      <c r="D299" s="16"/>
      <c r="E299" s="13" t="str">
        <f aca="false">IF(D299="","",IFERROR(INDEX('Plan de Cuentas'!$B$5:$B$1241,MATCH(D299,'Plan de Cuentas'!$A$5:$A$1241,0)),"No encontrado"))</f>
        <v/>
      </c>
      <c r="F299" s="16"/>
      <c r="G299" s="13" t="str">
        <f aca="false">IF(F299="","",IFERROR(INDEX('Plan de Cuentas'!$B$5:$B$1241,MATCH(F299,'Plan de Cuentas'!$A$5:$A$1241,0)),"No encontrado"))</f>
        <v/>
      </c>
      <c r="H299" s="17"/>
      <c r="I299" s="13"/>
    </row>
    <row r="300" customFormat="false" ht="15" hidden="false" customHeight="true" outlineLevel="0" collapsed="false">
      <c r="A300" s="13"/>
      <c r="B300" s="14"/>
      <c r="C300" s="15"/>
      <c r="D300" s="16"/>
      <c r="E300" s="13" t="str">
        <f aca="false">IF(D300="","",IFERROR(INDEX('Plan de Cuentas'!$B$5:$B$1241,MATCH(D300,'Plan de Cuentas'!$A$5:$A$1241,0)),"No encontrado"))</f>
        <v/>
      </c>
      <c r="F300" s="16"/>
      <c r="G300" s="13" t="str">
        <f aca="false">IF(F300="","",IFERROR(INDEX('Plan de Cuentas'!$B$5:$B$1241,MATCH(F300,'Plan de Cuentas'!$A$5:$A$1241,0)),"No encontrado"))</f>
        <v/>
      </c>
      <c r="H300" s="17"/>
      <c r="I300" s="13"/>
    </row>
    <row r="301" customFormat="false" ht="15" hidden="false" customHeight="true" outlineLevel="0" collapsed="false">
      <c r="A301" s="13"/>
      <c r="B301" s="14"/>
      <c r="C301" s="15"/>
      <c r="D301" s="16"/>
      <c r="E301" s="13" t="str">
        <f aca="false">IF(D301="","",IFERROR(INDEX('Plan de Cuentas'!$B$5:$B$1241,MATCH(D301,'Plan de Cuentas'!$A$5:$A$1241,0)),"No encontrado"))</f>
        <v/>
      </c>
      <c r="F301" s="16"/>
      <c r="G301" s="13" t="str">
        <f aca="false">IF(F301="","",IFERROR(INDEX('Plan de Cuentas'!$B$5:$B$1241,MATCH(F301,'Plan de Cuentas'!$A$5:$A$1241,0)),"No encontrado"))</f>
        <v/>
      </c>
      <c r="H301" s="17"/>
      <c r="I301" s="13"/>
    </row>
    <row r="302" customFormat="false" ht="15" hidden="false" customHeight="true" outlineLevel="0" collapsed="false">
      <c r="A302" s="13"/>
      <c r="B302" s="14"/>
      <c r="C302" s="15"/>
      <c r="D302" s="16"/>
      <c r="E302" s="13" t="str">
        <f aca="false">IF(D302="","",IFERROR(INDEX('Plan de Cuentas'!$B$5:$B$1241,MATCH(D302,'Plan de Cuentas'!$A$5:$A$1241,0)),"No encontrado"))</f>
        <v/>
      </c>
      <c r="F302" s="16"/>
      <c r="G302" s="13" t="str">
        <f aca="false">IF(F302="","",IFERROR(INDEX('Plan de Cuentas'!$B$5:$B$1241,MATCH(F302,'Plan de Cuentas'!$A$5:$A$1241,0)),"No encontrado"))</f>
        <v/>
      </c>
      <c r="H302" s="17"/>
      <c r="I302" s="13"/>
    </row>
    <row r="303" customFormat="false" ht="15" hidden="false" customHeight="true" outlineLevel="0" collapsed="false">
      <c r="A303" s="13"/>
      <c r="B303" s="14"/>
      <c r="C303" s="15"/>
      <c r="D303" s="16"/>
      <c r="E303" s="13" t="str">
        <f aca="false">IF(D303="","",IFERROR(INDEX('Plan de Cuentas'!$B$5:$B$1241,MATCH(D303,'Plan de Cuentas'!$A$5:$A$1241,0)),"No encontrado"))</f>
        <v/>
      </c>
      <c r="F303" s="16"/>
      <c r="G303" s="13" t="str">
        <f aca="false">IF(F303="","",IFERROR(INDEX('Plan de Cuentas'!$B$5:$B$1241,MATCH(F303,'Plan de Cuentas'!$A$5:$A$1241,0)),"No encontrado"))</f>
        <v/>
      </c>
      <c r="H303" s="17"/>
      <c r="I303" s="13"/>
    </row>
    <row r="304" customFormat="false" ht="15" hidden="false" customHeight="true" outlineLevel="0" collapsed="false">
      <c r="A304" s="13"/>
      <c r="B304" s="14"/>
      <c r="C304" s="15"/>
      <c r="D304" s="16"/>
      <c r="E304" s="13" t="str">
        <f aca="false">IF(D304="","",IFERROR(INDEX('Plan de Cuentas'!$B$5:$B$1241,MATCH(D304,'Plan de Cuentas'!$A$5:$A$1241,0)),"No encontrado"))</f>
        <v/>
      </c>
      <c r="F304" s="16"/>
      <c r="G304" s="13" t="str">
        <f aca="false">IF(F304="","",IFERROR(INDEX('Plan de Cuentas'!$B$5:$B$1241,MATCH(F304,'Plan de Cuentas'!$A$5:$A$1241,0)),"No encontrado"))</f>
        <v/>
      </c>
      <c r="H304" s="17"/>
      <c r="I304" s="13"/>
    </row>
    <row r="305" customFormat="false" ht="15" hidden="false" customHeight="true" outlineLevel="0" collapsed="false">
      <c r="A305" s="13"/>
      <c r="B305" s="14"/>
      <c r="C305" s="15"/>
      <c r="D305" s="16"/>
      <c r="E305" s="13" t="str">
        <f aca="false">IF(D305="","",IFERROR(INDEX('Plan de Cuentas'!$B$5:$B$1241,MATCH(D305,'Plan de Cuentas'!$A$5:$A$1241,0)),"No encontrado"))</f>
        <v/>
      </c>
      <c r="F305" s="16"/>
      <c r="G305" s="13" t="str">
        <f aca="false">IF(F305="","",IFERROR(INDEX('Plan de Cuentas'!$B$5:$B$1241,MATCH(F305,'Plan de Cuentas'!$A$5:$A$1241,0)),"No encontrado"))</f>
        <v/>
      </c>
      <c r="H305" s="17"/>
      <c r="I305" s="13"/>
    </row>
    <row r="306" customFormat="false" ht="15" hidden="false" customHeight="true" outlineLevel="0" collapsed="false">
      <c r="A306" s="13"/>
      <c r="B306" s="14"/>
      <c r="C306" s="15"/>
      <c r="D306" s="16"/>
      <c r="E306" s="13" t="str">
        <f aca="false">IF(D306="","",IFERROR(INDEX('Plan de Cuentas'!$B$5:$B$1241,MATCH(D306,'Plan de Cuentas'!$A$5:$A$1241,0)),"No encontrado"))</f>
        <v/>
      </c>
      <c r="F306" s="16"/>
      <c r="G306" s="13" t="str">
        <f aca="false">IF(F306="","",IFERROR(INDEX('Plan de Cuentas'!$B$5:$B$1241,MATCH(F306,'Plan de Cuentas'!$A$5:$A$1241,0)),"No encontrado"))</f>
        <v/>
      </c>
      <c r="H306" s="17"/>
      <c r="I306" s="13"/>
    </row>
    <row r="307" customFormat="false" ht="15" hidden="false" customHeight="true" outlineLevel="0" collapsed="false">
      <c r="A307" s="13"/>
      <c r="B307" s="14"/>
      <c r="C307" s="15"/>
      <c r="D307" s="16"/>
      <c r="E307" s="13" t="str">
        <f aca="false">IF(D307="","",IFERROR(INDEX('Plan de Cuentas'!$B$5:$B$1241,MATCH(D307,'Plan de Cuentas'!$A$5:$A$1241,0)),"No encontrado"))</f>
        <v/>
      </c>
      <c r="F307" s="16"/>
      <c r="G307" s="13" t="str">
        <f aca="false">IF(F307="","",IFERROR(INDEX('Plan de Cuentas'!$B$5:$B$1241,MATCH(F307,'Plan de Cuentas'!$A$5:$A$1241,0)),"No encontrado"))</f>
        <v/>
      </c>
      <c r="H307" s="17"/>
      <c r="I307" s="13"/>
    </row>
    <row r="308" customFormat="false" ht="15" hidden="false" customHeight="true" outlineLevel="0" collapsed="false">
      <c r="A308" s="13"/>
      <c r="B308" s="14"/>
      <c r="C308" s="15"/>
      <c r="D308" s="16"/>
      <c r="E308" s="13" t="str">
        <f aca="false">IF(D308="","",IFERROR(INDEX('Plan de Cuentas'!$B$5:$B$1241,MATCH(D308,'Plan de Cuentas'!$A$5:$A$1241,0)),"No encontrado"))</f>
        <v/>
      </c>
      <c r="F308" s="16"/>
      <c r="G308" s="13" t="str">
        <f aca="false">IF(F308="","",IFERROR(INDEX('Plan de Cuentas'!$B$5:$B$1241,MATCH(F308,'Plan de Cuentas'!$A$5:$A$1241,0)),"No encontrado"))</f>
        <v/>
      </c>
      <c r="H308" s="17"/>
      <c r="I308" s="13"/>
    </row>
    <row r="309" customFormat="false" ht="15" hidden="false" customHeight="true" outlineLevel="0" collapsed="false">
      <c r="A309" s="13"/>
      <c r="B309" s="14"/>
      <c r="C309" s="15"/>
      <c r="D309" s="16"/>
      <c r="E309" s="13" t="str">
        <f aca="false">IF(D309="","",IFERROR(INDEX('Plan de Cuentas'!$B$5:$B$1241,MATCH(D309,'Plan de Cuentas'!$A$5:$A$1241,0)),"No encontrado"))</f>
        <v/>
      </c>
      <c r="F309" s="16"/>
      <c r="G309" s="13" t="str">
        <f aca="false">IF(F309="","",IFERROR(INDEX('Plan de Cuentas'!$B$5:$B$1241,MATCH(F309,'Plan de Cuentas'!$A$5:$A$1241,0)),"No encontrado"))</f>
        <v/>
      </c>
      <c r="H309" s="17"/>
      <c r="I309" s="13"/>
    </row>
    <row r="310" customFormat="false" ht="15" hidden="false" customHeight="true" outlineLevel="0" collapsed="false">
      <c r="A310" s="13"/>
      <c r="B310" s="14"/>
      <c r="C310" s="15"/>
      <c r="D310" s="16"/>
      <c r="E310" s="13" t="str">
        <f aca="false">IF(D310="","",IFERROR(INDEX('Plan de Cuentas'!$B$5:$B$1241,MATCH(D310,'Plan de Cuentas'!$A$5:$A$1241,0)),"No encontrado"))</f>
        <v/>
      </c>
      <c r="F310" s="16"/>
      <c r="G310" s="13" t="str">
        <f aca="false">IF(F310="","",IFERROR(INDEX('Plan de Cuentas'!$B$5:$B$1241,MATCH(F310,'Plan de Cuentas'!$A$5:$A$1241,0)),"No encontrado"))</f>
        <v/>
      </c>
      <c r="H310" s="17"/>
      <c r="I310" s="13"/>
    </row>
    <row r="311" customFormat="false" ht="15" hidden="false" customHeight="true" outlineLevel="0" collapsed="false">
      <c r="A311" s="13"/>
      <c r="B311" s="14"/>
      <c r="C311" s="15"/>
      <c r="D311" s="16"/>
      <c r="E311" s="13" t="str">
        <f aca="false">IF(D311="","",IFERROR(INDEX('Plan de Cuentas'!$B$5:$B$1241,MATCH(D311,'Plan de Cuentas'!$A$5:$A$1241,0)),"No encontrado"))</f>
        <v/>
      </c>
      <c r="F311" s="16"/>
      <c r="G311" s="13" t="str">
        <f aca="false">IF(F311="","",IFERROR(INDEX('Plan de Cuentas'!$B$5:$B$1241,MATCH(F311,'Plan de Cuentas'!$A$5:$A$1241,0)),"No encontrado"))</f>
        <v/>
      </c>
      <c r="H311" s="17"/>
      <c r="I311" s="13"/>
    </row>
    <row r="312" customFormat="false" ht="15" hidden="false" customHeight="true" outlineLevel="0" collapsed="false">
      <c r="A312" s="13"/>
      <c r="B312" s="14"/>
      <c r="C312" s="15"/>
      <c r="D312" s="16"/>
      <c r="E312" s="13" t="str">
        <f aca="false">IF(D312="","",IFERROR(INDEX('Plan de Cuentas'!$B$5:$B$1241,MATCH(D312,'Plan de Cuentas'!$A$5:$A$1241,0)),"No encontrado"))</f>
        <v/>
      </c>
      <c r="F312" s="16"/>
      <c r="G312" s="13" t="str">
        <f aca="false">IF(F312="","",IFERROR(INDEX('Plan de Cuentas'!$B$5:$B$1241,MATCH(F312,'Plan de Cuentas'!$A$5:$A$1241,0)),"No encontrado"))</f>
        <v/>
      </c>
      <c r="H312" s="17"/>
      <c r="I312" s="13"/>
    </row>
    <row r="313" customFormat="false" ht="15" hidden="false" customHeight="true" outlineLevel="0" collapsed="false">
      <c r="A313" s="13"/>
      <c r="B313" s="14"/>
      <c r="C313" s="15"/>
      <c r="D313" s="16"/>
      <c r="E313" s="13" t="str">
        <f aca="false">IF(D313="","",IFERROR(INDEX('Plan de Cuentas'!$B$5:$B$1241,MATCH(D313,'Plan de Cuentas'!$A$5:$A$1241,0)),"No encontrado"))</f>
        <v/>
      </c>
      <c r="F313" s="16"/>
      <c r="G313" s="13" t="str">
        <f aca="false">IF(F313="","",IFERROR(INDEX('Plan de Cuentas'!$B$5:$B$1241,MATCH(F313,'Plan de Cuentas'!$A$5:$A$1241,0)),"No encontrado"))</f>
        <v/>
      </c>
      <c r="H313" s="17"/>
      <c r="I313" s="13"/>
    </row>
    <row r="314" customFormat="false" ht="15" hidden="false" customHeight="true" outlineLevel="0" collapsed="false">
      <c r="A314" s="13"/>
      <c r="B314" s="14"/>
      <c r="C314" s="15"/>
      <c r="D314" s="16"/>
      <c r="E314" s="13" t="str">
        <f aca="false">IF(D314="","",IFERROR(INDEX('Plan de Cuentas'!$B$5:$B$1241,MATCH(D314,'Plan de Cuentas'!$A$5:$A$1241,0)),"No encontrado"))</f>
        <v/>
      </c>
      <c r="F314" s="16"/>
      <c r="G314" s="13" t="str">
        <f aca="false">IF(F314="","",IFERROR(INDEX('Plan de Cuentas'!$B$5:$B$1241,MATCH(F314,'Plan de Cuentas'!$A$5:$A$1241,0)),"No encontrado"))</f>
        <v/>
      </c>
      <c r="H314" s="17"/>
      <c r="I314" s="13"/>
    </row>
    <row r="315" customFormat="false" ht="15" hidden="false" customHeight="true" outlineLevel="0" collapsed="false">
      <c r="A315" s="13"/>
      <c r="B315" s="14"/>
      <c r="C315" s="15"/>
      <c r="D315" s="16"/>
      <c r="E315" s="13" t="str">
        <f aca="false">IF(D315="","",IFERROR(INDEX('Plan de Cuentas'!$B$5:$B$1241,MATCH(D315,'Plan de Cuentas'!$A$5:$A$1241,0)),"No encontrado"))</f>
        <v/>
      </c>
      <c r="F315" s="16"/>
      <c r="G315" s="13" t="str">
        <f aca="false">IF(F315="","",IFERROR(INDEX('Plan de Cuentas'!$B$5:$B$1241,MATCH(F315,'Plan de Cuentas'!$A$5:$A$1241,0)),"No encontrado"))</f>
        <v/>
      </c>
      <c r="H315" s="17"/>
      <c r="I315" s="13"/>
    </row>
    <row r="316" customFormat="false" ht="15" hidden="false" customHeight="true" outlineLevel="0" collapsed="false">
      <c r="A316" s="13"/>
      <c r="B316" s="14"/>
      <c r="C316" s="15"/>
      <c r="D316" s="16"/>
      <c r="E316" s="13" t="str">
        <f aca="false">IF(D316="","",IFERROR(INDEX('Plan de Cuentas'!$B$5:$B$1241,MATCH(D316,'Plan de Cuentas'!$A$5:$A$1241,0)),"No encontrado"))</f>
        <v/>
      </c>
      <c r="F316" s="16"/>
      <c r="G316" s="13" t="str">
        <f aca="false">IF(F316="","",IFERROR(INDEX('Plan de Cuentas'!$B$5:$B$1241,MATCH(F316,'Plan de Cuentas'!$A$5:$A$1241,0)),"No encontrado"))</f>
        <v/>
      </c>
      <c r="H316" s="17"/>
      <c r="I316" s="13"/>
    </row>
    <row r="317" customFormat="false" ht="15" hidden="false" customHeight="true" outlineLevel="0" collapsed="false">
      <c r="A317" s="13"/>
      <c r="B317" s="14"/>
      <c r="C317" s="15"/>
      <c r="D317" s="16"/>
      <c r="E317" s="13" t="str">
        <f aca="false">IF(D317="","",IFERROR(INDEX('Plan de Cuentas'!$B$5:$B$1241,MATCH(D317,'Plan de Cuentas'!$A$5:$A$1241,0)),"No encontrado"))</f>
        <v/>
      </c>
      <c r="F317" s="16"/>
      <c r="G317" s="13" t="str">
        <f aca="false">IF(F317="","",IFERROR(INDEX('Plan de Cuentas'!$B$5:$B$1241,MATCH(F317,'Plan de Cuentas'!$A$5:$A$1241,0)),"No encontrado"))</f>
        <v/>
      </c>
      <c r="H317" s="17"/>
      <c r="I317" s="13"/>
    </row>
    <row r="318" customFormat="false" ht="15" hidden="false" customHeight="true" outlineLevel="0" collapsed="false">
      <c r="A318" s="13"/>
      <c r="B318" s="14"/>
      <c r="C318" s="15"/>
      <c r="D318" s="16"/>
      <c r="E318" s="13" t="str">
        <f aca="false">IF(D318="","",IFERROR(INDEX('Plan de Cuentas'!$B$5:$B$1241,MATCH(D318,'Plan de Cuentas'!$A$5:$A$1241,0)),"No encontrado"))</f>
        <v/>
      </c>
      <c r="F318" s="16"/>
      <c r="G318" s="13" t="str">
        <f aca="false">IF(F318="","",IFERROR(INDEX('Plan de Cuentas'!$B$5:$B$1241,MATCH(F318,'Plan de Cuentas'!$A$5:$A$1241,0)),"No encontrado"))</f>
        <v/>
      </c>
      <c r="H318" s="17"/>
      <c r="I318" s="13"/>
    </row>
    <row r="319" customFormat="false" ht="15" hidden="false" customHeight="true" outlineLevel="0" collapsed="false">
      <c r="A319" s="13"/>
      <c r="B319" s="14"/>
      <c r="C319" s="15"/>
      <c r="D319" s="16"/>
      <c r="E319" s="13" t="str">
        <f aca="false">IF(D319="","",IFERROR(INDEX('Plan de Cuentas'!$B$5:$B$1241,MATCH(D319,'Plan de Cuentas'!$A$5:$A$1241,0)),"No encontrado"))</f>
        <v/>
      </c>
      <c r="F319" s="16"/>
      <c r="G319" s="13" t="str">
        <f aca="false">IF(F319="","",IFERROR(INDEX('Plan de Cuentas'!$B$5:$B$1241,MATCH(F319,'Plan de Cuentas'!$A$5:$A$1241,0)),"No encontrado"))</f>
        <v/>
      </c>
      <c r="H319" s="17"/>
      <c r="I319" s="13"/>
    </row>
    <row r="320" customFormat="false" ht="15" hidden="false" customHeight="true" outlineLevel="0" collapsed="false">
      <c r="A320" s="13"/>
      <c r="B320" s="14"/>
      <c r="C320" s="15"/>
      <c r="D320" s="16"/>
      <c r="E320" s="13" t="str">
        <f aca="false">IF(D320="","",IFERROR(INDEX('Plan de Cuentas'!$B$5:$B$1241,MATCH(D320,'Plan de Cuentas'!$A$5:$A$1241,0)),"No encontrado"))</f>
        <v/>
      </c>
      <c r="F320" s="16"/>
      <c r="G320" s="13" t="str">
        <f aca="false">IF(F320="","",IFERROR(INDEX('Plan de Cuentas'!$B$5:$B$1241,MATCH(F320,'Plan de Cuentas'!$A$5:$A$1241,0)),"No encontrado"))</f>
        <v/>
      </c>
      <c r="H320" s="17"/>
      <c r="I320" s="13"/>
    </row>
    <row r="321" customFormat="false" ht="15" hidden="false" customHeight="true" outlineLevel="0" collapsed="false">
      <c r="A321" s="13"/>
      <c r="B321" s="14"/>
      <c r="C321" s="15"/>
      <c r="D321" s="16"/>
      <c r="E321" s="13" t="str">
        <f aca="false">IF(D321="","",IFERROR(INDEX('Plan de Cuentas'!$B$5:$B$1241,MATCH(D321,'Plan de Cuentas'!$A$5:$A$1241,0)),"No encontrado"))</f>
        <v/>
      </c>
      <c r="F321" s="16"/>
      <c r="G321" s="13" t="str">
        <f aca="false">IF(F321="","",IFERROR(INDEX('Plan de Cuentas'!$B$5:$B$1241,MATCH(F321,'Plan de Cuentas'!$A$5:$A$1241,0)),"No encontrado"))</f>
        <v/>
      </c>
      <c r="H321" s="17"/>
      <c r="I321" s="13"/>
    </row>
    <row r="322" customFormat="false" ht="15" hidden="false" customHeight="true" outlineLevel="0" collapsed="false">
      <c r="A322" s="13"/>
      <c r="B322" s="14"/>
      <c r="C322" s="15"/>
      <c r="D322" s="16"/>
      <c r="E322" s="13" t="str">
        <f aca="false">IF(D322="","",IFERROR(INDEX('Plan de Cuentas'!$B$5:$B$1241,MATCH(D322,'Plan de Cuentas'!$A$5:$A$1241,0)),"No encontrado"))</f>
        <v/>
      </c>
      <c r="F322" s="16"/>
      <c r="G322" s="13" t="str">
        <f aca="false">IF(F322="","",IFERROR(INDEX('Plan de Cuentas'!$B$5:$B$1241,MATCH(F322,'Plan de Cuentas'!$A$5:$A$1241,0)),"No encontrado"))</f>
        <v/>
      </c>
      <c r="H322" s="17"/>
      <c r="I322" s="13"/>
    </row>
    <row r="323" customFormat="false" ht="15" hidden="false" customHeight="true" outlineLevel="0" collapsed="false">
      <c r="A323" s="13"/>
      <c r="B323" s="14"/>
      <c r="C323" s="15"/>
      <c r="D323" s="16"/>
      <c r="E323" s="13" t="str">
        <f aca="false">IF(D323="","",IFERROR(INDEX('Plan de Cuentas'!$B$5:$B$1241,MATCH(D323,'Plan de Cuentas'!$A$5:$A$1241,0)),"No encontrado"))</f>
        <v/>
      </c>
      <c r="F323" s="16"/>
      <c r="G323" s="13" t="str">
        <f aca="false">IF(F323="","",IFERROR(INDEX('Plan de Cuentas'!$B$5:$B$1241,MATCH(F323,'Plan de Cuentas'!$A$5:$A$1241,0)),"No encontrado"))</f>
        <v/>
      </c>
      <c r="H323" s="17"/>
      <c r="I323" s="13"/>
    </row>
    <row r="324" customFormat="false" ht="15" hidden="false" customHeight="true" outlineLevel="0" collapsed="false">
      <c r="A324" s="13"/>
      <c r="B324" s="14"/>
      <c r="C324" s="15"/>
      <c r="D324" s="16"/>
      <c r="E324" s="13" t="str">
        <f aca="false">IF(D324="","",IFERROR(INDEX('Plan de Cuentas'!$B$5:$B$1241,MATCH(D324,'Plan de Cuentas'!$A$5:$A$1241,0)),"No encontrado"))</f>
        <v/>
      </c>
      <c r="F324" s="16"/>
      <c r="G324" s="13" t="str">
        <f aca="false">IF(F324="","",IFERROR(INDEX('Plan de Cuentas'!$B$5:$B$1241,MATCH(F324,'Plan de Cuentas'!$A$5:$A$1241,0)),"No encontrado"))</f>
        <v/>
      </c>
      <c r="H324" s="17"/>
      <c r="I324" s="13"/>
    </row>
    <row r="325" customFormat="false" ht="15" hidden="false" customHeight="true" outlineLevel="0" collapsed="false">
      <c r="A325" s="13"/>
      <c r="B325" s="14"/>
      <c r="C325" s="15"/>
      <c r="D325" s="16"/>
      <c r="E325" s="13" t="str">
        <f aca="false">IF(D325="","",IFERROR(INDEX('Plan de Cuentas'!$B$5:$B$1241,MATCH(D325,'Plan de Cuentas'!$A$5:$A$1241,0)),"No encontrado"))</f>
        <v/>
      </c>
      <c r="F325" s="16"/>
      <c r="G325" s="13" t="str">
        <f aca="false">IF(F325="","",IFERROR(INDEX('Plan de Cuentas'!$B$5:$B$1241,MATCH(F325,'Plan de Cuentas'!$A$5:$A$1241,0)),"No encontrado"))</f>
        <v/>
      </c>
      <c r="H325" s="17"/>
      <c r="I325" s="13"/>
    </row>
    <row r="326" customFormat="false" ht="15" hidden="false" customHeight="true" outlineLevel="0" collapsed="false">
      <c r="A326" s="13"/>
      <c r="B326" s="14"/>
      <c r="C326" s="15"/>
      <c r="D326" s="16"/>
      <c r="E326" s="13" t="str">
        <f aca="false">IF(D326="","",IFERROR(INDEX('Plan de Cuentas'!$B$5:$B$1241,MATCH(D326,'Plan de Cuentas'!$A$5:$A$1241,0)),"No encontrado"))</f>
        <v/>
      </c>
      <c r="F326" s="16"/>
      <c r="G326" s="13" t="str">
        <f aca="false">IF(F326="","",IFERROR(INDEX('Plan de Cuentas'!$B$5:$B$1241,MATCH(F326,'Plan de Cuentas'!$A$5:$A$1241,0)),"No encontrado"))</f>
        <v/>
      </c>
      <c r="H326" s="17"/>
      <c r="I326" s="13"/>
    </row>
    <row r="327" customFormat="false" ht="15" hidden="false" customHeight="true" outlineLevel="0" collapsed="false">
      <c r="A327" s="13"/>
      <c r="B327" s="14"/>
      <c r="C327" s="15"/>
      <c r="D327" s="16"/>
      <c r="E327" s="13" t="str">
        <f aca="false">IF(D327="","",IFERROR(INDEX('Plan de Cuentas'!$B$5:$B$1241,MATCH(D327,'Plan de Cuentas'!$A$5:$A$1241,0)),"No encontrado"))</f>
        <v/>
      </c>
      <c r="F327" s="16"/>
      <c r="G327" s="13" t="str">
        <f aca="false">IF(F327="","",IFERROR(INDEX('Plan de Cuentas'!$B$5:$B$1241,MATCH(F327,'Plan de Cuentas'!$A$5:$A$1241,0)),"No encontrado"))</f>
        <v/>
      </c>
      <c r="H327" s="17"/>
      <c r="I327" s="13"/>
    </row>
    <row r="328" customFormat="false" ht="15" hidden="false" customHeight="true" outlineLevel="0" collapsed="false">
      <c r="A328" s="13"/>
      <c r="B328" s="14"/>
      <c r="C328" s="15"/>
      <c r="D328" s="16"/>
      <c r="E328" s="13" t="str">
        <f aca="false">IF(D328="","",IFERROR(INDEX('Plan de Cuentas'!$B$5:$B$1241,MATCH(D328,'Plan de Cuentas'!$A$5:$A$1241,0)),"No encontrado"))</f>
        <v/>
      </c>
      <c r="F328" s="16"/>
      <c r="G328" s="13" t="str">
        <f aca="false">IF(F328="","",IFERROR(INDEX('Plan de Cuentas'!$B$5:$B$1241,MATCH(F328,'Plan de Cuentas'!$A$5:$A$1241,0)),"No encontrado"))</f>
        <v/>
      </c>
      <c r="H328" s="17"/>
      <c r="I328" s="13"/>
    </row>
    <row r="329" customFormat="false" ht="15" hidden="false" customHeight="true" outlineLevel="0" collapsed="false">
      <c r="A329" s="13"/>
      <c r="B329" s="14"/>
      <c r="C329" s="15"/>
      <c r="D329" s="16"/>
      <c r="E329" s="13" t="str">
        <f aca="false">IF(D329="","",IFERROR(INDEX('Plan de Cuentas'!$B$5:$B$1241,MATCH(D329,'Plan de Cuentas'!$A$5:$A$1241,0)),"No encontrado"))</f>
        <v/>
      </c>
      <c r="F329" s="16"/>
      <c r="G329" s="13" t="str">
        <f aca="false">IF(F329="","",IFERROR(INDEX('Plan de Cuentas'!$B$5:$B$1241,MATCH(F329,'Plan de Cuentas'!$A$5:$A$1241,0)),"No encontrado"))</f>
        <v/>
      </c>
      <c r="H329" s="17"/>
      <c r="I329" s="13"/>
    </row>
    <row r="330" customFormat="false" ht="15" hidden="false" customHeight="true" outlineLevel="0" collapsed="false">
      <c r="A330" s="13"/>
      <c r="B330" s="14"/>
      <c r="C330" s="15"/>
      <c r="D330" s="16"/>
      <c r="E330" s="13" t="str">
        <f aca="false">IF(D330="","",IFERROR(INDEX('Plan de Cuentas'!$B$5:$B$1241,MATCH(D330,'Plan de Cuentas'!$A$5:$A$1241,0)),"No encontrado"))</f>
        <v/>
      </c>
      <c r="F330" s="16"/>
      <c r="G330" s="13" t="str">
        <f aca="false">IF(F330="","",IFERROR(INDEX('Plan de Cuentas'!$B$5:$B$1241,MATCH(F330,'Plan de Cuentas'!$A$5:$A$1241,0)),"No encontrado"))</f>
        <v/>
      </c>
      <c r="H330" s="17"/>
      <c r="I330" s="13"/>
    </row>
    <row r="331" customFormat="false" ht="15" hidden="false" customHeight="true" outlineLevel="0" collapsed="false">
      <c r="A331" s="13"/>
      <c r="B331" s="14"/>
      <c r="C331" s="15"/>
      <c r="D331" s="16"/>
      <c r="E331" s="13" t="str">
        <f aca="false">IF(D331="","",IFERROR(INDEX('Plan de Cuentas'!$B$5:$B$1241,MATCH(D331,'Plan de Cuentas'!$A$5:$A$1241,0)),"No encontrado"))</f>
        <v/>
      </c>
      <c r="F331" s="16"/>
      <c r="G331" s="13" t="str">
        <f aca="false">IF(F331="","",IFERROR(INDEX('Plan de Cuentas'!$B$5:$B$1241,MATCH(F331,'Plan de Cuentas'!$A$5:$A$1241,0)),"No encontrado"))</f>
        <v/>
      </c>
      <c r="H331" s="17"/>
      <c r="I331" s="13"/>
    </row>
    <row r="332" customFormat="false" ht="15" hidden="false" customHeight="true" outlineLevel="0" collapsed="false">
      <c r="A332" s="13"/>
      <c r="B332" s="14"/>
      <c r="C332" s="15"/>
      <c r="D332" s="16"/>
      <c r="E332" s="13" t="str">
        <f aca="false">IF(D332="","",IFERROR(INDEX('Plan de Cuentas'!$B$5:$B$1241,MATCH(D332,'Plan de Cuentas'!$A$5:$A$1241,0)),"No encontrado"))</f>
        <v/>
      </c>
      <c r="F332" s="16"/>
      <c r="G332" s="13" t="str">
        <f aca="false">IF(F332="","",IFERROR(INDEX('Plan de Cuentas'!$B$5:$B$1241,MATCH(F332,'Plan de Cuentas'!$A$5:$A$1241,0)),"No encontrado"))</f>
        <v/>
      </c>
      <c r="H332" s="17"/>
      <c r="I332" s="13"/>
    </row>
    <row r="333" customFormat="false" ht="15" hidden="false" customHeight="true" outlineLevel="0" collapsed="false">
      <c r="A333" s="13"/>
      <c r="B333" s="14"/>
      <c r="C333" s="15"/>
      <c r="D333" s="16"/>
      <c r="E333" s="13" t="str">
        <f aca="false">IF(D333="","",IFERROR(INDEX('Plan de Cuentas'!$B$5:$B$1241,MATCH(D333,'Plan de Cuentas'!$A$5:$A$1241,0)),"No encontrado"))</f>
        <v/>
      </c>
      <c r="F333" s="16"/>
      <c r="G333" s="13" t="str">
        <f aca="false">IF(F333="","",IFERROR(INDEX('Plan de Cuentas'!$B$5:$B$1241,MATCH(F333,'Plan de Cuentas'!$A$5:$A$1241,0)),"No encontrado"))</f>
        <v/>
      </c>
      <c r="H333" s="17"/>
      <c r="I333" s="13"/>
    </row>
    <row r="334" customFormat="false" ht="15" hidden="false" customHeight="true" outlineLevel="0" collapsed="false">
      <c r="A334" s="13"/>
      <c r="B334" s="14"/>
      <c r="C334" s="15"/>
      <c r="D334" s="16"/>
      <c r="E334" s="13" t="str">
        <f aca="false">IF(D334="","",IFERROR(INDEX('Plan de Cuentas'!$B$5:$B$1241,MATCH(D334,'Plan de Cuentas'!$A$5:$A$1241,0)),"No encontrado"))</f>
        <v/>
      </c>
      <c r="F334" s="16"/>
      <c r="G334" s="13" t="str">
        <f aca="false">IF(F334="","",IFERROR(INDEX('Plan de Cuentas'!$B$5:$B$1241,MATCH(F334,'Plan de Cuentas'!$A$5:$A$1241,0)),"No encontrado"))</f>
        <v/>
      </c>
      <c r="H334" s="17"/>
      <c r="I334" s="13"/>
    </row>
    <row r="335" customFormat="false" ht="15" hidden="false" customHeight="true" outlineLevel="0" collapsed="false">
      <c r="A335" s="13"/>
      <c r="B335" s="14"/>
      <c r="C335" s="15"/>
      <c r="D335" s="16"/>
      <c r="E335" s="13" t="str">
        <f aca="false">IF(D335="","",IFERROR(INDEX('Plan de Cuentas'!$B$5:$B$1241,MATCH(D335,'Plan de Cuentas'!$A$5:$A$1241,0)),"No encontrado"))</f>
        <v/>
      </c>
      <c r="F335" s="16"/>
      <c r="G335" s="13" t="str">
        <f aca="false">IF(F335="","",IFERROR(INDEX('Plan de Cuentas'!$B$5:$B$1241,MATCH(F335,'Plan de Cuentas'!$A$5:$A$1241,0)),"No encontrado"))</f>
        <v/>
      </c>
      <c r="H335" s="17"/>
      <c r="I335" s="13"/>
    </row>
    <row r="336" customFormat="false" ht="15" hidden="false" customHeight="true" outlineLevel="0" collapsed="false">
      <c r="A336" s="13"/>
      <c r="B336" s="14"/>
      <c r="C336" s="15"/>
      <c r="D336" s="16"/>
      <c r="E336" s="13" t="str">
        <f aca="false">IF(D336="","",IFERROR(INDEX('Plan de Cuentas'!$B$5:$B$1241,MATCH(D336,'Plan de Cuentas'!$A$5:$A$1241,0)),"No encontrado"))</f>
        <v/>
      </c>
      <c r="F336" s="16"/>
      <c r="G336" s="13" t="str">
        <f aca="false">IF(F336="","",IFERROR(INDEX('Plan de Cuentas'!$B$5:$B$1241,MATCH(F336,'Plan de Cuentas'!$A$5:$A$1241,0)),"No encontrado"))</f>
        <v/>
      </c>
      <c r="H336" s="17"/>
      <c r="I336" s="13"/>
    </row>
    <row r="337" customFormat="false" ht="15" hidden="false" customHeight="true" outlineLevel="0" collapsed="false">
      <c r="A337" s="13"/>
      <c r="B337" s="14"/>
      <c r="C337" s="15"/>
      <c r="D337" s="16"/>
      <c r="E337" s="13" t="str">
        <f aca="false">IF(D337="","",IFERROR(INDEX('Plan de Cuentas'!$B$5:$B$1241,MATCH(D337,'Plan de Cuentas'!$A$5:$A$1241,0)),"No encontrado"))</f>
        <v/>
      </c>
      <c r="F337" s="16"/>
      <c r="G337" s="13" t="str">
        <f aca="false">IF(F337="","",IFERROR(INDEX('Plan de Cuentas'!$B$5:$B$1241,MATCH(F337,'Plan de Cuentas'!$A$5:$A$1241,0)),"No encontrado"))</f>
        <v/>
      </c>
      <c r="H337" s="17"/>
      <c r="I337" s="13"/>
    </row>
    <row r="338" customFormat="false" ht="15" hidden="false" customHeight="true" outlineLevel="0" collapsed="false">
      <c r="A338" s="13"/>
      <c r="B338" s="14"/>
      <c r="C338" s="15"/>
      <c r="D338" s="16"/>
      <c r="E338" s="13" t="str">
        <f aca="false">IF(D338="","",IFERROR(INDEX('Plan de Cuentas'!$B$5:$B$1241,MATCH(D338,'Plan de Cuentas'!$A$5:$A$1241,0)),"No encontrado"))</f>
        <v/>
      </c>
      <c r="F338" s="16"/>
      <c r="G338" s="13" t="str">
        <f aca="false">IF(F338="","",IFERROR(INDEX('Plan de Cuentas'!$B$5:$B$1241,MATCH(F338,'Plan de Cuentas'!$A$5:$A$1241,0)),"No encontrado"))</f>
        <v/>
      </c>
      <c r="H338" s="17"/>
      <c r="I338" s="13"/>
    </row>
    <row r="339" customFormat="false" ht="15" hidden="false" customHeight="true" outlineLevel="0" collapsed="false">
      <c r="A339" s="13"/>
      <c r="B339" s="14"/>
      <c r="C339" s="15"/>
      <c r="D339" s="16"/>
      <c r="E339" s="13" t="str">
        <f aca="false">IF(D339="","",IFERROR(INDEX('Plan de Cuentas'!$B$5:$B$1241,MATCH(D339,'Plan de Cuentas'!$A$5:$A$1241,0)),"No encontrado"))</f>
        <v/>
      </c>
      <c r="F339" s="16"/>
      <c r="G339" s="13" t="str">
        <f aca="false">IF(F339="","",IFERROR(INDEX('Plan de Cuentas'!$B$5:$B$1241,MATCH(F339,'Plan de Cuentas'!$A$5:$A$1241,0)),"No encontrado"))</f>
        <v/>
      </c>
      <c r="H339" s="17"/>
      <c r="I339" s="13"/>
    </row>
    <row r="340" customFormat="false" ht="15" hidden="false" customHeight="true" outlineLevel="0" collapsed="false">
      <c r="A340" s="13"/>
      <c r="B340" s="14"/>
      <c r="C340" s="15"/>
      <c r="D340" s="16"/>
      <c r="E340" s="13" t="str">
        <f aca="false">IF(D340="","",IFERROR(INDEX('Plan de Cuentas'!$B$5:$B$1241,MATCH(D340,'Plan de Cuentas'!$A$5:$A$1241,0)),"No encontrado"))</f>
        <v/>
      </c>
      <c r="F340" s="16"/>
      <c r="G340" s="13" t="str">
        <f aca="false">IF(F340="","",IFERROR(INDEX('Plan de Cuentas'!$B$5:$B$1241,MATCH(F340,'Plan de Cuentas'!$A$5:$A$1241,0)),"No encontrado"))</f>
        <v/>
      </c>
      <c r="H340" s="17"/>
      <c r="I340" s="13"/>
    </row>
    <row r="341" customFormat="false" ht="15" hidden="false" customHeight="true" outlineLevel="0" collapsed="false">
      <c r="A341" s="13"/>
      <c r="B341" s="14"/>
      <c r="C341" s="15"/>
      <c r="D341" s="16"/>
      <c r="E341" s="13" t="str">
        <f aca="false">IF(D341="","",IFERROR(INDEX('Plan de Cuentas'!$B$5:$B$1241,MATCH(D341,'Plan de Cuentas'!$A$5:$A$1241,0)),"No encontrado"))</f>
        <v/>
      </c>
      <c r="F341" s="16"/>
      <c r="G341" s="13" t="str">
        <f aca="false">IF(F341="","",IFERROR(INDEX('Plan de Cuentas'!$B$5:$B$1241,MATCH(F341,'Plan de Cuentas'!$A$5:$A$1241,0)),"No encontrado"))</f>
        <v/>
      </c>
      <c r="H341" s="17"/>
      <c r="I341" s="13"/>
    </row>
    <row r="342" customFormat="false" ht="15" hidden="false" customHeight="true" outlineLevel="0" collapsed="false">
      <c r="A342" s="13"/>
      <c r="B342" s="14"/>
      <c r="C342" s="15"/>
      <c r="D342" s="16"/>
      <c r="E342" s="13" t="str">
        <f aca="false">IF(D342="","",IFERROR(INDEX('Plan de Cuentas'!$B$5:$B$1241,MATCH(D342,'Plan de Cuentas'!$A$5:$A$1241,0)),"No encontrado"))</f>
        <v/>
      </c>
      <c r="F342" s="16"/>
      <c r="G342" s="13" t="str">
        <f aca="false">IF(F342="","",IFERROR(INDEX('Plan de Cuentas'!$B$5:$B$1241,MATCH(F342,'Plan de Cuentas'!$A$5:$A$1241,0)),"No encontrado"))</f>
        <v/>
      </c>
      <c r="H342" s="17"/>
      <c r="I342" s="13"/>
    </row>
    <row r="343" customFormat="false" ht="15" hidden="false" customHeight="true" outlineLevel="0" collapsed="false">
      <c r="A343" s="13"/>
      <c r="B343" s="14"/>
      <c r="C343" s="15"/>
      <c r="D343" s="16"/>
      <c r="E343" s="13" t="str">
        <f aca="false">IF(D343="","",IFERROR(INDEX('Plan de Cuentas'!$B$5:$B$1241,MATCH(D343,'Plan de Cuentas'!$A$5:$A$1241,0)),"No encontrado"))</f>
        <v/>
      </c>
      <c r="F343" s="16"/>
      <c r="G343" s="13" t="str">
        <f aca="false">IF(F343="","",IFERROR(INDEX('Plan de Cuentas'!$B$5:$B$1241,MATCH(F343,'Plan de Cuentas'!$A$5:$A$1241,0)),"No encontrado"))</f>
        <v/>
      </c>
      <c r="H343" s="17"/>
      <c r="I343" s="13"/>
    </row>
    <row r="344" customFormat="false" ht="15" hidden="false" customHeight="true" outlineLevel="0" collapsed="false">
      <c r="A344" s="13"/>
      <c r="B344" s="14"/>
      <c r="C344" s="15"/>
      <c r="D344" s="16"/>
      <c r="E344" s="13" t="str">
        <f aca="false">IF(D344="","",IFERROR(INDEX('Plan de Cuentas'!$B$5:$B$1241,MATCH(D344,'Plan de Cuentas'!$A$5:$A$1241,0)),"No encontrado"))</f>
        <v/>
      </c>
      <c r="F344" s="16"/>
      <c r="G344" s="13" t="str">
        <f aca="false">IF(F344="","",IFERROR(INDEX('Plan de Cuentas'!$B$5:$B$1241,MATCH(F344,'Plan de Cuentas'!$A$5:$A$1241,0)),"No encontrado"))</f>
        <v/>
      </c>
      <c r="H344" s="17"/>
      <c r="I344" s="13"/>
    </row>
    <row r="345" customFormat="false" ht="15" hidden="false" customHeight="true" outlineLevel="0" collapsed="false">
      <c r="A345" s="13"/>
      <c r="B345" s="14"/>
      <c r="C345" s="15"/>
      <c r="D345" s="16"/>
      <c r="E345" s="13" t="str">
        <f aca="false">IF(D345="","",IFERROR(INDEX('Plan de Cuentas'!$B$5:$B$1241,MATCH(D345,'Plan de Cuentas'!$A$5:$A$1241,0)),"No encontrado"))</f>
        <v/>
      </c>
      <c r="F345" s="16"/>
      <c r="G345" s="13" t="str">
        <f aca="false">IF(F345="","",IFERROR(INDEX('Plan de Cuentas'!$B$5:$B$1241,MATCH(F345,'Plan de Cuentas'!$A$5:$A$1241,0)),"No encontrado"))</f>
        <v/>
      </c>
      <c r="H345" s="17"/>
      <c r="I345" s="13"/>
    </row>
    <row r="346" customFormat="false" ht="15" hidden="false" customHeight="true" outlineLevel="0" collapsed="false">
      <c r="A346" s="13"/>
      <c r="B346" s="14"/>
      <c r="C346" s="15"/>
      <c r="D346" s="16"/>
      <c r="E346" s="13" t="str">
        <f aca="false">IF(D346="","",IFERROR(INDEX('Plan de Cuentas'!$B$5:$B$1241,MATCH(D346,'Plan de Cuentas'!$A$5:$A$1241,0)),"No encontrado"))</f>
        <v/>
      </c>
      <c r="F346" s="16"/>
      <c r="G346" s="13" t="str">
        <f aca="false">IF(F346="","",IFERROR(INDEX('Plan de Cuentas'!$B$5:$B$1241,MATCH(F346,'Plan de Cuentas'!$A$5:$A$1241,0)),"No encontrado"))</f>
        <v/>
      </c>
      <c r="H346" s="17"/>
      <c r="I346" s="13"/>
    </row>
    <row r="347" customFormat="false" ht="15" hidden="false" customHeight="true" outlineLevel="0" collapsed="false">
      <c r="A347" s="13"/>
      <c r="B347" s="14"/>
      <c r="C347" s="15"/>
      <c r="D347" s="16"/>
      <c r="E347" s="13" t="str">
        <f aca="false">IF(D347="","",IFERROR(INDEX('Plan de Cuentas'!$B$5:$B$1241,MATCH(D347,'Plan de Cuentas'!$A$5:$A$1241,0)),"No encontrado"))</f>
        <v/>
      </c>
      <c r="F347" s="16"/>
      <c r="G347" s="13" t="str">
        <f aca="false">IF(F347="","",IFERROR(INDEX('Plan de Cuentas'!$B$5:$B$1241,MATCH(F347,'Plan de Cuentas'!$A$5:$A$1241,0)),"No encontrado"))</f>
        <v/>
      </c>
      <c r="H347" s="17"/>
      <c r="I347" s="13"/>
    </row>
    <row r="348" customFormat="false" ht="15" hidden="false" customHeight="true" outlineLevel="0" collapsed="false">
      <c r="A348" s="13"/>
      <c r="B348" s="14"/>
      <c r="C348" s="15"/>
      <c r="D348" s="16"/>
      <c r="E348" s="13" t="str">
        <f aca="false">IF(D348="","",IFERROR(INDEX('Plan de Cuentas'!$B$5:$B$1241,MATCH(D348,'Plan de Cuentas'!$A$5:$A$1241,0)),"No encontrado"))</f>
        <v/>
      </c>
      <c r="F348" s="16"/>
      <c r="G348" s="13" t="str">
        <f aca="false">IF(F348="","",IFERROR(INDEX('Plan de Cuentas'!$B$5:$B$1241,MATCH(F348,'Plan de Cuentas'!$A$5:$A$1241,0)),"No encontrado"))</f>
        <v/>
      </c>
      <c r="H348" s="17"/>
      <c r="I348" s="13"/>
    </row>
    <row r="349" customFormat="false" ht="15" hidden="false" customHeight="true" outlineLevel="0" collapsed="false">
      <c r="A349" s="13"/>
      <c r="B349" s="14"/>
      <c r="C349" s="15"/>
      <c r="D349" s="16"/>
      <c r="E349" s="13" t="str">
        <f aca="false">IF(D349="","",IFERROR(INDEX('Plan de Cuentas'!$B$5:$B$1241,MATCH(D349,'Plan de Cuentas'!$A$5:$A$1241,0)),"No encontrado"))</f>
        <v/>
      </c>
      <c r="F349" s="16"/>
      <c r="G349" s="13" t="str">
        <f aca="false">IF(F349="","",IFERROR(INDEX('Plan de Cuentas'!$B$5:$B$1241,MATCH(F349,'Plan de Cuentas'!$A$5:$A$1241,0)),"No encontrado"))</f>
        <v/>
      </c>
      <c r="H349" s="17"/>
      <c r="I349" s="13"/>
    </row>
    <row r="350" customFormat="false" ht="15" hidden="false" customHeight="true" outlineLevel="0" collapsed="false">
      <c r="A350" s="13"/>
      <c r="B350" s="14"/>
      <c r="C350" s="15"/>
      <c r="D350" s="16"/>
      <c r="E350" s="13" t="str">
        <f aca="false">IF(D350="","",IFERROR(INDEX('Plan de Cuentas'!$B$5:$B$1241,MATCH(D350,'Plan de Cuentas'!$A$5:$A$1241,0)),"No encontrado"))</f>
        <v/>
      </c>
      <c r="F350" s="16"/>
      <c r="G350" s="13" t="str">
        <f aca="false">IF(F350="","",IFERROR(INDEX('Plan de Cuentas'!$B$5:$B$1241,MATCH(F350,'Plan de Cuentas'!$A$5:$A$1241,0)),"No encontrado"))</f>
        <v/>
      </c>
      <c r="H350" s="17"/>
      <c r="I350" s="13"/>
    </row>
    <row r="351" customFormat="false" ht="15" hidden="false" customHeight="true" outlineLevel="0" collapsed="false">
      <c r="A351" s="13"/>
      <c r="B351" s="14"/>
      <c r="C351" s="15"/>
      <c r="D351" s="16"/>
      <c r="E351" s="13" t="str">
        <f aca="false">IF(D351="","",IFERROR(INDEX('Plan de Cuentas'!$B$5:$B$1241,MATCH(D351,'Plan de Cuentas'!$A$5:$A$1241,0)),"No encontrado"))</f>
        <v/>
      </c>
      <c r="F351" s="16"/>
      <c r="G351" s="13" t="str">
        <f aca="false">IF(F351="","",IFERROR(INDEX('Plan de Cuentas'!$B$5:$B$1241,MATCH(F351,'Plan de Cuentas'!$A$5:$A$1241,0)),"No encontrado"))</f>
        <v/>
      </c>
      <c r="H351" s="17"/>
      <c r="I351" s="13"/>
    </row>
    <row r="352" customFormat="false" ht="15" hidden="false" customHeight="true" outlineLevel="0" collapsed="false">
      <c r="A352" s="13"/>
      <c r="B352" s="14"/>
      <c r="C352" s="15"/>
      <c r="D352" s="16"/>
      <c r="E352" s="13" t="str">
        <f aca="false">IF(D352="","",IFERROR(INDEX('Plan de Cuentas'!$B$5:$B$1241,MATCH(D352,'Plan de Cuentas'!$A$5:$A$1241,0)),"No encontrado"))</f>
        <v/>
      </c>
      <c r="F352" s="16"/>
      <c r="G352" s="13" t="str">
        <f aca="false">IF(F352="","",IFERROR(INDEX('Plan de Cuentas'!$B$5:$B$1241,MATCH(F352,'Plan de Cuentas'!$A$5:$A$1241,0)),"No encontrado"))</f>
        <v/>
      </c>
      <c r="H352" s="17"/>
      <c r="I352" s="13"/>
    </row>
    <row r="353" customFormat="false" ht="15" hidden="false" customHeight="true" outlineLevel="0" collapsed="false">
      <c r="A353" s="13"/>
      <c r="B353" s="14"/>
      <c r="C353" s="15"/>
      <c r="D353" s="16"/>
      <c r="E353" s="13" t="str">
        <f aca="false">IF(D353="","",IFERROR(INDEX('Plan de Cuentas'!$B$5:$B$1241,MATCH(D353,'Plan de Cuentas'!$A$5:$A$1241,0)),"No encontrado"))</f>
        <v/>
      </c>
      <c r="F353" s="16"/>
      <c r="G353" s="13" t="str">
        <f aca="false">IF(F353="","",IFERROR(INDEX('Plan de Cuentas'!$B$5:$B$1241,MATCH(F353,'Plan de Cuentas'!$A$5:$A$1241,0)),"No encontrado"))</f>
        <v/>
      </c>
      <c r="H353" s="17"/>
      <c r="I353" s="13"/>
    </row>
    <row r="354" customFormat="false" ht="15" hidden="false" customHeight="true" outlineLevel="0" collapsed="false">
      <c r="A354" s="13"/>
      <c r="B354" s="14"/>
      <c r="C354" s="15"/>
      <c r="D354" s="16"/>
      <c r="E354" s="13" t="str">
        <f aca="false">IF(D354="","",IFERROR(INDEX('Plan de Cuentas'!$B$5:$B$1241,MATCH(D354,'Plan de Cuentas'!$A$5:$A$1241,0)),"No encontrado"))</f>
        <v/>
      </c>
      <c r="F354" s="16"/>
      <c r="G354" s="13" t="str">
        <f aca="false">IF(F354="","",IFERROR(INDEX('Plan de Cuentas'!$B$5:$B$1241,MATCH(F354,'Plan de Cuentas'!$A$5:$A$1241,0)),"No encontrado"))</f>
        <v/>
      </c>
      <c r="H354" s="17"/>
      <c r="I354" s="13"/>
    </row>
    <row r="355" customFormat="false" ht="15" hidden="false" customHeight="true" outlineLevel="0" collapsed="false">
      <c r="A355" s="13"/>
      <c r="B355" s="14"/>
      <c r="C355" s="15"/>
      <c r="D355" s="16"/>
      <c r="E355" s="13" t="str">
        <f aca="false">IF(D355="","",IFERROR(INDEX('Plan de Cuentas'!$B$5:$B$1241,MATCH(D355,'Plan de Cuentas'!$A$5:$A$1241,0)),"No encontrado"))</f>
        <v/>
      </c>
      <c r="F355" s="16"/>
      <c r="G355" s="13" t="str">
        <f aca="false">IF(F355="","",IFERROR(INDEX('Plan de Cuentas'!$B$5:$B$1241,MATCH(F355,'Plan de Cuentas'!$A$5:$A$1241,0)),"No encontrado"))</f>
        <v/>
      </c>
      <c r="H355" s="17"/>
      <c r="I355" s="13"/>
    </row>
    <row r="356" customFormat="false" ht="15" hidden="false" customHeight="true" outlineLevel="0" collapsed="false">
      <c r="A356" s="13"/>
      <c r="B356" s="14"/>
      <c r="C356" s="15"/>
      <c r="D356" s="16"/>
      <c r="E356" s="13" t="str">
        <f aca="false">IF(D356="","",IFERROR(INDEX('Plan de Cuentas'!$B$5:$B$1241,MATCH(D356,'Plan de Cuentas'!$A$5:$A$1241,0)),"No encontrado"))</f>
        <v/>
      </c>
      <c r="F356" s="16"/>
      <c r="G356" s="13" t="str">
        <f aca="false">IF(F356="","",IFERROR(INDEX('Plan de Cuentas'!$B$5:$B$1241,MATCH(F356,'Plan de Cuentas'!$A$5:$A$1241,0)),"No encontrado"))</f>
        <v/>
      </c>
      <c r="H356" s="17"/>
      <c r="I356" s="13"/>
    </row>
    <row r="357" customFormat="false" ht="15" hidden="false" customHeight="true" outlineLevel="0" collapsed="false">
      <c r="A357" s="13"/>
      <c r="B357" s="14"/>
      <c r="C357" s="15"/>
      <c r="D357" s="16"/>
      <c r="E357" s="13" t="str">
        <f aca="false">IF(D357="","",IFERROR(INDEX('Plan de Cuentas'!$B$5:$B$1241,MATCH(D357,'Plan de Cuentas'!$A$5:$A$1241,0)),"No encontrado"))</f>
        <v/>
      </c>
      <c r="F357" s="16"/>
      <c r="G357" s="13" t="str">
        <f aca="false">IF(F357="","",IFERROR(INDEX('Plan de Cuentas'!$B$5:$B$1241,MATCH(F357,'Plan de Cuentas'!$A$5:$A$1241,0)),"No encontrado"))</f>
        <v/>
      </c>
      <c r="H357" s="17"/>
      <c r="I357" s="13"/>
    </row>
    <row r="358" customFormat="false" ht="15" hidden="false" customHeight="true" outlineLevel="0" collapsed="false">
      <c r="A358" s="13"/>
      <c r="B358" s="14"/>
      <c r="C358" s="15"/>
      <c r="D358" s="16"/>
      <c r="E358" s="13" t="str">
        <f aca="false">IF(D358="","",IFERROR(INDEX('Plan de Cuentas'!$B$5:$B$1241,MATCH(D358,'Plan de Cuentas'!$A$5:$A$1241,0)),"No encontrado"))</f>
        <v/>
      </c>
      <c r="F358" s="16"/>
      <c r="G358" s="13" t="str">
        <f aca="false">IF(F358="","",IFERROR(INDEX('Plan de Cuentas'!$B$5:$B$1241,MATCH(F358,'Plan de Cuentas'!$A$5:$A$1241,0)),"No encontrado"))</f>
        <v/>
      </c>
      <c r="H358" s="17"/>
      <c r="I358" s="13"/>
    </row>
    <row r="359" customFormat="false" ht="15" hidden="false" customHeight="true" outlineLevel="0" collapsed="false">
      <c r="A359" s="13"/>
      <c r="B359" s="14"/>
      <c r="C359" s="15"/>
      <c r="D359" s="16"/>
      <c r="E359" s="13" t="str">
        <f aca="false">IF(D359="","",IFERROR(INDEX('Plan de Cuentas'!$B$5:$B$1241,MATCH(D359,'Plan de Cuentas'!$A$5:$A$1241,0)),"No encontrado"))</f>
        <v/>
      </c>
      <c r="F359" s="16"/>
      <c r="G359" s="13" t="str">
        <f aca="false">IF(F359="","",IFERROR(INDEX('Plan de Cuentas'!$B$5:$B$1241,MATCH(F359,'Plan de Cuentas'!$A$5:$A$1241,0)),"No encontrado"))</f>
        <v/>
      </c>
      <c r="H359" s="17"/>
      <c r="I359" s="13"/>
    </row>
    <row r="360" customFormat="false" ht="15" hidden="false" customHeight="true" outlineLevel="0" collapsed="false">
      <c r="A360" s="13"/>
      <c r="B360" s="14"/>
      <c r="C360" s="15"/>
      <c r="D360" s="16"/>
      <c r="E360" s="13" t="str">
        <f aca="false">IF(D360="","",IFERROR(INDEX('Plan de Cuentas'!$B$5:$B$1241,MATCH(D360,'Plan de Cuentas'!$A$5:$A$1241,0)),"No encontrado"))</f>
        <v/>
      </c>
      <c r="F360" s="16"/>
      <c r="G360" s="13" t="str">
        <f aca="false">IF(F360="","",IFERROR(INDEX('Plan de Cuentas'!$B$5:$B$1241,MATCH(F360,'Plan de Cuentas'!$A$5:$A$1241,0)),"No encontrado"))</f>
        <v/>
      </c>
      <c r="H360" s="17"/>
      <c r="I360" s="13"/>
    </row>
    <row r="361" customFormat="false" ht="15" hidden="false" customHeight="true" outlineLevel="0" collapsed="false">
      <c r="A361" s="13"/>
      <c r="B361" s="14"/>
      <c r="C361" s="15"/>
      <c r="D361" s="16"/>
      <c r="E361" s="13" t="str">
        <f aca="false">IF(D361="","",IFERROR(INDEX('Plan de Cuentas'!$B$5:$B$1241,MATCH(D361,'Plan de Cuentas'!$A$5:$A$1241,0)),"No encontrado"))</f>
        <v/>
      </c>
      <c r="F361" s="16"/>
      <c r="G361" s="13" t="str">
        <f aca="false">IF(F361="","",IFERROR(INDEX('Plan de Cuentas'!$B$5:$B$1241,MATCH(F361,'Plan de Cuentas'!$A$5:$A$1241,0)),"No encontrado"))</f>
        <v/>
      </c>
      <c r="H361" s="17"/>
      <c r="I361" s="13"/>
    </row>
    <row r="362" customFormat="false" ht="15" hidden="false" customHeight="true" outlineLevel="0" collapsed="false">
      <c r="A362" s="13"/>
      <c r="B362" s="14"/>
      <c r="C362" s="15"/>
      <c r="D362" s="16"/>
      <c r="E362" s="13" t="str">
        <f aca="false">IF(D362="","",IFERROR(INDEX('Plan de Cuentas'!$B$5:$B$1241,MATCH(D362,'Plan de Cuentas'!$A$5:$A$1241,0)),"No encontrado"))</f>
        <v/>
      </c>
      <c r="F362" s="16"/>
      <c r="G362" s="13" t="str">
        <f aca="false">IF(F362="","",IFERROR(INDEX('Plan de Cuentas'!$B$5:$B$1241,MATCH(F362,'Plan de Cuentas'!$A$5:$A$1241,0)),"No encontrado"))</f>
        <v/>
      </c>
      <c r="H362" s="17"/>
      <c r="I362" s="13"/>
    </row>
    <row r="363" customFormat="false" ht="15" hidden="false" customHeight="true" outlineLevel="0" collapsed="false">
      <c r="A363" s="13"/>
      <c r="B363" s="14"/>
      <c r="C363" s="15"/>
      <c r="D363" s="16"/>
      <c r="E363" s="13" t="str">
        <f aca="false">IF(D363="","",IFERROR(INDEX('Plan de Cuentas'!$B$5:$B$1241,MATCH(D363,'Plan de Cuentas'!$A$5:$A$1241,0)),"No encontrado"))</f>
        <v/>
      </c>
      <c r="F363" s="16"/>
      <c r="G363" s="13" t="str">
        <f aca="false">IF(F363="","",IFERROR(INDEX('Plan de Cuentas'!$B$5:$B$1241,MATCH(F363,'Plan de Cuentas'!$A$5:$A$1241,0)),"No encontrado"))</f>
        <v/>
      </c>
      <c r="H363" s="17"/>
      <c r="I363" s="13"/>
    </row>
    <row r="364" customFormat="false" ht="15" hidden="false" customHeight="true" outlineLevel="0" collapsed="false">
      <c r="A364" s="13"/>
      <c r="B364" s="14"/>
      <c r="C364" s="15"/>
      <c r="D364" s="16"/>
      <c r="E364" s="13" t="str">
        <f aca="false">IF(D364="","",IFERROR(INDEX('Plan de Cuentas'!$B$5:$B$1241,MATCH(D364,'Plan de Cuentas'!$A$5:$A$1241,0)),"No encontrado"))</f>
        <v/>
      </c>
      <c r="F364" s="16"/>
      <c r="G364" s="13" t="str">
        <f aca="false">IF(F364="","",IFERROR(INDEX('Plan de Cuentas'!$B$5:$B$1241,MATCH(F364,'Plan de Cuentas'!$A$5:$A$1241,0)),"No encontrado"))</f>
        <v/>
      </c>
      <c r="H364" s="17"/>
      <c r="I364" s="13"/>
    </row>
    <row r="365" customFormat="false" ht="15" hidden="false" customHeight="true" outlineLevel="0" collapsed="false">
      <c r="A365" s="13"/>
      <c r="B365" s="14"/>
      <c r="C365" s="15"/>
      <c r="D365" s="16"/>
      <c r="E365" s="13" t="str">
        <f aca="false">IF(D365="","",IFERROR(INDEX('Plan de Cuentas'!$B$5:$B$1241,MATCH(D365,'Plan de Cuentas'!$A$5:$A$1241,0)),"No encontrado"))</f>
        <v/>
      </c>
      <c r="F365" s="16"/>
      <c r="G365" s="13" t="str">
        <f aca="false">IF(F365="","",IFERROR(INDEX('Plan de Cuentas'!$B$5:$B$1241,MATCH(F365,'Plan de Cuentas'!$A$5:$A$1241,0)),"No encontrado"))</f>
        <v/>
      </c>
      <c r="H365" s="17"/>
      <c r="I365" s="13"/>
    </row>
    <row r="366" customFormat="false" ht="15" hidden="false" customHeight="true" outlineLevel="0" collapsed="false">
      <c r="A366" s="13"/>
      <c r="B366" s="14"/>
      <c r="C366" s="15"/>
      <c r="D366" s="16"/>
      <c r="E366" s="13" t="str">
        <f aca="false">IF(D366="","",IFERROR(INDEX('Plan de Cuentas'!$B$5:$B$1241,MATCH(D366,'Plan de Cuentas'!$A$5:$A$1241,0)),"No encontrado"))</f>
        <v/>
      </c>
      <c r="F366" s="16"/>
      <c r="G366" s="13" t="str">
        <f aca="false">IF(F366="","",IFERROR(INDEX('Plan de Cuentas'!$B$5:$B$1241,MATCH(F366,'Plan de Cuentas'!$A$5:$A$1241,0)),"No encontrado"))</f>
        <v/>
      </c>
      <c r="H366" s="17"/>
      <c r="I366" s="13"/>
    </row>
    <row r="367" customFormat="false" ht="15" hidden="false" customHeight="true" outlineLevel="0" collapsed="false">
      <c r="A367" s="13"/>
      <c r="B367" s="14"/>
      <c r="C367" s="15"/>
      <c r="D367" s="16"/>
      <c r="E367" s="13" t="str">
        <f aca="false">IF(D367="","",IFERROR(INDEX('Plan de Cuentas'!$B$5:$B$1241,MATCH(D367,'Plan de Cuentas'!$A$5:$A$1241,0)),"No encontrado"))</f>
        <v/>
      </c>
      <c r="F367" s="16"/>
      <c r="G367" s="13" t="str">
        <f aca="false">IF(F367="","",IFERROR(INDEX('Plan de Cuentas'!$B$5:$B$1241,MATCH(F367,'Plan de Cuentas'!$A$5:$A$1241,0)),"No encontrado"))</f>
        <v/>
      </c>
      <c r="H367" s="17"/>
      <c r="I367" s="13"/>
    </row>
    <row r="368" customFormat="false" ht="15" hidden="false" customHeight="true" outlineLevel="0" collapsed="false">
      <c r="A368" s="13"/>
      <c r="B368" s="14"/>
      <c r="C368" s="15"/>
      <c r="D368" s="16"/>
      <c r="E368" s="13" t="str">
        <f aca="false">IF(D368="","",IFERROR(INDEX('Plan de Cuentas'!$B$5:$B$1241,MATCH(D368,'Plan de Cuentas'!$A$5:$A$1241,0)),"No encontrado"))</f>
        <v/>
      </c>
      <c r="F368" s="16"/>
      <c r="G368" s="13" t="str">
        <f aca="false">IF(F368="","",IFERROR(INDEX('Plan de Cuentas'!$B$5:$B$1241,MATCH(F368,'Plan de Cuentas'!$A$5:$A$1241,0)),"No encontrado"))</f>
        <v/>
      </c>
      <c r="H368" s="17"/>
      <c r="I368" s="13"/>
    </row>
    <row r="369" customFormat="false" ht="15" hidden="false" customHeight="true" outlineLevel="0" collapsed="false">
      <c r="A369" s="13"/>
      <c r="B369" s="14"/>
      <c r="C369" s="15"/>
      <c r="D369" s="16"/>
      <c r="E369" s="13" t="str">
        <f aca="false">IF(D369="","",IFERROR(INDEX('Plan de Cuentas'!$B$5:$B$1241,MATCH(D369,'Plan de Cuentas'!$A$5:$A$1241,0)),"No encontrado"))</f>
        <v/>
      </c>
      <c r="F369" s="16"/>
      <c r="G369" s="13" t="str">
        <f aca="false">IF(F369="","",IFERROR(INDEX('Plan de Cuentas'!$B$5:$B$1241,MATCH(F369,'Plan de Cuentas'!$A$5:$A$1241,0)),"No encontrado"))</f>
        <v/>
      </c>
      <c r="H369" s="17"/>
      <c r="I369" s="13"/>
    </row>
    <row r="370" customFormat="false" ht="15" hidden="false" customHeight="true" outlineLevel="0" collapsed="false">
      <c r="A370" s="13"/>
      <c r="B370" s="14"/>
      <c r="C370" s="15"/>
      <c r="D370" s="16"/>
      <c r="E370" s="13" t="str">
        <f aca="false">IF(D370="","",IFERROR(INDEX('Plan de Cuentas'!$B$5:$B$1241,MATCH(D370,'Plan de Cuentas'!$A$5:$A$1241,0)),"No encontrado"))</f>
        <v/>
      </c>
      <c r="F370" s="16"/>
      <c r="G370" s="13" t="str">
        <f aca="false">IF(F370="","",IFERROR(INDEX('Plan de Cuentas'!$B$5:$B$1241,MATCH(F370,'Plan de Cuentas'!$A$5:$A$1241,0)),"No encontrado"))</f>
        <v/>
      </c>
      <c r="H370" s="17"/>
      <c r="I370" s="13"/>
    </row>
    <row r="371" customFormat="false" ht="15" hidden="false" customHeight="true" outlineLevel="0" collapsed="false">
      <c r="A371" s="13"/>
      <c r="B371" s="14"/>
      <c r="C371" s="15"/>
      <c r="D371" s="16"/>
      <c r="E371" s="13" t="str">
        <f aca="false">IF(D371="","",IFERROR(INDEX('Plan de Cuentas'!$B$5:$B$1241,MATCH(D371,'Plan de Cuentas'!$A$5:$A$1241,0)),"No encontrado"))</f>
        <v/>
      </c>
      <c r="F371" s="16"/>
      <c r="G371" s="13" t="str">
        <f aca="false">IF(F371="","",IFERROR(INDEX('Plan de Cuentas'!$B$5:$B$1241,MATCH(F371,'Plan de Cuentas'!$A$5:$A$1241,0)),"No encontrado"))</f>
        <v/>
      </c>
      <c r="H371" s="17"/>
      <c r="I371" s="13"/>
    </row>
    <row r="372" customFormat="false" ht="15" hidden="false" customHeight="true" outlineLevel="0" collapsed="false">
      <c r="A372" s="13"/>
      <c r="B372" s="14"/>
      <c r="C372" s="15"/>
      <c r="D372" s="16"/>
      <c r="E372" s="13" t="str">
        <f aca="false">IF(D372="","",IFERROR(INDEX('Plan de Cuentas'!$B$5:$B$1241,MATCH(D372,'Plan de Cuentas'!$A$5:$A$1241,0)),"No encontrado"))</f>
        <v/>
      </c>
      <c r="F372" s="16"/>
      <c r="G372" s="13" t="str">
        <f aca="false">IF(F372="","",IFERROR(INDEX('Plan de Cuentas'!$B$5:$B$1241,MATCH(F372,'Plan de Cuentas'!$A$5:$A$1241,0)),"No encontrado"))</f>
        <v/>
      </c>
      <c r="H372" s="17"/>
      <c r="I372" s="13"/>
    </row>
    <row r="373" customFormat="false" ht="15" hidden="false" customHeight="true" outlineLevel="0" collapsed="false">
      <c r="A373" s="13"/>
      <c r="B373" s="14"/>
      <c r="C373" s="15"/>
      <c r="D373" s="16"/>
      <c r="E373" s="13" t="str">
        <f aca="false">IF(D373="","",IFERROR(INDEX('Plan de Cuentas'!$B$5:$B$1241,MATCH(D373,'Plan de Cuentas'!$A$5:$A$1241,0)),"No encontrado"))</f>
        <v/>
      </c>
      <c r="F373" s="16"/>
      <c r="G373" s="13" t="str">
        <f aca="false">IF(F373="","",IFERROR(INDEX('Plan de Cuentas'!$B$5:$B$1241,MATCH(F373,'Plan de Cuentas'!$A$5:$A$1241,0)),"No encontrado"))</f>
        <v/>
      </c>
      <c r="H373" s="17"/>
      <c r="I373" s="13"/>
    </row>
    <row r="374" customFormat="false" ht="15" hidden="false" customHeight="true" outlineLevel="0" collapsed="false">
      <c r="A374" s="13"/>
      <c r="B374" s="14"/>
      <c r="C374" s="15"/>
      <c r="D374" s="16"/>
      <c r="E374" s="13" t="str">
        <f aca="false">IF(D374="","",IFERROR(INDEX('Plan de Cuentas'!$B$5:$B$1241,MATCH(D374,'Plan de Cuentas'!$A$5:$A$1241,0)),"No encontrado"))</f>
        <v/>
      </c>
      <c r="F374" s="16"/>
      <c r="G374" s="13" t="str">
        <f aca="false">IF(F374="","",IFERROR(INDEX('Plan de Cuentas'!$B$5:$B$1241,MATCH(F374,'Plan de Cuentas'!$A$5:$A$1241,0)),"No encontrado"))</f>
        <v/>
      </c>
      <c r="H374" s="17"/>
      <c r="I374" s="13"/>
    </row>
    <row r="375" customFormat="false" ht="15" hidden="false" customHeight="true" outlineLevel="0" collapsed="false">
      <c r="A375" s="13"/>
      <c r="B375" s="14"/>
      <c r="C375" s="15"/>
      <c r="D375" s="16"/>
      <c r="E375" s="13" t="str">
        <f aca="false">IF(D375="","",IFERROR(INDEX('Plan de Cuentas'!$B$5:$B$1241,MATCH(D375,'Plan de Cuentas'!$A$5:$A$1241,0)),"No encontrado"))</f>
        <v/>
      </c>
      <c r="F375" s="16"/>
      <c r="G375" s="13" t="str">
        <f aca="false">IF(F375="","",IFERROR(INDEX('Plan de Cuentas'!$B$5:$B$1241,MATCH(F375,'Plan de Cuentas'!$A$5:$A$1241,0)),"No encontrado"))</f>
        <v/>
      </c>
      <c r="H375" s="17"/>
      <c r="I375" s="13"/>
    </row>
    <row r="376" customFormat="false" ht="15" hidden="false" customHeight="true" outlineLevel="0" collapsed="false">
      <c r="A376" s="13"/>
      <c r="B376" s="14"/>
      <c r="C376" s="15"/>
      <c r="D376" s="16"/>
      <c r="E376" s="13" t="str">
        <f aca="false">IF(D376="","",IFERROR(INDEX('Plan de Cuentas'!$B$5:$B$1241,MATCH(D376,'Plan de Cuentas'!$A$5:$A$1241,0)),"No encontrado"))</f>
        <v/>
      </c>
      <c r="F376" s="16"/>
      <c r="G376" s="13" t="str">
        <f aca="false">IF(F376="","",IFERROR(INDEX('Plan de Cuentas'!$B$5:$B$1241,MATCH(F376,'Plan de Cuentas'!$A$5:$A$1241,0)),"No encontrado"))</f>
        <v/>
      </c>
      <c r="H376" s="17"/>
      <c r="I376" s="13"/>
    </row>
    <row r="377" customFormat="false" ht="15" hidden="false" customHeight="true" outlineLevel="0" collapsed="false">
      <c r="A377" s="13"/>
      <c r="B377" s="14"/>
      <c r="C377" s="15"/>
      <c r="D377" s="16"/>
      <c r="E377" s="13" t="str">
        <f aca="false">IF(D377="","",IFERROR(INDEX('Plan de Cuentas'!$B$5:$B$1241,MATCH(D377,'Plan de Cuentas'!$A$5:$A$1241,0)),"No encontrado"))</f>
        <v/>
      </c>
      <c r="F377" s="16"/>
      <c r="G377" s="13" t="str">
        <f aca="false">IF(F377="","",IFERROR(INDEX('Plan de Cuentas'!$B$5:$B$1241,MATCH(F377,'Plan de Cuentas'!$A$5:$A$1241,0)),"No encontrado"))</f>
        <v/>
      </c>
      <c r="H377" s="17"/>
      <c r="I377" s="13"/>
    </row>
    <row r="378" customFormat="false" ht="15" hidden="false" customHeight="true" outlineLevel="0" collapsed="false">
      <c r="A378" s="13"/>
      <c r="B378" s="14"/>
      <c r="C378" s="15"/>
      <c r="D378" s="16"/>
      <c r="E378" s="13" t="str">
        <f aca="false">IF(D378="","",IFERROR(INDEX('Plan de Cuentas'!$B$5:$B$1241,MATCH(D378,'Plan de Cuentas'!$A$5:$A$1241,0)),"No encontrado"))</f>
        <v/>
      </c>
      <c r="F378" s="16"/>
      <c r="G378" s="13" t="str">
        <f aca="false">IF(F378="","",IFERROR(INDEX('Plan de Cuentas'!$B$5:$B$1241,MATCH(F378,'Plan de Cuentas'!$A$5:$A$1241,0)),"No encontrado"))</f>
        <v/>
      </c>
      <c r="H378" s="17"/>
      <c r="I378" s="13"/>
    </row>
    <row r="379" customFormat="false" ht="15" hidden="false" customHeight="true" outlineLevel="0" collapsed="false">
      <c r="A379" s="13"/>
      <c r="B379" s="14"/>
      <c r="C379" s="15"/>
      <c r="D379" s="16"/>
      <c r="E379" s="13" t="str">
        <f aca="false">IF(D379="","",IFERROR(INDEX('Plan de Cuentas'!$B$5:$B$1241,MATCH(D379,'Plan de Cuentas'!$A$5:$A$1241,0)),"No encontrado"))</f>
        <v/>
      </c>
      <c r="F379" s="16"/>
      <c r="G379" s="13" t="str">
        <f aca="false">IF(F379="","",IFERROR(INDEX('Plan de Cuentas'!$B$5:$B$1241,MATCH(F379,'Plan de Cuentas'!$A$5:$A$1241,0)),"No encontrado"))</f>
        <v/>
      </c>
      <c r="H379" s="17"/>
      <c r="I379" s="13"/>
    </row>
    <row r="380" customFormat="false" ht="15" hidden="false" customHeight="true" outlineLevel="0" collapsed="false">
      <c r="A380" s="13"/>
      <c r="B380" s="14"/>
      <c r="C380" s="15"/>
      <c r="D380" s="16"/>
      <c r="E380" s="13" t="str">
        <f aca="false">IF(D380="","",IFERROR(INDEX('Plan de Cuentas'!$B$5:$B$1241,MATCH(D380,'Plan de Cuentas'!$A$5:$A$1241,0)),"No encontrado"))</f>
        <v/>
      </c>
      <c r="F380" s="16"/>
      <c r="G380" s="13" t="str">
        <f aca="false">IF(F380="","",IFERROR(INDEX('Plan de Cuentas'!$B$5:$B$1241,MATCH(F380,'Plan de Cuentas'!$A$5:$A$1241,0)),"No encontrado"))</f>
        <v/>
      </c>
      <c r="H380" s="17"/>
      <c r="I380" s="13"/>
    </row>
    <row r="381" customFormat="false" ht="15" hidden="false" customHeight="true" outlineLevel="0" collapsed="false">
      <c r="A381" s="13"/>
      <c r="B381" s="14"/>
      <c r="C381" s="15"/>
      <c r="D381" s="16"/>
      <c r="E381" s="13" t="str">
        <f aca="false">IF(D381="","",IFERROR(INDEX('Plan de Cuentas'!$B$5:$B$1241,MATCH(D381,'Plan de Cuentas'!$A$5:$A$1241,0)),"No encontrado"))</f>
        <v/>
      </c>
      <c r="F381" s="16"/>
      <c r="G381" s="13" t="str">
        <f aca="false">IF(F381="","",IFERROR(INDEX('Plan de Cuentas'!$B$5:$B$1241,MATCH(F381,'Plan de Cuentas'!$A$5:$A$1241,0)),"No encontrado"))</f>
        <v/>
      </c>
      <c r="H381" s="17"/>
      <c r="I381" s="13"/>
    </row>
    <row r="382" customFormat="false" ht="15" hidden="false" customHeight="true" outlineLevel="0" collapsed="false">
      <c r="A382" s="13"/>
      <c r="B382" s="14"/>
      <c r="C382" s="15"/>
      <c r="D382" s="16"/>
      <c r="E382" s="13" t="str">
        <f aca="false">IF(D382="","",IFERROR(INDEX('Plan de Cuentas'!$B$5:$B$1241,MATCH(D382,'Plan de Cuentas'!$A$5:$A$1241,0)),"No encontrado"))</f>
        <v/>
      </c>
      <c r="F382" s="16"/>
      <c r="G382" s="13" t="str">
        <f aca="false">IF(F382="","",IFERROR(INDEX('Plan de Cuentas'!$B$5:$B$1241,MATCH(F382,'Plan de Cuentas'!$A$5:$A$1241,0)),"No encontrado"))</f>
        <v/>
      </c>
      <c r="H382" s="17"/>
      <c r="I382" s="13"/>
    </row>
    <row r="383" customFormat="false" ht="15" hidden="false" customHeight="true" outlineLevel="0" collapsed="false">
      <c r="A383" s="13"/>
      <c r="B383" s="14"/>
      <c r="C383" s="15"/>
      <c r="D383" s="16"/>
      <c r="E383" s="13" t="str">
        <f aca="false">IF(D383="","",IFERROR(INDEX('Plan de Cuentas'!$B$5:$B$1241,MATCH(D383,'Plan de Cuentas'!$A$5:$A$1241,0)),"No encontrado"))</f>
        <v/>
      </c>
      <c r="F383" s="16"/>
      <c r="G383" s="13" t="str">
        <f aca="false">IF(F383="","",IFERROR(INDEX('Plan de Cuentas'!$B$5:$B$1241,MATCH(F383,'Plan de Cuentas'!$A$5:$A$1241,0)),"No encontrado"))</f>
        <v/>
      </c>
      <c r="H383" s="17"/>
      <c r="I383" s="13"/>
    </row>
    <row r="384" customFormat="false" ht="15" hidden="false" customHeight="true" outlineLevel="0" collapsed="false">
      <c r="A384" s="13"/>
      <c r="B384" s="14"/>
      <c r="C384" s="15"/>
      <c r="D384" s="16"/>
      <c r="E384" s="13" t="str">
        <f aca="false">IF(D384="","",IFERROR(INDEX('Plan de Cuentas'!$B$5:$B$1241,MATCH(D384,'Plan de Cuentas'!$A$5:$A$1241,0)),"No encontrado"))</f>
        <v/>
      </c>
      <c r="F384" s="16"/>
      <c r="G384" s="13" t="str">
        <f aca="false">IF(F384="","",IFERROR(INDEX('Plan de Cuentas'!$B$5:$B$1241,MATCH(F384,'Plan de Cuentas'!$A$5:$A$1241,0)),"No encontrado"))</f>
        <v/>
      </c>
      <c r="H384" s="17"/>
      <c r="I384" s="13"/>
    </row>
    <row r="385" customFormat="false" ht="15" hidden="false" customHeight="true" outlineLevel="0" collapsed="false">
      <c r="A385" s="13"/>
      <c r="B385" s="14"/>
      <c r="C385" s="15"/>
      <c r="D385" s="16"/>
      <c r="E385" s="13" t="str">
        <f aca="false">IF(D385="","",IFERROR(INDEX('Plan de Cuentas'!$B$5:$B$1241,MATCH(D385,'Plan de Cuentas'!$A$5:$A$1241,0)),"No encontrado"))</f>
        <v/>
      </c>
      <c r="F385" s="16"/>
      <c r="G385" s="13" t="str">
        <f aca="false">IF(F385="","",IFERROR(INDEX('Plan de Cuentas'!$B$5:$B$1241,MATCH(F385,'Plan de Cuentas'!$A$5:$A$1241,0)),"No encontrado"))</f>
        <v/>
      </c>
      <c r="H385" s="17"/>
      <c r="I385" s="13"/>
    </row>
    <row r="386" customFormat="false" ht="15" hidden="false" customHeight="true" outlineLevel="0" collapsed="false">
      <c r="A386" s="13"/>
      <c r="B386" s="14"/>
      <c r="C386" s="15"/>
      <c r="D386" s="16"/>
      <c r="E386" s="13" t="str">
        <f aca="false">IF(D386="","",IFERROR(INDEX('Plan de Cuentas'!$B$5:$B$1241,MATCH(D386,'Plan de Cuentas'!$A$5:$A$1241,0)),"No encontrado"))</f>
        <v/>
      </c>
      <c r="F386" s="16"/>
      <c r="G386" s="13" t="str">
        <f aca="false">IF(F386="","",IFERROR(INDEX('Plan de Cuentas'!$B$5:$B$1241,MATCH(F386,'Plan de Cuentas'!$A$5:$A$1241,0)),"No encontrado"))</f>
        <v/>
      </c>
      <c r="H386" s="17"/>
      <c r="I386" s="13"/>
    </row>
    <row r="387" customFormat="false" ht="15" hidden="false" customHeight="true" outlineLevel="0" collapsed="false">
      <c r="A387" s="13"/>
      <c r="B387" s="14"/>
      <c r="C387" s="15"/>
      <c r="D387" s="16"/>
      <c r="E387" s="13" t="str">
        <f aca="false">IF(D387="","",IFERROR(INDEX('Plan de Cuentas'!$B$5:$B$1241,MATCH(D387,'Plan de Cuentas'!$A$5:$A$1241,0)),"No encontrado"))</f>
        <v/>
      </c>
      <c r="F387" s="16"/>
      <c r="G387" s="13" t="str">
        <f aca="false">IF(F387="","",IFERROR(INDEX('Plan de Cuentas'!$B$5:$B$1241,MATCH(F387,'Plan de Cuentas'!$A$5:$A$1241,0)),"No encontrado"))</f>
        <v/>
      </c>
      <c r="H387" s="17"/>
      <c r="I387" s="13"/>
    </row>
    <row r="388" customFormat="false" ht="15" hidden="false" customHeight="true" outlineLevel="0" collapsed="false">
      <c r="A388" s="13"/>
      <c r="B388" s="14"/>
      <c r="C388" s="15"/>
      <c r="D388" s="16"/>
      <c r="E388" s="13" t="str">
        <f aca="false">IF(D388="","",IFERROR(INDEX('Plan de Cuentas'!$B$5:$B$1241,MATCH(D388,'Plan de Cuentas'!$A$5:$A$1241,0)),"No encontrado"))</f>
        <v/>
      </c>
      <c r="F388" s="16"/>
      <c r="G388" s="13" t="str">
        <f aca="false">IF(F388="","",IFERROR(INDEX('Plan de Cuentas'!$B$5:$B$1241,MATCH(F388,'Plan de Cuentas'!$A$5:$A$1241,0)),"No encontrado"))</f>
        <v/>
      </c>
      <c r="H388" s="17"/>
      <c r="I388" s="13"/>
    </row>
    <row r="389" customFormat="false" ht="15" hidden="false" customHeight="true" outlineLevel="0" collapsed="false">
      <c r="A389" s="13"/>
      <c r="B389" s="14"/>
      <c r="C389" s="15"/>
      <c r="D389" s="16"/>
      <c r="E389" s="13" t="str">
        <f aca="false">IF(D389="","",IFERROR(INDEX('Plan de Cuentas'!$B$5:$B$1241,MATCH(D389,'Plan de Cuentas'!$A$5:$A$1241,0)),"No encontrado"))</f>
        <v/>
      </c>
      <c r="F389" s="16"/>
      <c r="G389" s="13" t="str">
        <f aca="false">IF(F389="","",IFERROR(INDEX('Plan de Cuentas'!$B$5:$B$1241,MATCH(F389,'Plan de Cuentas'!$A$5:$A$1241,0)),"No encontrado"))</f>
        <v/>
      </c>
      <c r="H389" s="17"/>
      <c r="I389" s="13"/>
    </row>
    <row r="390" customFormat="false" ht="15" hidden="false" customHeight="true" outlineLevel="0" collapsed="false">
      <c r="A390" s="13"/>
      <c r="B390" s="14"/>
      <c r="C390" s="15"/>
      <c r="D390" s="16"/>
      <c r="E390" s="13" t="str">
        <f aca="false">IF(D390="","",IFERROR(INDEX('Plan de Cuentas'!$B$5:$B$1241,MATCH(D390,'Plan de Cuentas'!$A$5:$A$1241,0)),"No encontrado"))</f>
        <v/>
      </c>
      <c r="F390" s="16"/>
      <c r="G390" s="13" t="str">
        <f aca="false">IF(F390="","",IFERROR(INDEX('Plan de Cuentas'!$B$5:$B$1241,MATCH(F390,'Plan de Cuentas'!$A$5:$A$1241,0)),"No encontrado"))</f>
        <v/>
      </c>
      <c r="H390" s="17"/>
      <c r="I390" s="13"/>
    </row>
    <row r="391" customFormat="false" ht="15" hidden="false" customHeight="true" outlineLevel="0" collapsed="false">
      <c r="A391" s="13"/>
      <c r="B391" s="14"/>
      <c r="C391" s="15"/>
      <c r="D391" s="16"/>
      <c r="E391" s="13" t="str">
        <f aca="false">IF(D391="","",IFERROR(INDEX('Plan de Cuentas'!$B$5:$B$1241,MATCH(D391,'Plan de Cuentas'!$A$5:$A$1241,0)),"No encontrado"))</f>
        <v/>
      </c>
      <c r="F391" s="16"/>
      <c r="G391" s="13" t="str">
        <f aca="false">IF(F391="","",IFERROR(INDEX('Plan de Cuentas'!$B$5:$B$1241,MATCH(F391,'Plan de Cuentas'!$A$5:$A$1241,0)),"No encontrado"))</f>
        <v/>
      </c>
      <c r="H391" s="17"/>
      <c r="I391" s="13"/>
    </row>
    <row r="392" customFormat="false" ht="15" hidden="false" customHeight="true" outlineLevel="0" collapsed="false">
      <c r="A392" s="13"/>
      <c r="B392" s="14"/>
      <c r="C392" s="15"/>
      <c r="D392" s="16"/>
      <c r="E392" s="13" t="str">
        <f aca="false">IF(D392="","",IFERROR(INDEX('Plan de Cuentas'!$B$5:$B$1241,MATCH(D392,'Plan de Cuentas'!$A$5:$A$1241,0)),"No encontrado"))</f>
        <v/>
      </c>
      <c r="F392" s="16"/>
      <c r="G392" s="13" t="str">
        <f aca="false">IF(F392="","",IFERROR(INDEX('Plan de Cuentas'!$B$5:$B$1241,MATCH(F392,'Plan de Cuentas'!$A$5:$A$1241,0)),"No encontrado"))</f>
        <v/>
      </c>
      <c r="H392" s="17"/>
      <c r="I392" s="13"/>
    </row>
    <row r="393" customFormat="false" ht="15" hidden="false" customHeight="true" outlineLevel="0" collapsed="false">
      <c r="A393" s="13"/>
      <c r="B393" s="14"/>
      <c r="C393" s="15"/>
      <c r="D393" s="16"/>
      <c r="E393" s="13" t="str">
        <f aca="false">IF(D393="","",IFERROR(INDEX('Plan de Cuentas'!$B$5:$B$1241,MATCH(D393,'Plan de Cuentas'!$A$5:$A$1241,0)),"No encontrado"))</f>
        <v/>
      </c>
      <c r="F393" s="16"/>
      <c r="G393" s="13" t="str">
        <f aca="false">IF(F393="","",IFERROR(INDEX('Plan de Cuentas'!$B$5:$B$1241,MATCH(F393,'Plan de Cuentas'!$A$5:$A$1241,0)),"No encontrado"))</f>
        <v/>
      </c>
      <c r="H393" s="17"/>
      <c r="I393" s="13"/>
    </row>
    <row r="394" customFormat="false" ht="15" hidden="false" customHeight="true" outlineLevel="0" collapsed="false">
      <c r="A394" s="13"/>
      <c r="B394" s="14"/>
      <c r="C394" s="15"/>
      <c r="D394" s="16"/>
      <c r="E394" s="13" t="str">
        <f aca="false">IF(D394="","",IFERROR(INDEX('Plan de Cuentas'!$B$5:$B$1241,MATCH(D394,'Plan de Cuentas'!$A$5:$A$1241,0)),"No encontrado"))</f>
        <v/>
      </c>
      <c r="F394" s="16"/>
      <c r="G394" s="13" t="str">
        <f aca="false">IF(F394="","",IFERROR(INDEX('Plan de Cuentas'!$B$5:$B$1241,MATCH(F394,'Plan de Cuentas'!$A$5:$A$1241,0)),"No encontrado"))</f>
        <v/>
      </c>
      <c r="H394" s="17"/>
      <c r="I394" s="13"/>
    </row>
    <row r="395" customFormat="false" ht="15" hidden="false" customHeight="true" outlineLevel="0" collapsed="false">
      <c r="A395" s="13"/>
      <c r="B395" s="14"/>
      <c r="C395" s="15"/>
      <c r="D395" s="16"/>
      <c r="E395" s="13" t="str">
        <f aca="false">IF(D395="","",IFERROR(INDEX('Plan de Cuentas'!$B$5:$B$1241,MATCH(D395,'Plan de Cuentas'!$A$5:$A$1241,0)),"No encontrado"))</f>
        <v/>
      </c>
      <c r="F395" s="16"/>
      <c r="G395" s="13" t="str">
        <f aca="false">IF(F395="","",IFERROR(INDEX('Plan de Cuentas'!$B$5:$B$1241,MATCH(F395,'Plan de Cuentas'!$A$5:$A$1241,0)),"No encontrado"))</f>
        <v/>
      </c>
      <c r="H395" s="17"/>
      <c r="I395" s="13"/>
    </row>
    <row r="396" customFormat="false" ht="15" hidden="false" customHeight="true" outlineLevel="0" collapsed="false">
      <c r="A396" s="13"/>
      <c r="B396" s="14"/>
      <c r="C396" s="15"/>
      <c r="D396" s="16"/>
      <c r="E396" s="13" t="str">
        <f aca="false">IF(D396="","",IFERROR(INDEX('Plan de Cuentas'!$B$5:$B$1241,MATCH(D396,'Plan de Cuentas'!$A$5:$A$1241,0)),"No encontrado"))</f>
        <v/>
      </c>
      <c r="F396" s="16"/>
      <c r="G396" s="13" t="str">
        <f aca="false">IF(F396="","",IFERROR(INDEX('Plan de Cuentas'!$B$5:$B$1241,MATCH(F396,'Plan de Cuentas'!$A$5:$A$1241,0)),"No encontrado"))</f>
        <v/>
      </c>
      <c r="H396" s="17"/>
      <c r="I396" s="13"/>
    </row>
    <row r="397" customFormat="false" ht="15" hidden="false" customHeight="true" outlineLevel="0" collapsed="false">
      <c r="A397" s="13"/>
      <c r="B397" s="14"/>
      <c r="C397" s="15"/>
      <c r="D397" s="16"/>
      <c r="E397" s="13" t="str">
        <f aca="false">IF(D397="","",IFERROR(INDEX('Plan de Cuentas'!$B$5:$B$1241,MATCH(D397,'Plan de Cuentas'!$A$5:$A$1241,0)),"No encontrado"))</f>
        <v/>
      </c>
      <c r="F397" s="16"/>
      <c r="G397" s="13" t="str">
        <f aca="false">IF(F397="","",IFERROR(INDEX('Plan de Cuentas'!$B$5:$B$1241,MATCH(F397,'Plan de Cuentas'!$A$5:$A$1241,0)),"No encontrado"))</f>
        <v/>
      </c>
      <c r="H397" s="17"/>
      <c r="I397" s="13"/>
    </row>
    <row r="398" customFormat="false" ht="15" hidden="false" customHeight="true" outlineLevel="0" collapsed="false">
      <c r="A398" s="13"/>
      <c r="B398" s="14"/>
      <c r="C398" s="15"/>
      <c r="D398" s="16"/>
      <c r="E398" s="13" t="str">
        <f aca="false">IF(D398="","",IFERROR(INDEX('Plan de Cuentas'!$B$5:$B$1241,MATCH(D398,'Plan de Cuentas'!$A$5:$A$1241,0)),"No encontrado"))</f>
        <v/>
      </c>
      <c r="F398" s="16"/>
      <c r="G398" s="13" t="str">
        <f aca="false">IF(F398="","",IFERROR(INDEX('Plan de Cuentas'!$B$5:$B$1241,MATCH(F398,'Plan de Cuentas'!$A$5:$A$1241,0)),"No encontrado"))</f>
        <v/>
      </c>
      <c r="H398" s="17"/>
      <c r="I398" s="13"/>
    </row>
    <row r="399" customFormat="false" ht="15" hidden="false" customHeight="true" outlineLevel="0" collapsed="false">
      <c r="A399" s="13"/>
      <c r="B399" s="14"/>
      <c r="C399" s="15"/>
      <c r="D399" s="16"/>
      <c r="E399" s="13" t="str">
        <f aca="false">IF(D399="","",IFERROR(INDEX('Plan de Cuentas'!$B$5:$B$1241,MATCH(D399,'Plan de Cuentas'!$A$5:$A$1241,0)),"No encontrado"))</f>
        <v/>
      </c>
      <c r="F399" s="16"/>
      <c r="G399" s="13" t="str">
        <f aca="false">IF(F399="","",IFERROR(INDEX('Plan de Cuentas'!$B$5:$B$1241,MATCH(F399,'Plan de Cuentas'!$A$5:$A$1241,0)),"No encontrado"))</f>
        <v/>
      </c>
      <c r="H399" s="17"/>
      <c r="I399" s="13"/>
    </row>
    <row r="400" customFormat="false" ht="15" hidden="false" customHeight="true" outlineLevel="0" collapsed="false">
      <c r="A400" s="13"/>
      <c r="B400" s="14"/>
      <c r="C400" s="15"/>
      <c r="D400" s="16"/>
      <c r="E400" s="13" t="str">
        <f aca="false">IF(D400="","",IFERROR(INDEX('Plan de Cuentas'!$B$5:$B$1241,MATCH(D400,'Plan de Cuentas'!$A$5:$A$1241,0)),"No encontrado"))</f>
        <v/>
      </c>
      <c r="F400" s="16"/>
      <c r="G400" s="13" t="str">
        <f aca="false">IF(F400="","",IFERROR(INDEX('Plan de Cuentas'!$B$5:$B$1241,MATCH(F400,'Plan de Cuentas'!$A$5:$A$1241,0)),"No encontrado"))</f>
        <v/>
      </c>
      <c r="H400" s="17"/>
      <c r="I400" s="13"/>
    </row>
    <row r="401" customFormat="false" ht="15" hidden="false" customHeight="true" outlineLevel="0" collapsed="false">
      <c r="A401" s="13"/>
      <c r="B401" s="14"/>
      <c r="C401" s="15"/>
      <c r="D401" s="16"/>
      <c r="E401" s="13" t="str">
        <f aca="false">IF(D401="","",IFERROR(INDEX('Plan de Cuentas'!$B$5:$B$1241,MATCH(D401,'Plan de Cuentas'!$A$5:$A$1241,0)),"No encontrado"))</f>
        <v/>
      </c>
      <c r="F401" s="16"/>
      <c r="G401" s="13" t="str">
        <f aca="false">IF(F401="","",IFERROR(INDEX('Plan de Cuentas'!$B$5:$B$1241,MATCH(F401,'Plan de Cuentas'!$A$5:$A$1241,0)),"No encontrado"))</f>
        <v/>
      </c>
      <c r="H401" s="17"/>
      <c r="I401" s="13"/>
    </row>
    <row r="402" customFormat="false" ht="15" hidden="false" customHeight="true" outlineLevel="0" collapsed="false">
      <c r="A402" s="13"/>
      <c r="B402" s="14"/>
      <c r="C402" s="15"/>
      <c r="D402" s="16"/>
      <c r="E402" s="13" t="str">
        <f aca="false">IF(D402="","",IFERROR(INDEX('Plan de Cuentas'!$B$5:$B$1241,MATCH(D402,'Plan de Cuentas'!$A$5:$A$1241,0)),"No encontrado"))</f>
        <v/>
      </c>
      <c r="F402" s="16"/>
      <c r="G402" s="13" t="str">
        <f aca="false">IF(F402="","",IFERROR(INDEX('Plan de Cuentas'!$B$5:$B$1241,MATCH(F402,'Plan de Cuentas'!$A$5:$A$1241,0)),"No encontrado"))</f>
        <v/>
      </c>
      <c r="H402" s="17"/>
      <c r="I402" s="13"/>
    </row>
    <row r="403" customFormat="false" ht="15" hidden="false" customHeight="true" outlineLevel="0" collapsed="false">
      <c r="A403" s="13"/>
      <c r="B403" s="14"/>
      <c r="C403" s="15"/>
      <c r="D403" s="16"/>
      <c r="E403" s="13" t="str">
        <f aca="false">IF(D403="","",IFERROR(INDEX('Plan de Cuentas'!$B$5:$B$1241,MATCH(D403,'Plan de Cuentas'!$A$5:$A$1241,0)),"No encontrado"))</f>
        <v/>
      </c>
      <c r="F403" s="16"/>
      <c r="G403" s="13" t="str">
        <f aca="false">IF(F403="","",IFERROR(INDEX('Plan de Cuentas'!$B$5:$B$1241,MATCH(F403,'Plan de Cuentas'!$A$5:$A$1241,0)),"No encontrado"))</f>
        <v/>
      </c>
      <c r="H403" s="17"/>
      <c r="I403" s="13"/>
    </row>
    <row r="404" customFormat="false" ht="15" hidden="false" customHeight="true" outlineLevel="0" collapsed="false">
      <c r="A404" s="13"/>
      <c r="B404" s="14"/>
      <c r="C404" s="15"/>
      <c r="D404" s="16"/>
      <c r="E404" s="13" t="str">
        <f aca="false">IF(D404="","",IFERROR(INDEX('Plan de Cuentas'!$B$5:$B$1241,MATCH(D404,'Plan de Cuentas'!$A$5:$A$1241,0)),"No encontrado"))</f>
        <v/>
      </c>
      <c r="F404" s="16"/>
      <c r="G404" s="13" t="str">
        <f aca="false">IF(F404="","",IFERROR(INDEX('Plan de Cuentas'!$B$5:$B$1241,MATCH(F404,'Plan de Cuentas'!$A$5:$A$1241,0)),"No encontrado"))</f>
        <v/>
      </c>
      <c r="H404" s="17"/>
      <c r="I404" s="13"/>
    </row>
    <row r="405" customFormat="false" ht="15" hidden="false" customHeight="true" outlineLevel="0" collapsed="false">
      <c r="A405" s="13"/>
      <c r="B405" s="14"/>
      <c r="C405" s="15"/>
      <c r="D405" s="16"/>
      <c r="E405" s="13" t="str">
        <f aca="false">IF(D405="","",IFERROR(INDEX('Plan de Cuentas'!$B$5:$B$1241,MATCH(D405,'Plan de Cuentas'!$A$5:$A$1241,0)),"No encontrado"))</f>
        <v/>
      </c>
      <c r="F405" s="16"/>
      <c r="G405" s="13" t="str">
        <f aca="false">IF(F405="","",IFERROR(INDEX('Plan de Cuentas'!$B$5:$B$1241,MATCH(F405,'Plan de Cuentas'!$A$5:$A$1241,0)),"No encontrado"))</f>
        <v/>
      </c>
      <c r="H405" s="17"/>
      <c r="I405" s="13"/>
    </row>
    <row r="406" customFormat="false" ht="15" hidden="false" customHeight="true" outlineLevel="0" collapsed="false">
      <c r="A406" s="13"/>
      <c r="B406" s="14"/>
      <c r="C406" s="15"/>
      <c r="D406" s="16"/>
      <c r="E406" s="13" t="str">
        <f aca="false">IF(D406="","",IFERROR(INDEX('Plan de Cuentas'!$B$5:$B$1241,MATCH(D406,'Plan de Cuentas'!$A$5:$A$1241,0)),"No encontrado"))</f>
        <v/>
      </c>
      <c r="F406" s="16"/>
      <c r="G406" s="13" t="str">
        <f aca="false">IF(F406="","",IFERROR(INDEX('Plan de Cuentas'!$B$5:$B$1241,MATCH(F406,'Plan de Cuentas'!$A$5:$A$1241,0)),"No encontrado"))</f>
        <v/>
      </c>
      <c r="H406" s="17"/>
      <c r="I406" s="13"/>
    </row>
    <row r="407" customFormat="false" ht="15" hidden="false" customHeight="true" outlineLevel="0" collapsed="false">
      <c r="A407" s="13"/>
      <c r="B407" s="14"/>
      <c r="C407" s="15"/>
      <c r="D407" s="16"/>
      <c r="E407" s="13" t="str">
        <f aca="false">IF(D407="","",IFERROR(INDEX('Plan de Cuentas'!$B$5:$B$1241,MATCH(D407,'Plan de Cuentas'!$A$5:$A$1241,0)),"No encontrado"))</f>
        <v/>
      </c>
      <c r="F407" s="16"/>
      <c r="G407" s="13" t="str">
        <f aca="false">IF(F407="","",IFERROR(INDEX('Plan de Cuentas'!$B$5:$B$1241,MATCH(F407,'Plan de Cuentas'!$A$5:$A$1241,0)),"No encontrado"))</f>
        <v/>
      </c>
      <c r="H407" s="17"/>
      <c r="I407" s="13"/>
    </row>
    <row r="408" customFormat="false" ht="15" hidden="false" customHeight="true" outlineLevel="0" collapsed="false">
      <c r="A408" s="13"/>
      <c r="B408" s="14"/>
      <c r="C408" s="15"/>
      <c r="D408" s="16"/>
      <c r="E408" s="13" t="str">
        <f aca="false">IF(D408="","",IFERROR(INDEX('Plan de Cuentas'!$B$5:$B$1241,MATCH(D408,'Plan de Cuentas'!$A$5:$A$1241,0)),"No encontrado"))</f>
        <v/>
      </c>
      <c r="F408" s="16"/>
      <c r="G408" s="13" t="str">
        <f aca="false">IF(F408="","",IFERROR(INDEX('Plan de Cuentas'!$B$5:$B$1241,MATCH(F408,'Plan de Cuentas'!$A$5:$A$1241,0)),"No encontrado"))</f>
        <v/>
      </c>
      <c r="H408" s="17"/>
      <c r="I408" s="13"/>
    </row>
    <row r="409" customFormat="false" ht="15" hidden="false" customHeight="true" outlineLevel="0" collapsed="false">
      <c r="A409" s="13"/>
      <c r="B409" s="14"/>
      <c r="C409" s="15"/>
      <c r="D409" s="16"/>
      <c r="E409" s="13" t="str">
        <f aca="false">IF(D409="","",IFERROR(INDEX('Plan de Cuentas'!$B$5:$B$1241,MATCH(D409,'Plan de Cuentas'!$A$5:$A$1241,0)),"No encontrado"))</f>
        <v/>
      </c>
      <c r="F409" s="16"/>
      <c r="G409" s="13" t="str">
        <f aca="false">IF(F409="","",IFERROR(INDEX('Plan de Cuentas'!$B$5:$B$1241,MATCH(F409,'Plan de Cuentas'!$A$5:$A$1241,0)),"No encontrado"))</f>
        <v/>
      </c>
      <c r="H409" s="17"/>
      <c r="I409" s="13"/>
    </row>
    <row r="410" customFormat="false" ht="15" hidden="false" customHeight="true" outlineLevel="0" collapsed="false">
      <c r="A410" s="13"/>
      <c r="B410" s="14"/>
      <c r="C410" s="15"/>
      <c r="D410" s="16"/>
      <c r="E410" s="13" t="str">
        <f aca="false">IF(D410="","",IFERROR(INDEX('Plan de Cuentas'!$B$5:$B$1241,MATCH(D410,'Plan de Cuentas'!$A$5:$A$1241,0)),"No encontrado"))</f>
        <v/>
      </c>
      <c r="F410" s="16"/>
      <c r="G410" s="13" t="str">
        <f aca="false">IF(F410="","",IFERROR(INDEX('Plan de Cuentas'!$B$5:$B$1241,MATCH(F410,'Plan de Cuentas'!$A$5:$A$1241,0)),"No encontrado"))</f>
        <v/>
      </c>
      <c r="H410" s="17"/>
      <c r="I410" s="13"/>
    </row>
    <row r="411" customFormat="false" ht="15" hidden="false" customHeight="true" outlineLevel="0" collapsed="false">
      <c r="A411" s="13"/>
      <c r="B411" s="14"/>
      <c r="C411" s="15"/>
      <c r="D411" s="16"/>
      <c r="E411" s="13" t="str">
        <f aca="false">IF(D411="","",IFERROR(INDEX('Plan de Cuentas'!$B$5:$B$1241,MATCH(D411,'Plan de Cuentas'!$A$5:$A$1241,0)),"No encontrado"))</f>
        <v/>
      </c>
      <c r="F411" s="16"/>
      <c r="G411" s="13" t="str">
        <f aca="false">IF(F411="","",IFERROR(INDEX('Plan de Cuentas'!$B$5:$B$1241,MATCH(F411,'Plan de Cuentas'!$A$5:$A$1241,0)),"No encontrado"))</f>
        <v/>
      </c>
      <c r="H411" s="17"/>
      <c r="I411" s="13"/>
    </row>
    <row r="412" customFormat="false" ht="15" hidden="false" customHeight="true" outlineLevel="0" collapsed="false">
      <c r="A412" s="13"/>
      <c r="B412" s="14"/>
      <c r="C412" s="15"/>
      <c r="D412" s="16"/>
      <c r="E412" s="13" t="str">
        <f aca="false">IF(D412="","",IFERROR(INDEX('Plan de Cuentas'!$B$5:$B$1241,MATCH(D412,'Plan de Cuentas'!$A$5:$A$1241,0)),"No encontrado"))</f>
        <v/>
      </c>
      <c r="F412" s="16"/>
      <c r="G412" s="13" t="str">
        <f aca="false">IF(F412="","",IFERROR(INDEX('Plan de Cuentas'!$B$5:$B$1241,MATCH(F412,'Plan de Cuentas'!$A$5:$A$1241,0)),"No encontrado"))</f>
        <v/>
      </c>
      <c r="H412" s="17"/>
      <c r="I412" s="13"/>
    </row>
    <row r="413" customFormat="false" ht="15" hidden="false" customHeight="true" outlineLevel="0" collapsed="false">
      <c r="A413" s="13"/>
      <c r="B413" s="14"/>
      <c r="C413" s="15"/>
      <c r="D413" s="16"/>
      <c r="E413" s="13" t="str">
        <f aca="false">IF(D413="","",IFERROR(INDEX('Plan de Cuentas'!$B$5:$B$1241,MATCH(D413,'Plan de Cuentas'!$A$5:$A$1241,0)),"No encontrado"))</f>
        <v/>
      </c>
      <c r="F413" s="16"/>
      <c r="G413" s="13" t="str">
        <f aca="false">IF(F413="","",IFERROR(INDEX('Plan de Cuentas'!$B$5:$B$1241,MATCH(F413,'Plan de Cuentas'!$A$5:$A$1241,0)),"No encontrado"))</f>
        <v/>
      </c>
      <c r="H413" s="17"/>
      <c r="I413" s="13"/>
    </row>
    <row r="414" customFormat="false" ht="15" hidden="false" customHeight="true" outlineLevel="0" collapsed="false">
      <c r="A414" s="13"/>
      <c r="B414" s="14"/>
      <c r="C414" s="15"/>
      <c r="D414" s="16"/>
      <c r="E414" s="13" t="str">
        <f aca="false">IF(D414="","",IFERROR(INDEX('Plan de Cuentas'!$B$5:$B$1241,MATCH(D414,'Plan de Cuentas'!$A$5:$A$1241,0)),"No encontrado"))</f>
        <v/>
      </c>
      <c r="F414" s="16"/>
      <c r="G414" s="13" t="str">
        <f aca="false">IF(F414="","",IFERROR(INDEX('Plan de Cuentas'!$B$5:$B$1241,MATCH(F414,'Plan de Cuentas'!$A$5:$A$1241,0)),"No encontrado"))</f>
        <v/>
      </c>
      <c r="H414" s="17"/>
      <c r="I414" s="13"/>
    </row>
    <row r="415" customFormat="false" ht="15" hidden="false" customHeight="true" outlineLevel="0" collapsed="false">
      <c r="A415" s="13"/>
      <c r="B415" s="14"/>
      <c r="C415" s="15"/>
      <c r="D415" s="16"/>
      <c r="E415" s="13" t="str">
        <f aca="false">IF(D415="","",IFERROR(INDEX('Plan de Cuentas'!$B$5:$B$1241,MATCH(D415,'Plan de Cuentas'!$A$5:$A$1241,0)),"No encontrado"))</f>
        <v/>
      </c>
      <c r="F415" s="16"/>
      <c r="G415" s="13" t="str">
        <f aca="false">IF(F415="","",IFERROR(INDEX('Plan de Cuentas'!$B$5:$B$1241,MATCH(F415,'Plan de Cuentas'!$A$5:$A$1241,0)),"No encontrado"))</f>
        <v/>
      </c>
      <c r="H415" s="17"/>
      <c r="I415" s="13"/>
    </row>
    <row r="416" customFormat="false" ht="15" hidden="false" customHeight="true" outlineLevel="0" collapsed="false">
      <c r="A416" s="13"/>
      <c r="B416" s="14"/>
      <c r="C416" s="15"/>
      <c r="D416" s="16"/>
      <c r="E416" s="13" t="str">
        <f aca="false">IF(D416="","",IFERROR(INDEX('Plan de Cuentas'!$B$5:$B$1241,MATCH(D416,'Plan de Cuentas'!$A$5:$A$1241,0)),"No encontrado"))</f>
        <v/>
      </c>
      <c r="F416" s="16"/>
      <c r="G416" s="13" t="str">
        <f aca="false">IF(F416="","",IFERROR(INDEX('Plan de Cuentas'!$B$5:$B$1241,MATCH(F416,'Plan de Cuentas'!$A$5:$A$1241,0)),"No encontrado"))</f>
        <v/>
      </c>
      <c r="H416" s="17"/>
      <c r="I416" s="13"/>
    </row>
    <row r="417" customFormat="false" ht="15" hidden="false" customHeight="true" outlineLevel="0" collapsed="false">
      <c r="A417" s="13"/>
      <c r="B417" s="14"/>
      <c r="C417" s="15"/>
      <c r="D417" s="16"/>
      <c r="E417" s="13" t="str">
        <f aca="false">IF(D417="","",IFERROR(INDEX('Plan de Cuentas'!$B$5:$B$1241,MATCH(D417,'Plan de Cuentas'!$A$5:$A$1241,0)),"No encontrado"))</f>
        <v/>
      </c>
      <c r="F417" s="16"/>
      <c r="G417" s="13" t="str">
        <f aca="false">IF(F417="","",IFERROR(INDEX('Plan de Cuentas'!$B$5:$B$1241,MATCH(F417,'Plan de Cuentas'!$A$5:$A$1241,0)),"No encontrado"))</f>
        <v/>
      </c>
      <c r="H417" s="17"/>
      <c r="I417" s="13"/>
    </row>
    <row r="418" customFormat="false" ht="15" hidden="false" customHeight="true" outlineLevel="0" collapsed="false">
      <c r="A418" s="13"/>
      <c r="B418" s="14"/>
      <c r="C418" s="15"/>
      <c r="D418" s="16"/>
      <c r="E418" s="13" t="str">
        <f aca="false">IF(D418="","",IFERROR(INDEX('Plan de Cuentas'!$B$5:$B$1241,MATCH(D418,'Plan de Cuentas'!$A$5:$A$1241,0)),"No encontrado"))</f>
        <v/>
      </c>
      <c r="F418" s="16"/>
      <c r="G418" s="13" t="str">
        <f aca="false">IF(F418="","",IFERROR(INDEX('Plan de Cuentas'!$B$5:$B$1241,MATCH(F418,'Plan de Cuentas'!$A$5:$A$1241,0)),"No encontrado"))</f>
        <v/>
      </c>
      <c r="H418" s="17"/>
      <c r="I418" s="13"/>
    </row>
    <row r="419" customFormat="false" ht="15" hidden="false" customHeight="true" outlineLevel="0" collapsed="false">
      <c r="A419" s="13"/>
      <c r="B419" s="14"/>
      <c r="C419" s="15"/>
      <c r="D419" s="16"/>
      <c r="E419" s="13" t="str">
        <f aca="false">IF(D419="","",IFERROR(INDEX('Plan de Cuentas'!$B$5:$B$1241,MATCH(D419,'Plan de Cuentas'!$A$5:$A$1241,0)),"No encontrado"))</f>
        <v/>
      </c>
      <c r="F419" s="16"/>
      <c r="G419" s="13" t="str">
        <f aca="false">IF(F419="","",IFERROR(INDEX('Plan de Cuentas'!$B$5:$B$1241,MATCH(F419,'Plan de Cuentas'!$A$5:$A$1241,0)),"No encontrado"))</f>
        <v/>
      </c>
      <c r="H419" s="17"/>
      <c r="I419" s="13"/>
    </row>
    <row r="420" customFormat="false" ht="15" hidden="false" customHeight="true" outlineLevel="0" collapsed="false">
      <c r="A420" s="13"/>
      <c r="B420" s="14"/>
      <c r="C420" s="15"/>
      <c r="D420" s="16"/>
      <c r="E420" s="13" t="str">
        <f aca="false">IF(D420="","",IFERROR(INDEX('Plan de Cuentas'!$B$5:$B$1241,MATCH(D420,'Plan de Cuentas'!$A$5:$A$1241,0)),"No encontrado"))</f>
        <v/>
      </c>
      <c r="F420" s="16"/>
      <c r="G420" s="13" t="str">
        <f aca="false">IF(F420="","",IFERROR(INDEX('Plan de Cuentas'!$B$5:$B$1241,MATCH(F420,'Plan de Cuentas'!$A$5:$A$1241,0)),"No encontrado"))</f>
        <v/>
      </c>
      <c r="H420" s="17"/>
      <c r="I420" s="13"/>
    </row>
    <row r="421" customFormat="false" ht="15" hidden="false" customHeight="true" outlineLevel="0" collapsed="false">
      <c r="A421" s="13"/>
      <c r="B421" s="14"/>
      <c r="C421" s="15"/>
      <c r="D421" s="16"/>
      <c r="E421" s="13" t="str">
        <f aca="false">IF(D421="","",IFERROR(INDEX('Plan de Cuentas'!$B$5:$B$1241,MATCH(D421,'Plan de Cuentas'!$A$5:$A$1241,0)),"No encontrado"))</f>
        <v/>
      </c>
      <c r="F421" s="16"/>
      <c r="G421" s="13" t="str">
        <f aca="false">IF(F421="","",IFERROR(INDEX('Plan de Cuentas'!$B$5:$B$1241,MATCH(F421,'Plan de Cuentas'!$A$5:$A$1241,0)),"No encontrado"))</f>
        <v/>
      </c>
      <c r="H421" s="17"/>
      <c r="I421" s="13"/>
    </row>
    <row r="422" customFormat="false" ht="15" hidden="false" customHeight="true" outlineLevel="0" collapsed="false">
      <c r="A422" s="13"/>
      <c r="B422" s="14"/>
      <c r="C422" s="15"/>
      <c r="D422" s="16"/>
      <c r="E422" s="13" t="str">
        <f aca="false">IF(D422="","",IFERROR(INDEX('Plan de Cuentas'!$B$5:$B$1241,MATCH(D422,'Plan de Cuentas'!$A$5:$A$1241,0)),"No encontrado"))</f>
        <v/>
      </c>
      <c r="F422" s="16"/>
      <c r="G422" s="13" t="str">
        <f aca="false">IF(F422="","",IFERROR(INDEX('Plan de Cuentas'!$B$5:$B$1241,MATCH(F422,'Plan de Cuentas'!$A$5:$A$1241,0)),"No encontrado"))</f>
        <v/>
      </c>
      <c r="H422" s="17"/>
      <c r="I422" s="13"/>
    </row>
    <row r="423" customFormat="false" ht="15" hidden="false" customHeight="true" outlineLevel="0" collapsed="false">
      <c r="A423" s="13"/>
      <c r="B423" s="14"/>
      <c r="C423" s="15"/>
      <c r="D423" s="16"/>
      <c r="E423" s="13" t="str">
        <f aca="false">IF(D423="","",IFERROR(INDEX('Plan de Cuentas'!$B$5:$B$1241,MATCH(D423,'Plan de Cuentas'!$A$5:$A$1241,0)),"No encontrado"))</f>
        <v/>
      </c>
      <c r="F423" s="16"/>
      <c r="G423" s="13" t="str">
        <f aca="false">IF(F423="","",IFERROR(INDEX('Plan de Cuentas'!$B$5:$B$1241,MATCH(F423,'Plan de Cuentas'!$A$5:$A$1241,0)),"No encontrado"))</f>
        <v/>
      </c>
      <c r="H423" s="17"/>
      <c r="I423" s="13"/>
    </row>
    <row r="424" customFormat="false" ht="15" hidden="false" customHeight="true" outlineLevel="0" collapsed="false">
      <c r="A424" s="13"/>
      <c r="B424" s="14"/>
      <c r="C424" s="15"/>
      <c r="D424" s="16"/>
      <c r="E424" s="13" t="str">
        <f aca="false">IF(D424="","",IFERROR(INDEX('Plan de Cuentas'!$B$5:$B$1241,MATCH(D424,'Plan de Cuentas'!$A$5:$A$1241,0)),"No encontrado"))</f>
        <v/>
      </c>
      <c r="F424" s="16"/>
      <c r="G424" s="13" t="str">
        <f aca="false">IF(F424="","",IFERROR(INDEX('Plan de Cuentas'!$B$5:$B$1241,MATCH(F424,'Plan de Cuentas'!$A$5:$A$1241,0)),"No encontrado"))</f>
        <v/>
      </c>
      <c r="H424" s="17"/>
      <c r="I424" s="13"/>
    </row>
    <row r="425" customFormat="false" ht="15" hidden="false" customHeight="true" outlineLevel="0" collapsed="false">
      <c r="A425" s="13"/>
      <c r="B425" s="14"/>
      <c r="C425" s="15"/>
      <c r="D425" s="16"/>
      <c r="E425" s="13" t="str">
        <f aca="false">IF(D425="","",IFERROR(INDEX('Plan de Cuentas'!$B$5:$B$1241,MATCH(D425,'Plan de Cuentas'!$A$5:$A$1241,0)),"No encontrado"))</f>
        <v/>
      </c>
      <c r="F425" s="16"/>
      <c r="G425" s="13" t="str">
        <f aca="false">IF(F425="","",IFERROR(INDEX('Plan de Cuentas'!$B$5:$B$1241,MATCH(F425,'Plan de Cuentas'!$A$5:$A$1241,0)),"No encontrado"))</f>
        <v/>
      </c>
      <c r="H425" s="17"/>
      <c r="I425" s="13"/>
    </row>
    <row r="426" customFormat="false" ht="15" hidden="false" customHeight="true" outlineLevel="0" collapsed="false">
      <c r="A426" s="13"/>
      <c r="B426" s="14"/>
      <c r="C426" s="15"/>
      <c r="D426" s="16"/>
      <c r="E426" s="13" t="str">
        <f aca="false">IF(D426="","",IFERROR(INDEX('Plan de Cuentas'!$B$5:$B$1241,MATCH(D426,'Plan de Cuentas'!$A$5:$A$1241,0)),"No encontrado"))</f>
        <v/>
      </c>
      <c r="F426" s="16"/>
      <c r="G426" s="13" t="str">
        <f aca="false">IF(F426="","",IFERROR(INDEX('Plan de Cuentas'!$B$5:$B$1241,MATCH(F426,'Plan de Cuentas'!$A$5:$A$1241,0)),"No encontrado"))</f>
        <v/>
      </c>
      <c r="H426" s="17"/>
      <c r="I426" s="13"/>
    </row>
    <row r="427" customFormat="false" ht="15" hidden="false" customHeight="true" outlineLevel="0" collapsed="false">
      <c r="A427" s="13"/>
      <c r="B427" s="14"/>
      <c r="C427" s="15"/>
      <c r="D427" s="16"/>
      <c r="E427" s="13" t="str">
        <f aca="false">IF(D427="","",IFERROR(INDEX('Plan de Cuentas'!$B$5:$B$1241,MATCH(D427,'Plan de Cuentas'!$A$5:$A$1241,0)),"No encontrado"))</f>
        <v/>
      </c>
      <c r="F427" s="16"/>
      <c r="G427" s="13" t="str">
        <f aca="false">IF(F427="","",IFERROR(INDEX('Plan de Cuentas'!$B$5:$B$1241,MATCH(F427,'Plan de Cuentas'!$A$5:$A$1241,0)),"No encontrado"))</f>
        <v/>
      </c>
      <c r="H427" s="17"/>
      <c r="I427" s="13"/>
    </row>
    <row r="428" customFormat="false" ht="15" hidden="false" customHeight="true" outlineLevel="0" collapsed="false">
      <c r="A428" s="13"/>
      <c r="B428" s="14"/>
      <c r="C428" s="15"/>
      <c r="D428" s="16"/>
      <c r="E428" s="13" t="str">
        <f aca="false">IF(D428="","",IFERROR(INDEX('Plan de Cuentas'!$B$5:$B$1241,MATCH(D428,'Plan de Cuentas'!$A$5:$A$1241,0)),"No encontrado"))</f>
        <v/>
      </c>
      <c r="F428" s="16"/>
      <c r="G428" s="13" t="str">
        <f aca="false">IF(F428="","",IFERROR(INDEX('Plan de Cuentas'!$B$5:$B$1241,MATCH(F428,'Plan de Cuentas'!$A$5:$A$1241,0)),"No encontrado"))</f>
        <v/>
      </c>
      <c r="H428" s="17"/>
      <c r="I428" s="13"/>
    </row>
    <row r="429" customFormat="false" ht="15" hidden="false" customHeight="true" outlineLevel="0" collapsed="false">
      <c r="A429" s="13"/>
      <c r="B429" s="14"/>
      <c r="C429" s="15"/>
      <c r="D429" s="16"/>
      <c r="E429" s="13" t="str">
        <f aca="false">IF(D429="","",IFERROR(INDEX('Plan de Cuentas'!$B$5:$B$1241,MATCH(D429,'Plan de Cuentas'!$A$5:$A$1241,0)),"No encontrado"))</f>
        <v/>
      </c>
      <c r="F429" s="16"/>
      <c r="G429" s="13" t="str">
        <f aca="false">IF(F429="","",IFERROR(INDEX('Plan de Cuentas'!$B$5:$B$1241,MATCH(F429,'Plan de Cuentas'!$A$5:$A$1241,0)),"No encontrado"))</f>
        <v/>
      </c>
      <c r="H429" s="17"/>
      <c r="I429" s="13"/>
    </row>
    <row r="430" customFormat="false" ht="15" hidden="false" customHeight="true" outlineLevel="0" collapsed="false">
      <c r="A430" s="13"/>
      <c r="B430" s="14"/>
      <c r="C430" s="15"/>
      <c r="D430" s="16"/>
      <c r="E430" s="13" t="str">
        <f aca="false">IF(D430="","",IFERROR(INDEX('Plan de Cuentas'!$B$5:$B$1241,MATCH(D430,'Plan de Cuentas'!$A$5:$A$1241,0)),"No encontrado"))</f>
        <v/>
      </c>
      <c r="F430" s="16"/>
      <c r="G430" s="13" t="str">
        <f aca="false">IF(F430="","",IFERROR(INDEX('Plan de Cuentas'!$B$5:$B$1241,MATCH(F430,'Plan de Cuentas'!$A$5:$A$1241,0)),"No encontrado"))</f>
        <v/>
      </c>
      <c r="H430" s="17"/>
      <c r="I430" s="13"/>
    </row>
    <row r="431" customFormat="false" ht="15" hidden="false" customHeight="true" outlineLevel="0" collapsed="false">
      <c r="A431" s="13"/>
      <c r="B431" s="14"/>
      <c r="C431" s="15"/>
      <c r="D431" s="16"/>
      <c r="E431" s="13" t="str">
        <f aca="false">IF(D431="","",IFERROR(INDEX('Plan de Cuentas'!$B$5:$B$1241,MATCH(D431,'Plan de Cuentas'!$A$5:$A$1241,0)),"No encontrado"))</f>
        <v/>
      </c>
      <c r="F431" s="16"/>
      <c r="G431" s="13" t="str">
        <f aca="false">IF(F431="","",IFERROR(INDEX('Plan de Cuentas'!$B$5:$B$1241,MATCH(F431,'Plan de Cuentas'!$A$5:$A$1241,0)),"No encontrado"))</f>
        <v/>
      </c>
      <c r="H431" s="17"/>
      <c r="I431" s="13"/>
    </row>
    <row r="432" customFormat="false" ht="15" hidden="false" customHeight="true" outlineLevel="0" collapsed="false">
      <c r="A432" s="13"/>
      <c r="B432" s="14"/>
      <c r="C432" s="15"/>
      <c r="D432" s="16"/>
      <c r="E432" s="13" t="str">
        <f aca="false">IF(D432="","",IFERROR(INDEX('Plan de Cuentas'!$B$5:$B$1241,MATCH(D432,'Plan de Cuentas'!$A$5:$A$1241,0)),"No encontrado"))</f>
        <v/>
      </c>
      <c r="F432" s="16"/>
      <c r="G432" s="13" t="str">
        <f aca="false">IF(F432="","",IFERROR(INDEX('Plan de Cuentas'!$B$5:$B$1241,MATCH(F432,'Plan de Cuentas'!$A$5:$A$1241,0)),"No encontrado"))</f>
        <v/>
      </c>
      <c r="H432" s="17"/>
      <c r="I432" s="13"/>
    </row>
    <row r="433" customFormat="false" ht="15" hidden="false" customHeight="true" outlineLevel="0" collapsed="false">
      <c r="A433" s="13"/>
      <c r="B433" s="14"/>
      <c r="C433" s="15"/>
      <c r="D433" s="16"/>
      <c r="E433" s="13" t="str">
        <f aca="false">IF(D433="","",IFERROR(INDEX('Plan de Cuentas'!$B$5:$B$1241,MATCH(D433,'Plan de Cuentas'!$A$5:$A$1241,0)),"No encontrado"))</f>
        <v/>
      </c>
      <c r="F433" s="16"/>
      <c r="G433" s="13" t="str">
        <f aca="false">IF(F433="","",IFERROR(INDEX('Plan de Cuentas'!$B$5:$B$1241,MATCH(F433,'Plan de Cuentas'!$A$5:$A$1241,0)),"No encontrado"))</f>
        <v/>
      </c>
      <c r="H433" s="17"/>
      <c r="I433" s="13"/>
    </row>
    <row r="434" customFormat="false" ht="15" hidden="false" customHeight="true" outlineLevel="0" collapsed="false">
      <c r="A434" s="13"/>
      <c r="B434" s="14"/>
      <c r="C434" s="15"/>
      <c r="D434" s="16"/>
      <c r="E434" s="13" t="str">
        <f aca="false">IF(D434="","",IFERROR(INDEX('Plan de Cuentas'!$B$5:$B$1241,MATCH(D434,'Plan de Cuentas'!$A$5:$A$1241,0)),"No encontrado"))</f>
        <v/>
      </c>
      <c r="F434" s="16"/>
      <c r="G434" s="13" t="str">
        <f aca="false">IF(F434="","",IFERROR(INDEX('Plan de Cuentas'!$B$5:$B$1241,MATCH(F434,'Plan de Cuentas'!$A$5:$A$1241,0)),"No encontrado"))</f>
        <v/>
      </c>
      <c r="H434" s="17"/>
      <c r="I434" s="13"/>
    </row>
    <row r="435" customFormat="false" ht="15" hidden="false" customHeight="true" outlineLevel="0" collapsed="false">
      <c r="A435" s="13"/>
      <c r="B435" s="14"/>
      <c r="C435" s="15"/>
      <c r="D435" s="16"/>
      <c r="E435" s="13" t="str">
        <f aca="false">IF(D435="","",IFERROR(INDEX('Plan de Cuentas'!$B$5:$B$1241,MATCH(D435,'Plan de Cuentas'!$A$5:$A$1241,0)),"No encontrado"))</f>
        <v/>
      </c>
      <c r="F435" s="16"/>
      <c r="G435" s="13" t="str">
        <f aca="false">IF(F435="","",IFERROR(INDEX('Plan de Cuentas'!$B$5:$B$1241,MATCH(F435,'Plan de Cuentas'!$A$5:$A$1241,0)),"No encontrado"))</f>
        <v/>
      </c>
      <c r="H435" s="17"/>
      <c r="I435" s="13"/>
    </row>
    <row r="436" customFormat="false" ht="15" hidden="false" customHeight="true" outlineLevel="0" collapsed="false">
      <c r="A436" s="13"/>
      <c r="B436" s="14"/>
      <c r="C436" s="15"/>
      <c r="D436" s="16"/>
      <c r="E436" s="13" t="str">
        <f aca="false">IF(D436="","",IFERROR(INDEX('Plan de Cuentas'!$B$5:$B$1241,MATCH(D436,'Plan de Cuentas'!$A$5:$A$1241,0)),"No encontrado"))</f>
        <v/>
      </c>
      <c r="F436" s="16"/>
      <c r="G436" s="13" t="str">
        <f aca="false">IF(F436="","",IFERROR(INDEX('Plan de Cuentas'!$B$5:$B$1241,MATCH(F436,'Plan de Cuentas'!$A$5:$A$1241,0)),"No encontrado"))</f>
        <v/>
      </c>
      <c r="H436" s="17"/>
      <c r="I436" s="13"/>
    </row>
    <row r="437" customFormat="false" ht="15" hidden="false" customHeight="true" outlineLevel="0" collapsed="false">
      <c r="A437" s="13"/>
      <c r="B437" s="14"/>
      <c r="C437" s="15"/>
      <c r="D437" s="16"/>
      <c r="E437" s="13" t="str">
        <f aca="false">IF(D437="","",IFERROR(INDEX('Plan de Cuentas'!$B$5:$B$1241,MATCH(D437,'Plan de Cuentas'!$A$5:$A$1241,0)),"No encontrado"))</f>
        <v/>
      </c>
      <c r="F437" s="16"/>
      <c r="G437" s="13" t="str">
        <f aca="false">IF(F437="","",IFERROR(INDEX('Plan de Cuentas'!$B$5:$B$1241,MATCH(F437,'Plan de Cuentas'!$A$5:$A$1241,0)),"No encontrado"))</f>
        <v/>
      </c>
      <c r="H437" s="17"/>
      <c r="I437" s="13"/>
    </row>
    <row r="438" customFormat="false" ht="15" hidden="false" customHeight="true" outlineLevel="0" collapsed="false">
      <c r="A438" s="13"/>
      <c r="B438" s="14"/>
      <c r="C438" s="15"/>
      <c r="D438" s="16"/>
      <c r="E438" s="13" t="str">
        <f aca="false">IF(D438="","",IFERROR(INDEX('Plan de Cuentas'!$B$5:$B$1241,MATCH(D438,'Plan de Cuentas'!$A$5:$A$1241,0)),"No encontrado"))</f>
        <v/>
      </c>
      <c r="F438" s="16"/>
      <c r="G438" s="13" t="str">
        <f aca="false">IF(F438="","",IFERROR(INDEX('Plan de Cuentas'!$B$5:$B$1241,MATCH(F438,'Plan de Cuentas'!$A$5:$A$1241,0)),"No encontrado"))</f>
        <v/>
      </c>
      <c r="H438" s="17"/>
      <c r="I438" s="13"/>
    </row>
    <row r="439" customFormat="false" ht="15" hidden="false" customHeight="true" outlineLevel="0" collapsed="false">
      <c r="A439" s="13"/>
      <c r="B439" s="14"/>
      <c r="C439" s="15"/>
      <c r="D439" s="16"/>
      <c r="E439" s="13" t="str">
        <f aca="false">IF(D439="","",IFERROR(INDEX('Plan de Cuentas'!$B$5:$B$1241,MATCH(D439,'Plan de Cuentas'!$A$5:$A$1241,0)),"No encontrado"))</f>
        <v/>
      </c>
      <c r="F439" s="16"/>
      <c r="G439" s="13" t="str">
        <f aca="false">IF(F439="","",IFERROR(INDEX('Plan de Cuentas'!$B$5:$B$1241,MATCH(F439,'Plan de Cuentas'!$A$5:$A$1241,0)),"No encontrado"))</f>
        <v/>
      </c>
      <c r="H439" s="17"/>
      <c r="I439" s="13"/>
    </row>
    <row r="440" customFormat="false" ht="15" hidden="false" customHeight="true" outlineLevel="0" collapsed="false">
      <c r="A440" s="13"/>
      <c r="B440" s="14"/>
      <c r="C440" s="15"/>
      <c r="D440" s="16"/>
      <c r="E440" s="13" t="str">
        <f aca="false">IF(D440="","",IFERROR(INDEX('Plan de Cuentas'!$B$5:$B$1241,MATCH(D440,'Plan de Cuentas'!$A$5:$A$1241,0)),"No encontrado"))</f>
        <v/>
      </c>
      <c r="F440" s="16"/>
      <c r="G440" s="13" t="str">
        <f aca="false">IF(F440="","",IFERROR(INDEX('Plan de Cuentas'!$B$5:$B$1241,MATCH(F440,'Plan de Cuentas'!$A$5:$A$1241,0)),"No encontrado"))</f>
        <v/>
      </c>
      <c r="H440" s="17"/>
      <c r="I440" s="13"/>
    </row>
    <row r="441" customFormat="false" ht="15" hidden="false" customHeight="true" outlineLevel="0" collapsed="false">
      <c r="A441" s="13"/>
      <c r="B441" s="14"/>
      <c r="C441" s="15"/>
      <c r="D441" s="16"/>
      <c r="E441" s="13" t="str">
        <f aca="false">IF(D441="","",IFERROR(INDEX('Plan de Cuentas'!$B$5:$B$1241,MATCH(D441,'Plan de Cuentas'!$A$5:$A$1241,0)),"No encontrado"))</f>
        <v/>
      </c>
      <c r="F441" s="16"/>
      <c r="G441" s="13" t="str">
        <f aca="false">IF(F441="","",IFERROR(INDEX('Plan de Cuentas'!$B$5:$B$1241,MATCH(F441,'Plan de Cuentas'!$A$5:$A$1241,0)),"No encontrado"))</f>
        <v/>
      </c>
      <c r="H441" s="17"/>
      <c r="I441" s="13"/>
    </row>
    <row r="442" customFormat="false" ht="15" hidden="false" customHeight="true" outlineLevel="0" collapsed="false">
      <c r="A442" s="13"/>
      <c r="B442" s="14"/>
      <c r="C442" s="15"/>
      <c r="D442" s="16"/>
      <c r="E442" s="13" t="str">
        <f aca="false">IF(D442="","",IFERROR(INDEX('Plan de Cuentas'!$B$5:$B$1241,MATCH(D442,'Plan de Cuentas'!$A$5:$A$1241,0)),"No encontrado"))</f>
        <v/>
      </c>
      <c r="F442" s="16"/>
      <c r="G442" s="13" t="str">
        <f aca="false">IF(F442="","",IFERROR(INDEX('Plan de Cuentas'!$B$5:$B$1241,MATCH(F442,'Plan de Cuentas'!$A$5:$A$1241,0)),"No encontrado"))</f>
        <v/>
      </c>
      <c r="H442" s="17"/>
      <c r="I442" s="13"/>
    </row>
    <row r="443" customFormat="false" ht="15" hidden="false" customHeight="true" outlineLevel="0" collapsed="false">
      <c r="A443" s="13"/>
      <c r="B443" s="14"/>
      <c r="C443" s="15"/>
      <c r="D443" s="16"/>
      <c r="E443" s="13" t="str">
        <f aca="false">IF(D443="","",IFERROR(INDEX('Plan de Cuentas'!$B$5:$B$1241,MATCH(D443,'Plan de Cuentas'!$A$5:$A$1241,0)),"No encontrado"))</f>
        <v/>
      </c>
      <c r="F443" s="16"/>
      <c r="G443" s="13" t="str">
        <f aca="false">IF(F443="","",IFERROR(INDEX('Plan de Cuentas'!$B$5:$B$1241,MATCH(F443,'Plan de Cuentas'!$A$5:$A$1241,0)),"No encontrado"))</f>
        <v/>
      </c>
      <c r="H443" s="17"/>
      <c r="I443" s="13"/>
    </row>
    <row r="444" customFormat="false" ht="15" hidden="false" customHeight="true" outlineLevel="0" collapsed="false">
      <c r="A444" s="13"/>
      <c r="B444" s="14"/>
      <c r="C444" s="15"/>
      <c r="D444" s="16"/>
      <c r="E444" s="13" t="str">
        <f aca="false">IF(D444="","",IFERROR(INDEX('Plan de Cuentas'!$B$5:$B$1241,MATCH(D444,'Plan de Cuentas'!$A$5:$A$1241,0)),"No encontrado"))</f>
        <v/>
      </c>
      <c r="F444" s="16"/>
      <c r="G444" s="13" t="str">
        <f aca="false">IF(F444="","",IFERROR(INDEX('Plan de Cuentas'!$B$5:$B$1241,MATCH(F444,'Plan de Cuentas'!$A$5:$A$1241,0)),"No encontrado"))</f>
        <v/>
      </c>
      <c r="H444" s="17"/>
      <c r="I444" s="13"/>
    </row>
    <row r="445" customFormat="false" ht="15" hidden="false" customHeight="true" outlineLevel="0" collapsed="false">
      <c r="A445" s="13"/>
      <c r="B445" s="14"/>
      <c r="C445" s="15"/>
      <c r="D445" s="16"/>
      <c r="E445" s="13" t="str">
        <f aca="false">IF(D445="","",IFERROR(INDEX('Plan de Cuentas'!$B$5:$B$1241,MATCH(D445,'Plan de Cuentas'!$A$5:$A$1241,0)),"No encontrado"))</f>
        <v/>
      </c>
      <c r="F445" s="16"/>
      <c r="G445" s="13" t="str">
        <f aca="false">IF(F445="","",IFERROR(INDEX('Plan de Cuentas'!$B$5:$B$1241,MATCH(F445,'Plan de Cuentas'!$A$5:$A$1241,0)),"No encontrado"))</f>
        <v/>
      </c>
      <c r="H445" s="17"/>
      <c r="I445" s="13"/>
    </row>
    <row r="446" customFormat="false" ht="15" hidden="false" customHeight="true" outlineLevel="0" collapsed="false">
      <c r="A446" s="13"/>
      <c r="B446" s="14"/>
      <c r="C446" s="15"/>
      <c r="D446" s="16"/>
      <c r="E446" s="13" t="str">
        <f aca="false">IF(D446="","",IFERROR(INDEX('Plan de Cuentas'!$B$5:$B$1241,MATCH(D446,'Plan de Cuentas'!$A$5:$A$1241,0)),"No encontrado"))</f>
        <v/>
      </c>
      <c r="F446" s="16"/>
      <c r="G446" s="13" t="str">
        <f aca="false">IF(F446="","",IFERROR(INDEX('Plan de Cuentas'!$B$5:$B$1241,MATCH(F446,'Plan de Cuentas'!$A$5:$A$1241,0)),"No encontrado"))</f>
        <v/>
      </c>
      <c r="H446" s="17"/>
      <c r="I446" s="13"/>
    </row>
    <row r="447" customFormat="false" ht="15" hidden="false" customHeight="true" outlineLevel="0" collapsed="false">
      <c r="A447" s="13"/>
      <c r="B447" s="14"/>
      <c r="C447" s="15"/>
      <c r="D447" s="16"/>
      <c r="E447" s="13" t="str">
        <f aca="false">IF(D447="","",IFERROR(INDEX('Plan de Cuentas'!$B$5:$B$1241,MATCH(D447,'Plan de Cuentas'!$A$5:$A$1241,0)),"No encontrado"))</f>
        <v/>
      </c>
      <c r="F447" s="16"/>
      <c r="G447" s="13" t="str">
        <f aca="false">IF(F447="","",IFERROR(INDEX('Plan de Cuentas'!$B$5:$B$1241,MATCH(F447,'Plan de Cuentas'!$A$5:$A$1241,0)),"No encontrado"))</f>
        <v/>
      </c>
      <c r="H447" s="17"/>
      <c r="I447" s="13"/>
    </row>
    <row r="448" customFormat="false" ht="15" hidden="false" customHeight="true" outlineLevel="0" collapsed="false">
      <c r="A448" s="13"/>
      <c r="B448" s="14"/>
      <c r="C448" s="15"/>
      <c r="D448" s="16"/>
      <c r="E448" s="13" t="str">
        <f aca="false">IF(D448="","",IFERROR(INDEX('Plan de Cuentas'!$B$5:$B$1241,MATCH(D448,'Plan de Cuentas'!$A$5:$A$1241,0)),"No encontrado"))</f>
        <v/>
      </c>
      <c r="F448" s="16"/>
      <c r="G448" s="13" t="str">
        <f aca="false">IF(F448="","",IFERROR(INDEX('Plan de Cuentas'!$B$5:$B$1241,MATCH(F448,'Plan de Cuentas'!$A$5:$A$1241,0)),"No encontrado"))</f>
        <v/>
      </c>
      <c r="H448" s="17"/>
      <c r="I448" s="13"/>
    </row>
    <row r="449" customFormat="false" ht="15" hidden="false" customHeight="true" outlineLevel="0" collapsed="false">
      <c r="A449" s="13"/>
      <c r="B449" s="14"/>
      <c r="C449" s="15"/>
      <c r="D449" s="16"/>
      <c r="E449" s="13" t="str">
        <f aca="false">IF(D449="","",IFERROR(INDEX('Plan de Cuentas'!$B$5:$B$1241,MATCH(D449,'Plan de Cuentas'!$A$5:$A$1241,0)),"No encontrado"))</f>
        <v/>
      </c>
      <c r="F449" s="16"/>
      <c r="G449" s="13" t="str">
        <f aca="false">IF(F449="","",IFERROR(INDEX('Plan de Cuentas'!$B$5:$B$1241,MATCH(F449,'Plan de Cuentas'!$A$5:$A$1241,0)),"No encontrado"))</f>
        <v/>
      </c>
      <c r="H449" s="17"/>
      <c r="I449" s="13"/>
    </row>
    <row r="450" customFormat="false" ht="15" hidden="false" customHeight="true" outlineLevel="0" collapsed="false">
      <c r="A450" s="13"/>
      <c r="B450" s="14"/>
      <c r="C450" s="15"/>
      <c r="D450" s="16"/>
      <c r="E450" s="13" t="str">
        <f aca="false">IF(D450="","",IFERROR(INDEX('Plan de Cuentas'!$B$5:$B$1241,MATCH(D450,'Plan de Cuentas'!$A$5:$A$1241,0)),"No encontrado"))</f>
        <v/>
      </c>
      <c r="F450" s="16"/>
      <c r="G450" s="13" t="str">
        <f aca="false">IF(F450="","",IFERROR(INDEX('Plan de Cuentas'!$B$5:$B$1241,MATCH(F450,'Plan de Cuentas'!$A$5:$A$1241,0)),"No encontrado"))</f>
        <v/>
      </c>
      <c r="H450" s="17"/>
      <c r="I450" s="13"/>
    </row>
    <row r="451" customFormat="false" ht="15" hidden="false" customHeight="true" outlineLevel="0" collapsed="false">
      <c r="A451" s="13"/>
      <c r="B451" s="14"/>
      <c r="C451" s="15"/>
      <c r="D451" s="16"/>
      <c r="E451" s="13" t="str">
        <f aca="false">IF(D451="","",IFERROR(INDEX('Plan de Cuentas'!$B$5:$B$1241,MATCH(D451,'Plan de Cuentas'!$A$5:$A$1241,0)),"No encontrado"))</f>
        <v/>
      </c>
      <c r="F451" s="16"/>
      <c r="G451" s="13" t="str">
        <f aca="false">IF(F451="","",IFERROR(INDEX('Plan de Cuentas'!$B$5:$B$1241,MATCH(F451,'Plan de Cuentas'!$A$5:$A$1241,0)),"No encontrado"))</f>
        <v/>
      </c>
      <c r="H451" s="17"/>
      <c r="I451" s="13"/>
    </row>
    <row r="452" customFormat="false" ht="15" hidden="false" customHeight="true" outlineLevel="0" collapsed="false">
      <c r="A452" s="13"/>
      <c r="B452" s="14"/>
      <c r="C452" s="15"/>
      <c r="D452" s="16"/>
      <c r="E452" s="13" t="str">
        <f aca="false">IF(D452="","",IFERROR(INDEX('Plan de Cuentas'!$B$5:$B$1241,MATCH(D452,'Plan de Cuentas'!$A$5:$A$1241,0)),"No encontrado"))</f>
        <v/>
      </c>
      <c r="F452" s="16"/>
      <c r="G452" s="13" t="str">
        <f aca="false">IF(F452="","",IFERROR(INDEX('Plan de Cuentas'!$B$5:$B$1241,MATCH(F452,'Plan de Cuentas'!$A$5:$A$1241,0)),"No encontrado"))</f>
        <v/>
      </c>
      <c r="H452" s="17"/>
      <c r="I452" s="13"/>
    </row>
    <row r="453" customFormat="false" ht="15" hidden="false" customHeight="true" outlineLevel="0" collapsed="false">
      <c r="A453" s="13"/>
      <c r="B453" s="14"/>
      <c r="C453" s="15"/>
      <c r="D453" s="16"/>
      <c r="E453" s="13" t="str">
        <f aca="false">IF(D453="","",IFERROR(INDEX('Plan de Cuentas'!$B$5:$B$1241,MATCH(D453,'Plan de Cuentas'!$A$5:$A$1241,0)),"No encontrado"))</f>
        <v/>
      </c>
      <c r="F453" s="16"/>
      <c r="G453" s="13" t="str">
        <f aca="false">IF(F453="","",IFERROR(INDEX('Plan de Cuentas'!$B$5:$B$1241,MATCH(F453,'Plan de Cuentas'!$A$5:$A$1241,0)),"No encontrado"))</f>
        <v/>
      </c>
      <c r="H453" s="17"/>
      <c r="I453" s="13"/>
    </row>
    <row r="454" customFormat="false" ht="15" hidden="false" customHeight="true" outlineLevel="0" collapsed="false">
      <c r="A454" s="13"/>
      <c r="B454" s="14"/>
      <c r="C454" s="15"/>
      <c r="D454" s="16"/>
      <c r="E454" s="13" t="str">
        <f aca="false">IF(D454="","",IFERROR(INDEX('Plan de Cuentas'!$B$5:$B$1241,MATCH(D454,'Plan de Cuentas'!$A$5:$A$1241,0)),"No encontrado"))</f>
        <v/>
      </c>
      <c r="F454" s="16"/>
      <c r="G454" s="13" t="str">
        <f aca="false">IF(F454="","",IFERROR(INDEX('Plan de Cuentas'!$B$5:$B$1241,MATCH(F454,'Plan de Cuentas'!$A$5:$A$1241,0)),"No encontrado"))</f>
        <v/>
      </c>
      <c r="H454" s="17"/>
      <c r="I454" s="13"/>
    </row>
    <row r="455" customFormat="false" ht="15" hidden="false" customHeight="true" outlineLevel="0" collapsed="false">
      <c r="A455" s="13"/>
      <c r="B455" s="14"/>
      <c r="C455" s="15"/>
      <c r="D455" s="16"/>
      <c r="E455" s="13" t="str">
        <f aca="false">IF(D455="","",IFERROR(INDEX('Plan de Cuentas'!$B$5:$B$1241,MATCH(D455,'Plan de Cuentas'!$A$5:$A$1241,0)),"No encontrado"))</f>
        <v/>
      </c>
      <c r="F455" s="16"/>
      <c r="G455" s="13" t="str">
        <f aca="false">IF(F455="","",IFERROR(INDEX('Plan de Cuentas'!$B$5:$B$1241,MATCH(F455,'Plan de Cuentas'!$A$5:$A$1241,0)),"No encontrado"))</f>
        <v/>
      </c>
      <c r="H455" s="17"/>
      <c r="I455" s="13"/>
    </row>
    <row r="456" customFormat="false" ht="15" hidden="false" customHeight="true" outlineLevel="0" collapsed="false">
      <c r="A456" s="13"/>
      <c r="B456" s="14"/>
      <c r="C456" s="15"/>
      <c r="D456" s="16"/>
      <c r="E456" s="13" t="str">
        <f aca="false">IF(D456="","",IFERROR(INDEX('Plan de Cuentas'!$B$5:$B$1241,MATCH(D456,'Plan de Cuentas'!$A$5:$A$1241,0)),"No encontrado"))</f>
        <v/>
      </c>
      <c r="F456" s="16"/>
      <c r="G456" s="13" t="str">
        <f aca="false">IF(F456="","",IFERROR(INDEX('Plan de Cuentas'!$B$5:$B$1241,MATCH(F456,'Plan de Cuentas'!$A$5:$A$1241,0)),"No encontrado"))</f>
        <v/>
      </c>
      <c r="H456" s="17"/>
      <c r="I456" s="13"/>
    </row>
    <row r="457" customFormat="false" ht="15" hidden="false" customHeight="true" outlineLevel="0" collapsed="false">
      <c r="A457" s="13"/>
      <c r="B457" s="14"/>
      <c r="C457" s="15"/>
      <c r="D457" s="16"/>
      <c r="E457" s="13" t="str">
        <f aca="false">IF(D457="","",IFERROR(INDEX('Plan de Cuentas'!$B$5:$B$1241,MATCH(D457,'Plan de Cuentas'!$A$5:$A$1241,0)),"No encontrado"))</f>
        <v/>
      </c>
      <c r="F457" s="16"/>
      <c r="G457" s="13" t="str">
        <f aca="false">IF(F457="","",IFERROR(INDEX('Plan de Cuentas'!$B$5:$B$1241,MATCH(F457,'Plan de Cuentas'!$A$5:$A$1241,0)),"No encontrado"))</f>
        <v/>
      </c>
      <c r="H457" s="17"/>
      <c r="I457" s="13"/>
    </row>
    <row r="458" customFormat="false" ht="15" hidden="false" customHeight="true" outlineLevel="0" collapsed="false">
      <c r="A458" s="13"/>
      <c r="B458" s="14"/>
      <c r="C458" s="15"/>
      <c r="D458" s="16"/>
      <c r="E458" s="13" t="str">
        <f aca="false">IF(D458="","",IFERROR(INDEX('Plan de Cuentas'!$B$5:$B$1241,MATCH(D458,'Plan de Cuentas'!$A$5:$A$1241,0)),"No encontrado"))</f>
        <v/>
      </c>
      <c r="F458" s="16"/>
      <c r="G458" s="13" t="str">
        <f aca="false">IF(F458="","",IFERROR(INDEX('Plan de Cuentas'!$B$5:$B$1241,MATCH(F458,'Plan de Cuentas'!$A$5:$A$1241,0)),"No encontrado"))</f>
        <v/>
      </c>
      <c r="H458" s="17"/>
      <c r="I458" s="13"/>
    </row>
    <row r="459" customFormat="false" ht="15" hidden="false" customHeight="true" outlineLevel="0" collapsed="false">
      <c r="A459" s="13"/>
      <c r="B459" s="14"/>
      <c r="C459" s="15"/>
      <c r="D459" s="16"/>
      <c r="E459" s="13" t="str">
        <f aca="false">IF(D459="","",IFERROR(INDEX('Plan de Cuentas'!$B$5:$B$1241,MATCH(D459,'Plan de Cuentas'!$A$5:$A$1241,0)),"No encontrado"))</f>
        <v/>
      </c>
      <c r="F459" s="16"/>
      <c r="G459" s="13" t="str">
        <f aca="false">IF(F459="","",IFERROR(INDEX('Plan de Cuentas'!$B$5:$B$1241,MATCH(F459,'Plan de Cuentas'!$A$5:$A$1241,0)),"No encontrado"))</f>
        <v/>
      </c>
      <c r="H459" s="17"/>
      <c r="I459" s="13"/>
    </row>
    <row r="460" customFormat="false" ht="15" hidden="false" customHeight="true" outlineLevel="0" collapsed="false">
      <c r="A460" s="13"/>
      <c r="B460" s="14"/>
      <c r="C460" s="15"/>
      <c r="D460" s="16"/>
      <c r="E460" s="13" t="str">
        <f aca="false">IF(D460="","",IFERROR(INDEX('Plan de Cuentas'!$B$5:$B$1241,MATCH(D460,'Plan de Cuentas'!$A$5:$A$1241,0)),"No encontrado"))</f>
        <v/>
      </c>
      <c r="F460" s="16"/>
      <c r="G460" s="13" t="str">
        <f aca="false">IF(F460="","",IFERROR(INDEX('Plan de Cuentas'!$B$5:$B$1241,MATCH(F460,'Plan de Cuentas'!$A$5:$A$1241,0)),"No encontrado"))</f>
        <v/>
      </c>
      <c r="H460" s="17"/>
      <c r="I460" s="13"/>
    </row>
    <row r="461" customFormat="false" ht="15" hidden="false" customHeight="true" outlineLevel="0" collapsed="false">
      <c r="A461" s="13"/>
      <c r="B461" s="14"/>
      <c r="C461" s="15"/>
      <c r="D461" s="16"/>
      <c r="E461" s="13" t="str">
        <f aca="false">IF(D461="","",IFERROR(INDEX('Plan de Cuentas'!$B$5:$B$1241,MATCH(D461,'Plan de Cuentas'!$A$5:$A$1241,0)),"No encontrado"))</f>
        <v/>
      </c>
      <c r="F461" s="16"/>
      <c r="G461" s="13" t="str">
        <f aca="false">IF(F461="","",IFERROR(INDEX('Plan de Cuentas'!$B$5:$B$1241,MATCH(F461,'Plan de Cuentas'!$A$5:$A$1241,0)),"No encontrado"))</f>
        <v/>
      </c>
      <c r="H461" s="17"/>
      <c r="I461" s="13"/>
    </row>
    <row r="462" customFormat="false" ht="15" hidden="false" customHeight="true" outlineLevel="0" collapsed="false">
      <c r="A462" s="13"/>
      <c r="B462" s="14"/>
      <c r="C462" s="15"/>
      <c r="D462" s="16"/>
      <c r="E462" s="13" t="str">
        <f aca="false">IF(D462="","",IFERROR(INDEX('Plan de Cuentas'!$B$5:$B$1241,MATCH(D462,'Plan de Cuentas'!$A$5:$A$1241,0)),"No encontrado"))</f>
        <v/>
      </c>
      <c r="F462" s="16"/>
      <c r="G462" s="13" t="str">
        <f aca="false">IF(F462="","",IFERROR(INDEX('Plan de Cuentas'!$B$5:$B$1241,MATCH(F462,'Plan de Cuentas'!$A$5:$A$1241,0)),"No encontrado"))</f>
        <v/>
      </c>
      <c r="H462" s="17"/>
      <c r="I462" s="13"/>
    </row>
    <row r="463" customFormat="false" ht="15" hidden="false" customHeight="true" outlineLevel="0" collapsed="false">
      <c r="A463" s="13"/>
      <c r="B463" s="14"/>
      <c r="C463" s="15"/>
      <c r="D463" s="16"/>
      <c r="E463" s="13" t="str">
        <f aca="false">IF(D463="","",IFERROR(INDEX('Plan de Cuentas'!$B$5:$B$1241,MATCH(D463,'Plan de Cuentas'!$A$5:$A$1241,0)),"No encontrado"))</f>
        <v/>
      </c>
      <c r="F463" s="16"/>
      <c r="G463" s="13" t="str">
        <f aca="false">IF(F463="","",IFERROR(INDEX('Plan de Cuentas'!$B$5:$B$1241,MATCH(F463,'Plan de Cuentas'!$A$5:$A$1241,0)),"No encontrado"))</f>
        <v/>
      </c>
      <c r="H463" s="17"/>
      <c r="I463" s="13"/>
    </row>
    <row r="464" customFormat="false" ht="15" hidden="false" customHeight="true" outlineLevel="0" collapsed="false">
      <c r="A464" s="13"/>
      <c r="B464" s="14"/>
      <c r="C464" s="15"/>
      <c r="D464" s="16"/>
      <c r="E464" s="13" t="str">
        <f aca="false">IF(D464="","",IFERROR(INDEX('Plan de Cuentas'!$B$5:$B$1241,MATCH(D464,'Plan de Cuentas'!$A$5:$A$1241,0)),"No encontrado"))</f>
        <v/>
      </c>
      <c r="F464" s="16"/>
      <c r="G464" s="13" t="str">
        <f aca="false">IF(F464="","",IFERROR(INDEX('Plan de Cuentas'!$B$5:$B$1241,MATCH(F464,'Plan de Cuentas'!$A$5:$A$1241,0)),"No encontrado"))</f>
        <v/>
      </c>
      <c r="H464" s="17"/>
      <c r="I464" s="13"/>
    </row>
    <row r="465" customFormat="false" ht="15" hidden="false" customHeight="true" outlineLevel="0" collapsed="false">
      <c r="A465" s="13"/>
      <c r="B465" s="14"/>
      <c r="C465" s="15"/>
      <c r="D465" s="16"/>
      <c r="E465" s="13" t="str">
        <f aca="false">IF(D465="","",IFERROR(INDEX('Plan de Cuentas'!$B$5:$B$1241,MATCH(D465,'Plan de Cuentas'!$A$5:$A$1241,0)),"No encontrado"))</f>
        <v/>
      </c>
      <c r="F465" s="16"/>
      <c r="G465" s="13" t="str">
        <f aca="false">IF(F465="","",IFERROR(INDEX('Plan de Cuentas'!$B$5:$B$1241,MATCH(F465,'Plan de Cuentas'!$A$5:$A$1241,0)),"No encontrado"))</f>
        <v/>
      </c>
      <c r="H465" s="17"/>
      <c r="I465" s="13"/>
    </row>
    <row r="466" customFormat="false" ht="15" hidden="false" customHeight="true" outlineLevel="0" collapsed="false">
      <c r="A466" s="13"/>
      <c r="B466" s="14"/>
      <c r="C466" s="15"/>
      <c r="D466" s="16"/>
      <c r="E466" s="13" t="str">
        <f aca="false">IF(D466="","",IFERROR(INDEX('Plan de Cuentas'!$B$5:$B$1241,MATCH(D466,'Plan de Cuentas'!$A$5:$A$1241,0)),"No encontrado"))</f>
        <v/>
      </c>
      <c r="F466" s="16"/>
      <c r="G466" s="13" t="str">
        <f aca="false">IF(F466="","",IFERROR(INDEX('Plan de Cuentas'!$B$5:$B$1241,MATCH(F466,'Plan de Cuentas'!$A$5:$A$1241,0)),"No encontrado"))</f>
        <v/>
      </c>
      <c r="H466" s="17"/>
      <c r="I466" s="13"/>
    </row>
    <row r="467" customFormat="false" ht="15" hidden="false" customHeight="true" outlineLevel="0" collapsed="false">
      <c r="A467" s="13"/>
      <c r="B467" s="14"/>
      <c r="C467" s="15"/>
      <c r="D467" s="16"/>
      <c r="E467" s="13" t="str">
        <f aca="false">IF(D467="","",IFERROR(INDEX('Plan de Cuentas'!$B$5:$B$1241,MATCH(D467,'Plan de Cuentas'!$A$5:$A$1241,0)),"No encontrado"))</f>
        <v/>
      </c>
      <c r="F467" s="16"/>
      <c r="G467" s="13" t="str">
        <f aca="false">IF(F467="","",IFERROR(INDEX('Plan de Cuentas'!$B$5:$B$1241,MATCH(F467,'Plan de Cuentas'!$A$5:$A$1241,0)),"No encontrado"))</f>
        <v/>
      </c>
      <c r="H467" s="17"/>
      <c r="I467" s="13"/>
    </row>
    <row r="468" customFormat="false" ht="15" hidden="false" customHeight="true" outlineLevel="0" collapsed="false">
      <c r="A468" s="13"/>
      <c r="B468" s="14"/>
      <c r="C468" s="15"/>
      <c r="D468" s="16"/>
      <c r="E468" s="13" t="str">
        <f aca="false">IF(D468="","",IFERROR(INDEX('Plan de Cuentas'!$B$5:$B$1241,MATCH(D468,'Plan de Cuentas'!$A$5:$A$1241,0)),"No encontrado"))</f>
        <v/>
      </c>
      <c r="F468" s="16"/>
      <c r="G468" s="13" t="str">
        <f aca="false">IF(F468="","",IFERROR(INDEX('Plan de Cuentas'!$B$5:$B$1241,MATCH(F468,'Plan de Cuentas'!$A$5:$A$1241,0)),"No encontrado"))</f>
        <v/>
      </c>
      <c r="H468" s="17"/>
      <c r="I468" s="13"/>
    </row>
    <row r="469" customFormat="false" ht="15" hidden="false" customHeight="true" outlineLevel="0" collapsed="false">
      <c r="A469" s="13"/>
      <c r="B469" s="14"/>
      <c r="C469" s="15"/>
      <c r="D469" s="16"/>
      <c r="E469" s="13" t="str">
        <f aca="false">IF(D469="","",IFERROR(INDEX('Plan de Cuentas'!$B$5:$B$1241,MATCH(D469,'Plan de Cuentas'!$A$5:$A$1241,0)),"No encontrado"))</f>
        <v/>
      </c>
      <c r="F469" s="16"/>
      <c r="G469" s="13" t="str">
        <f aca="false">IF(F469="","",IFERROR(INDEX('Plan de Cuentas'!$B$5:$B$1241,MATCH(F469,'Plan de Cuentas'!$A$5:$A$1241,0)),"No encontrado"))</f>
        <v/>
      </c>
      <c r="H469" s="17"/>
      <c r="I469" s="13"/>
    </row>
    <row r="470" customFormat="false" ht="15" hidden="false" customHeight="true" outlineLevel="0" collapsed="false">
      <c r="A470" s="13"/>
      <c r="B470" s="14"/>
      <c r="C470" s="15"/>
      <c r="D470" s="16"/>
      <c r="E470" s="13" t="str">
        <f aca="false">IF(D470="","",IFERROR(INDEX('Plan de Cuentas'!$B$5:$B$1241,MATCH(D470,'Plan de Cuentas'!$A$5:$A$1241,0)),"No encontrado"))</f>
        <v/>
      </c>
      <c r="F470" s="16"/>
      <c r="G470" s="13" t="str">
        <f aca="false">IF(F470="","",IFERROR(INDEX('Plan de Cuentas'!$B$5:$B$1241,MATCH(F470,'Plan de Cuentas'!$A$5:$A$1241,0)),"No encontrado"))</f>
        <v/>
      </c>
      <c r="H470" s="17"/>
      <c r="I470" s="13"/>
    </row>
    <row r="471" customFormat="false" ht="15" hidden="false" customHeight="true" outlineLevel="0" collapsed="false">
      <c r="A471" s="13"/>
      <c r="B471" s="14"/>
      <c r="C471" s="15"/>
      <c r="D471" s="16"/>
      <c r="E471" s="13" t="str">
        <f aca="false">IF(D471="","",IFERROR(INDEX('Plan de Cuentas'!$B$5:$B$1241,MATCH(D471,'Plan de Cuentas'!$A$5:$A$1241,0)),"No encontrado"))</f>
        <v/>
      </c>
      <c r="F471" s="16"/>
      <c r="G471" s="13" t="str">
        <f aca="false">IF(F471="","",IFERROR(INDEX('Plan de Cuentas'!$B$5:$B$1241,MATCH(F471,'Plan de Cuentas'!$A$5:$A$1241,0)),"No encontrado"))</f>
        <v/>
      </c>
      <c r="H471" s="17"/>
      <c r="I471" s="13"/>
    </row>
    <row r="472" customFormat="false" ht="15" hidden="false" customHeight="true" outlineLevel="0" collapsed="false">
      <c r="A472" s="13"/>
      <c r="B472" s="14"/>
      <c r="C472" s="15"/>
      <c r="D472" s="16"/>
      <c r="E472" s="13" t="str">
        <f aca="false">IF(D472="","",IFERROR(INDEX('Plan de Cuentas'!$B$5:$B$1241,MATCH(D472,'Plan de Cuentas'!$A$5:$A$1241,0)),"No encontrado"))</f>
        <v/>
      </c>
      <c r="F472" s="16"/>
      <c r="G472" s="13" t="str">
        <f aca="false">IF(F472="","",IFERROR(INDEX('Plan de Cuentas'!$B$5:$B$1241,MATCH(F472,'Plan de Cuentas'!$A$5:$A$1241,0)),"No encontrado"))</f>
        <v/>
      </c>
      <c r="H472" s="17"/>
      <c r="I472" s="13"/>
    </row>
    <row r="473" customFormat="false" ht="15" hidden="false" customHeight="true" outlineLevel="0" collapsed="false">
      <c r="A473" s="13"/>
      <c r="B473" s="14"/>
      <c r="C473" s="15"/>
      <c r="D473" s="16"/>
      <c r="E473" s="13" t="str">
        <f aca="false">IF(D473="","",IFERROR(INDEX('Plan de Cuentas'!$B$5:$B$1241,MATCH(D473,'Plan de Cuentas'!$A$5:$A$1241,0)),"No encontrado"))</f>
        <v/>
      </c>
      <c r="F473" s="16"/>
      <c r="G473" s="13" t="str">
        <f aca="false">IF(F473="","",IFERROR(INDEX('Plan de Cuentas'!$B$5:$B$1241,MATCH(F473,'Plan de Cuentas'!$A$5:$A$1241,0)),"No encontrado"))</f>
        <v/>
      </c>
      <c r="H473" s="17"/>
      <c r="I473" s="13"/>
    </row>
    <row r="474" customFormat="false" ht="15" hidden="false" customHeight="true" outlineLevel="0" collapsed="false">
      <c r="A474" s="13"/>
      <c r="B474" s="14"/>
      <c r="C474" s="15"/>
      <c r="D474" s="16"/>
      <c r="E474" s="13" t="str">
        <f aca="false">IF(D474="","",IFERROR(INDEX('Plan de Cuentas'!$B$5:$B$1241,MATCH(D474,'Plan de Cuentas'!$A$5:$A$1241,0)),"No encontrado"))</f>
        <v/>
      </c>
      <c r="F474" s="16"/>
      <c r="G474" s="13" t="str">
        <f aca="false">IF(F474="","",IFERROR(INDEX('Plan de Cuentas'!$B$5:$B$1241,MATCH(F474,'Plan de Cuentas'!$A$5:$A$1241,0)),"No encontrado"))</f>
        <v/>
      </c>
      <c r="H474" s="17"/>
      <c r="I474" s="13"/>
    </row>
    <row r="475" customFormat="false" ht="15" hidden="false" customHeight="true" outlineLevel="0" collapsed="false">
      <c r="A475" s="13"/>
      <c r="B475" s="14"/>
      <c r="C475" s="15"/>
      <c r="D475" s="16"/>
      <c r="E475" s="13" t="str">
        <f aca="false">IF(D475="","",IFERROR(INDEX('Plan de Cuentas'!$B$5:$B$1241,MATCH(D475,'Plan de Cuentas'!$A$5:$A$1241,0)),"No encontrado"))</f>
        <v/>
      </c>
      <c r="F475" s="16"/>
      <c r="G475" s="13" t="str">
        <f aca="false">IF(F475="","",IFERROR(INDEX('Plan de Cuentas'!$B$5:$B$1241,MATCH(F475,'Plan de Cuentas'!$A$5:$A$1241,0)),"No encontrado"))</f>
        <v/>
      </c>
      <c r="H475" s="17"/>
      <c r="I475" s="13"/>
    </row>
    <row r="476" customFormat="false" ht="15" hidden="false" customHeight="true" outlineLevel="0" collapsed="false">
      <c r="A476" s="13"/>
      <c r="B476" s="14"/>
      <c r="C476" s="15"/>
      <c r="D476" s="16"/>
      <c r="E476" s="13" t="str">
        <f aca="false">IF(D476="","",IFERROR(INDEX('Plan de Cuentas'!$B$5:$B$1241,MATCH(D476,'Plan de Cuentas'!$A$5:$A$1241,0)),"No encontrado"))</f>
        <v/>
      </c>
      <c r="F476" s="16"/>
      <c r="G476" s="13" t="str">
        <f aca="false">IF(F476="","",IFERROR(INDEX('Plan de Cuentas'!$B$5:$B$1241,MATCH(F476,'Plan de Cuentas'!$A$5:$A$1241,0)),"No encontrado"))</f>
        <v/>
      </c>
      <c r="H476" s="17"/>
      <c r="I476" s="13"/>
    </row>
    <row r="477" customFormat="false" ht="15" hidden="false" customHeight="true" outlineLevel="0" collapsed="false">
      <c r="A477" s="13"/>
      <c r="B477" s="14"/>
      <c r="C477" s="15"/>
      <c r="D477" s="16"/>
      <c r="E477" s="13" t="str">
        <f aca="false">IF(D477="","",IFERROR(INDEX('Plan de Cuentas'!$B$5:$B$1241,MATCH(D477,'Plan de Cuentas'!$A$5:$A$1241,0)),"No encontrado"))</f>
        <v/>
      </c>
      <c r="F477" s="16"/>
      <c r="G477" s="13" t="str">
        <f aca="false">IF(F477="","",IFERROR(INDEX('Plan de Cuentas'!$B$5:$B$1241,MATCH(F477,'Plan de Cuentas'!$A$5:$A$1241,0)),"No encontrado"))</f>
        <v/>
      </c>
      <c r="H477" s="17"/>
      <c r="I477" s="13"/>
    </row>
    <row r="478" customFormat="false" ht="15" hidden="false" customHeight="true" outlineLevel="0" collapsed="false">
      <c r="A478" s="13"/>
      <c r="B478" s="14"/>
      <c r="C478" s="15"/>
      <c r="D478" s="16"/>
      <c r="E478" s="13" t="str">
        <f aca="false">IF(D478="","",IFERROR(INDEX('Plan de Cuentas'!$B$5:$B$1241,MATCH(D478,'Plan de Cuentas'!$A$5:$A$1241,0)),"No encontrado"))</f>
        <v/>
      </c>
      <c r="F478" s="16"/>
      <c r="G478" s="13" t="str">
        <f aca="false">IF(F478="","",IFERROR(INDEX('Plan de Cuentas'!$B$5:$B$1241,MATCH(F478,'Plan de Cuentas'!$A$5:$A$1241,0)),"No encontrado"))</f>
        <v/>
      </c>
      <c r="H478" s="17"/>
      <c r="I478" s="13"/>
    </row>
    <row r="479" customFormat="false" ht="15" hidden="false" customHeight="true" outlineLevel="0" collapsed="false">
      <c r="A479" s="13"/>
      <c r="B479" s="14"/>
      <c r="C479" s="15"/>
      <c r="D479" s="16"/>
      <c r="E479" s="13" t="str">
        <f aca="false">IF(D479="","",IFERROR(INDEX('Plan de Cuentas'!$B$5:$B$1241,MATCH(D479,'Plan de Cuentas'!$A$5:$A$1241,0)),"No encontrado"))</f>
        <v/>
      </c>
      <c r="F479" s="16"/>
      <c r="G479" s="13" t="str">
        <f aca="false">IF(F479="","",IFERROR(INDEX('Plan de Cuentas'!$B$5:$B$1241,MATCH(F479,'Plan de Cuentas'!$A$5:$A$1241,0)),"No encontrado"))</f>
        <v/>
      </c>
      <c r="H479" s="17"/>
      <c r="I479" s="13"/>
    </row>
    <row r="480" customFormat="false" ht="15" hidden="false" customHeight="true" outlineLevel="0" collapsed="false">
      <c r="A480" s="13"/>
      <c r="B480" s="14"/>
      <c r="C480" s="15"/>
      <c r="D480" s="16"/>
      <c r="E480" s="13" t="str">
        <f aca="false">IF(D480="","",IFERROR(INDEX('Plan de Cuentas'!$B$5:$B$1241,MATCH(D480,'Plan de Cuentas'!$A$5:$A$1241,0)),"No encontrado"))</f>
        <v/>
      </c>
      <c r="F480" s="16"/>
      <c r="G480" s="13" t="str">
        <f aca="false">IF(F480="","",IFERROR(INDEX('Plan de Cuentas'!$B$5:$B$1241,MATCH(F480,'Plan de Cuentas'!$A$5:$A$1241,0)),"No encontrado"))</f>
        <v/>
      </c>
      <c r="H480" s="17"/>
      <c r="I480" s="13"/>
    </row>
    <row r="481" customFormat="false" ht="15" hidden="false" customHeight="true" outlineLevel="0" collapsed="false">
      <c r="A481" s="13"/>
      <c r="B481" s="14"/>
      <c r="C481" s="15"/>
      <c r="D481" s="16"/>
      <c r="E481" s="13" t="str">
        <f aca="false">IF(D481="","",IFERROR(INDEX('Plan de Cuentas'!$B$5:$B$1241,MATCH(D481,'Plan de Cuentas'!$A$5:$A$1241,0)),"No encontrado"))</f>
        <v/>
      </c>
      <c r="F481" s="16"/>
      <c r="G481" s="13" t="str">
        <f aca="false">IF(F481="","",IFERROR(INDEX('Plan de Cuentas'!$B$5:$B$1241,MATCH(F481,'Plan de Cuentas'!$A$5:$A$1241,0)),"No encontrado"))</f>
        <v/>
      </c>
      <c r="H481" s="17"/>
      <c r="I481" s="13"/>
    </row>
    <row r="482" customFormat="false" ht="15" hidden="false" customHeight="true" outlineLevel="0" collapsed="false">
      <c r="A482" s="13"/>
      <c r="B482" s="14"/>
      <c r="C482" s="15"/>
      <c r="D482" s="16"/>
      <c r="E482" s="13" t="str">
        <f aca="false">IF(D482="","",IFERROR(INDEX('Plan de Cuentas'!$B$5:$B$1241,MATCH(D482,'Plan de Cuentas'!$A$5:$A$1241,0)),"No encontrado"))</f>
        <v/>
      </c>
      <c r="F482" s="16"/>
      <c r="G482" s="13" t="str">
        <f aca="false">IF(F482="","",IFERROR(INDEX('Plan de Cuentas'!$B$5:$B$1241,MATCH(F482,'Plan de Cuentas'!$A$5:$A$1241,0)),"No encontrado"))</f>
        <v/>
      </c>
      <c r="H482" s="17"/>
      <c r="I482" s="13"/>
    </row>
    <row r="483" customFormat="false" ht="15" hidden="false" customHeight="true" outlineLevel="0" collapsed="false">
      <c r="A483" s="13"/>
      <c r="B483" s="14"/>
      <c r="C483" s="15"/>
      <c r="D483" s="16"/>
      <c r="E483" s="13" t="str">
        <f aca="false">IF(D483="","",IFERROR(INDEX('Plan de Cuentas'!$B$5:$B$1241,MATCH(D483,'Plan de Cuentas'!$A$5:$A$1241,0)),"No encontrado"))</f>
        <v/>
      </c>
      <c r="F483" s="16"/>
      <c r="G483" s="13" t="str">
        <f aca="false">IF(F483="","",IFERROR(INDEX('Plan de Cuentas'!$B$5:$B$1241,MATCH(F483,'Plan de Cuentas'!$A$5:$A$1241,0)),"No encontrado"))</f>
        <v/>
      </c>
      <c r="H483" s="17"/>
      <c r="I483" s="13"/>
    </row>
    <row r="484" customFormat="false" ht="15" hidden="false" customHeight="true" outlineLevel="0" collapsed="false">
      <c r="A484" s="13"/>
      <c r="B484" s="14"/>
      <c r="C484" s="15"/>
      <c r="D484" s="16"/>
      <c r="E484" s="13" t="str">
        <f aca="false">IF(D484="","",IFERROR(INDEX('Plan de Cuentas'!$B$5:$B$1241,MATCH(D484,'Plan de Cuentas'!$A$5:$A$1241,0)),"No encontrado"))</f>
        <v/>
      </c>
      <c r="F484" s="16"/>
      <c r="G484" s="13" t="str">
        <f aca="false">IF(F484="","",IFERROR(INDEX('Plan de Cuentas'!$B$5:$B$1241,MATCH(F484,'Plan de Cuentas'!$A$5:$A$1241,0)),"No encontrado"))</f>
        <v/>
      </c>
      <c r="H484" s="17"/>
      <c r="I484" s="13"/>
    </row>
    <row r="485" customFormat="false" ht="15" hidden="false" customHeight="true" outlineLevel="0" collapsed="false">
      <c r="A485" s="13"/>
      <c r="B485" s="14"/>
      <c r="C485" s="15"/>
      <c r="D485" s="16"/>
      <c r="E485" s="13" t="str">
        <f aca="false">IF(D485="","",IFERROR(INDEX('Plan de Cuentas'!$B$5:$B$1241,MATCH(D485,'Plan de Cuentas'!$A$5:$A$1241,0)),"No encontrado"))</f>
        <v/>
      </c>
      <c r="F485" s="16"/>
      <c r="G485" s="13" t="str">
        <f aca="false">IF(F485="","",IFERROR(INDEX('Plan de Cuentas'!$B$5:$B$1241,MATCH(F485,'Plan de Cuentas'!$A$5:$A$1241,0)),"No encontrado"))</f>
        <v/>
      </c>
      <c r="H485" s="17"/>
      <c r="I485" s="13"/>
    </row>
    <row r="486" customFormat="false" ht="15" hidden="false" customHeight="true" outlineLevel="0" collapsed="false">
      <c r="A486" s="13"/>
      <c r="B486" s="14"/>
      <c r="C486" s="15"/>
      <c r="D486" s="16"/>
      <c r="E486" s="13" t="str">
        <f aca="false">IF(D486="","",IFERROR(INDEX('Plan de Cuentas'!$B$5:$B$1241,MATCH(D486,'Plan de Cuentas'!$A$5:$A$1241,0)),"No encontrado"))</f>
        <v/>
      </c>
      <c r="F486" s="16"/>
      <c r="G486" s="13" t="str">
        <f aca="false">IF(F486="","",IFERROR(INDEX('Plan de Cuentas'!$B$5:$B$1241,MATCH(F486,'Plan de Cuentas'!$A$5:$A$1241,0)),"No encontrado"))</f>
        <v/>
      </c>
      <c r="H486" s="17"/>
      <c r="I486" s="13"/>
    </row>
    <row r="487" customFormat="false" ht="15" hidden="false" customHeight="true" outlineLevel="0" collapsed="false">
      <c r="A487" s="13"/>
      <c r="B487" s="14"/>
      <c r="C487" s="15"/>
      <c r="D487" s="16"/>
      <c r="E487" s="13" t="str">
        <f aca="false">IF(D487="","",IFERROR(INDEX('Plan de Cuentas'!$B$5:$B$1241,MATCH(D487,'Plan de Cuentas'!$A$5:$A$1241,0)),"No encontrado"))</f>
        <v/>
      </c>
      <c r="F487" s="16"/>
      <c r="G487" s="13" t="str">
        <f aca="false">IF(F487="","",IFERROR(INDEX('Plan de Cuentas'!$B$5:$B$1241,MATCH(F487,'Plan de Cuentas'!$A$5:$A$1241,0)),"No encontrado"))</f>
        <v/>
      </c>
      <c r="H487" s="17"/>
      <c r="I487" s="13"/>
    </row>
    <row r="488" customFormat="false" ht="15" hidden="false" customHeight="true" outlineLevel="0" collapsed="false">
      <c r="A488" s="13"/>
      <c r="B488" s="14"/>
      <c r="C488" s="15"/>
      <c r="D488" s="16"/>
      <c r="E488" s="13" t="str">
        <f aca="false">IF(D488="","",IFERROR(INDEX('Plan de Cuentas'!$B$5:$B$1241,MATCH(D488,'Plan de Cuentas'!$A$5:$A$1241,0)),"No encontrado"))</f>
        <v/>
      </c>
      <c r="F488" s="16"/>
      <c r="G488" s="13" t="str">
        <f aca="false">IF(F488="","",IFERROR(INDEX('Plan de Cuentas'!$B$5:$B$1241,MATCH(F488,'Plan de Cuentas'!$A$5:$A$1241,0)),"No encontrado"))</f>
        <v/>
      </c>
      <c r="H488" s="17"/>
      <c r="I488" s="13"/>
    </row>
    <row r="489" customFormat="false" ht="15" hidden="false" customHeight="true" outlineLevel="0" collapsed="false">
      <c r="A489" s="13"/>
      <c r="B489" s="14"/>
      <c r="C489" s="15"/>
      <c r="D489" s="16"/>
      <c r="E489" s="13" t="str">
        <f aca="false">IF(D489="","",IFERROR(INDEX('Plan de Cuentas'!$B$5:$B$1241,MATCH(D489,'Plan de Cuentas'!$A$5:$A$1241,0)),"No encontrado"))</f>
        <v/>
      </c>
      <c r="F489" s="16"/>
      <c r="G489" s="13" t="str">
        <f aca="false">IF(F489="","",IFERROR(INDEX('Plan de Cuentas'!$B$5:$B$1241,MATCH(F489,'Plan de Cuentas'!$A$5:$A$1241,0)),"No encontrado"))</f>
        <v/>
      </c>
      <c r="H489" s="17"/>
      <c r="I489" s="13"/>
    </row>
    <row r="490" customFormat="false" ht="15" hidden="false" customHeight="true" outlineLevel="0" collapsed="false">
      <c r="A490" s="13"/>
      <c r="B490" s="14"/>
      <c r="C490" s="15"/>
      <c r="D490" s="16"/>
      <c r="E490" s="13" t="str">
        <f aca="false">IF(D490="","",IFERROR(INDEX('Plan de Cuentas'!$B$5:$B$1241,MATCH(D490,'Plan de Cuentas'!$A$5:$A$1241,0)),"No encontrado"))</f>
        <v/>
      </c>
      <c r="F490" s="16"/>
      <c r="G490" s="13" t="str">
        <f aca="false">IF(F490="","",IFERROR(INDEX('Plan de Cuentas'!$B$5:$B$1241,MATCH(F490,'Plan de Cuentas'!$A$5:$A$1241,0)),"No encontrado"))</f>
        <v/>
      </c>
      <c r="H490" s="17"/>
      <c r="I490" s="13"/>
    </row>
    <row r="491" customFormat="false" ht="15" hidden="false" customHeight="true" outlineLevel="0" collapsed="false">
      <c r="A491" s="13"/>
      <c r="B491" s="14"/>
      <c r="C491" s="15"/>
      <c r="D491" s="16"/>
      <c r="E491" s="13" t="str">
        <f aca="false">IF(D491="","",IFERROR(INDEX('Plan de Cuentas'!$B$5:$B$1241,MATCH(D491,'Plan de Cuentas'!$A$5:$A$1241,0)),"No encontrado"))</f>
        <v/>
      </c>
      <c r="F491" s="16"/>
      <c r="G491" s="13" t="str">
        <f aca="false">IF(F491="","",IFERROR(INDEX('Plan de Cuentas'!$B$5:$B$1241,MATCH(F491,'Plan de Cuentas'!$A$5:$A$1241,0)),"No encontrado"))</f>
        <v/>
      </c>
      <c r="H491" s="17"/>
      <c r="I491" s="13"/>
    </row>
    <row r="492" customFormat="false" ht="15" hidden="false" customHeight="true" outlineLevel="0" collapsed="false">
      <c r="A492" s="13"/>
      <c r="B492" s="14"/>
      <c r="C492" s="15"/>
      <c r="D492" s="16"/>
      <c r="E492" s="13" t="str">
        <f aca="false">IF(D492="","",IFERROR(INDEX('Plan de Cuentas'!$B$5:$B$1241,MATCH(D492,'Plan de Cuentas'!$A$5:$A$1241,0)),"No encontrado"))</f>
        <v/>
      </c>
      <c r="F492" s="16"/>
      <c r="G492" s="13" t="str">
        <f aca="false">IF(F492="","",IFERROR(INDEX('Plan de Cuentas'!$B$5:$B$1241,MATCH(F492,'Plan de Cuentas'!$A$5:$A$1241,0)),"No encontrado"))</f>
        <v/>
      </c>
      <c r="H492" s="17"/>
      <c r="I492" s="13"/>
    </row>
    <row r="493" customFormat="false" ht="15" hidden="false" customHeight="true" outlineLevel="0" collapsed="false">
      <c r="A493" s="13"/>
      <c r="B493" s="14"/>
      <c r="C493" s="15"/>
      <c r="D493" s="16"/>
      <c r="E493" s="13" t="str">
        <f aca="false">IF(D493="","",IFERROR(INDEX('Plan de Cuentas'!$B$5:$B$1241,MATCH(D493,'Plan de Cuentas'!$A$5:$A$1241,0)),"No encontrado"))</f>
        <v/>
      </c>
      <c r="F493" s="16"/>
      <c r="G493" s="13" t="str">
        <f aca="false">IF(F493="","",IFERROR(INDEX('Plan de Cuentas'!$B$5:$B$1241,MATCH(F493,'Plan de Cuentas'!$A$5:$A$1241,0)),"No encontrado"))</f>
        <v/>
      </c>
      <c r="H493" s="17"/>
      <c r="I493" s="13"/>
    </row>
    <row r="494" customFormat="false" ht="15" hidden="false" customHeight="true" outlineLevel="0" collapsed="false">
      <c r="A494" s="13"/>
      <c r="B494" s="14"/>
      <c r="C494" s="15"/>
      <c r="D494" s="16"/>
      <c r="E494" s="13" t="str">
        <f aca="false">IF(D494="","",IFERROR(INDEX('Plan de Cuentas'!$B$5:$B$1241,MATCH(D494,'Plan de Cuentas'!$A$5:$A$1241,0)),"No encontrado"))</f>
        <v/>
      </c>
      <c r="F494" s="16"/>
      <c r="G494" s="13" t="str">
        <f aca="false">IF(F494="","",IFERROR(INDEX('Plan de Cuentas'!$B$5:$B$1241,MATCH(F494,'Plan de Cuentas'!$A$5:$A$1241,0)),"No encontrado"))</f>
        <v/>
      </c>
      <c r="H494" s="17"/>
      <c r="I494" s="13"/>
    </row>
    <row r="495" customFormat="false" ht="15" hidden="false" customHeight="true" outlineLevel="0" collapsed="false">
      <c r="A495" s="13"/>
      <c r="B495" s="14"/>
      <c r="C495" s="15"/>
      <c r="D495" s="16"/>
      <c r="E495" s="13" t="str">
        <f aca="false">IF(D495="","",IFERROR(INDEX('Plan de Cuentas'!$B$5:$B$1241,MATCH(D495,'Plan de Cuentas'!$A$5:$A$1241,0)),"No encontrado"))</f>
        <v/>
      </c>
      <c r="F495" s="16"/>
      <c r="G495" s="13" t="str">
        <f aca="false">IF(F495="","",IFERROR(INDEX('Plan de Cuentas'!$B$5:$B$1241,MATCH(F495,'Plan de Cuentas'!$A$5:$A$1241,0)),"No encontrado"))</f>
        <v/>
      </c>
      <c r="H495" s="17"/>
      <c r="I495" s="13"/>
    </row>
    <row r="496" customFormat="false" ht="15" hidden="false" customHeight="true" outlineLevel="0" collapsed="false">
      <c r="A496" s="13"/>
      <c r="B496" s="14"/>
      <c r="C496" s="15"/>
      <c r="D496" s="16"/>
      <c r="E496" s="13" t="str">
        <f aca="false">IF(D496="","",IFERROR(INDEX('Plan de Cuentas'!$B$5:$B$1241,MATCH(D496,'Plan de Cuentas'!$A$5:$A$1241,0)),"No encontrado"))</f>
        <v/>
      </c>
      <c r="F496" s="16"/>
      <c r="G496" s="13" t="str">
        <f aca="false">IF(F496="","",IFERROR(INDEX('Plan de Cuentas'!$B$5:$B$1241,MATCH(F496,'Plan de Cuentas'!$A$5:$A$1241,0)),"No encontrado"))</f>
        <v/>
      </c>
      <c r="H496" s="17"/>
      <c r="I496" s="13"/>
    </row>
    <row r="497" customFormat="false" ht="15" hidden="false" customHeight="true" outlineLevel="0" collapsed="false">
      <c r="A497" s="13"/>
      <c r="B497" s="14"/>
      <c r="C497" s="15"/>
      <c r="D497" s="16"/>
      <c r="E497" s="13" t="str">
        <f aca="false">IF(D497="","",IFERROR(INDEX('Plan de Cuentas'!$B$5:$B$1241,MATCH(D497,'Plan de Cuentas'!$A$5:$A$1241,0)),"No encontrado"))</f>
        <v/>
      </c>
      <c r="F497" s="16"/>
      <c r="G497" s="13" t="str">
        <f aca="false">IF(F497="","",IFERROR(INDEX('Plan de Cuentas'!$B$5:$B$1241,MATCH(F497,'Plan de Cuentas'!$A$5:$A$1241,0)),"No encontrado"))</f>
        <v/>
      </c>
      <c r="H497" s="17"/>
      <c r="I497" s="13"/>
    </row>
    <row r="498" customFormat="false" ht="15" hidden="false" customHeight="true" outlineLevel="0" collapsed="false">
      <c r="A498" s="13"/>
      <c r="B498" s="14"/>
      <c r="C498" s="15"/>
      <c r="D498" s="16"/>
      <c r="E498" s="13" t="str">
        <f aca="false">IF(D498="","",IFERROR(INDEX('Plan de Cuentas'!$B$5:$B$1241,MATCH(D498,'Plan de Cuentas'!$A$5:$A$1241,0)),"No encontrado"))</f>
        <v/>
      </c>
      <c r="F498" s="16"/>
      <c r="G498" s="13" t="str">
        <f aca="false">IF(F498="","",IFERROR(INDEX('Plan de Cuentas'!$B$5:$B$1241,MATCH(F498,'Plan de Cuentas'!$A$5:$A$1241,0)),"No encontrado"))</f>
        <v/>
      </c>
      <c r="H498" s="17"/>
      <c r="I498" s="13"/>
    </row>
    <row r="499" customFormat="false" ht="15" hidden="false" customHeight="true" outlineLevel="0" collapsed="false">
      <c r="A499" s="13"/>
      <c r="B499" s="14"/>
      <c r="C499" s="15"/>
      <c r="D499" s="16"/>
      <c r="E499" s="13" t="str">
        <f aca="false">IF(D499="","",IFERROR(INDEX('Plan de Cuentas'!$B$5:$B$1241,MATCH(D499,'Plan de Cuentas'!$A$5:$A$1241,0)),"No encontrado"))</f>
        <v/>
      </c>
      <c r="F499" s="16"/>
      <c r="G499" s="13" t="str">
        <f aca="false">IF(F499="","",IFERROR(INDEX('Plan de Cuentas'!$B$5:$B$1241,MATCH(F499,'Plan de Cuentas'!$A$5:$A$1241,0)),"No encontrado"))</f>
        <v/>
      </c>
      <c r="H499" s="17"/>
      <c r="I499" s="13"/>
    </row>
    <row r="500" customFormat="false" ht="15" hidden="false" customHeight="true" outlineLevel="0" collapsed="false">
      <c r="A500" s="13"/>
      <c r="B500" s="14"/>
      <c r="C500" s="15"/>
      <c r="D500" s="16"/>
      <c r="E500" s="13" t="str">
        <f aca="false">IF(D500="","",IFERROR(INDEX('Plan de Cuentas'!$B$5:$B$1241,MATCH(D500,'Plan de Cuentas'!$A$5:$A$1241,0)),"No encontrado"))</f>
        <v/>
      </c>
      <c r="F500" s="16"/>
      <c r="G500" s="13" t="str">
        <f aca="false">IF(F500="","",IFERROR(INDEX('Plan de Cuentas'!$B$5:$B$1241,MATCH(F500,'Plan de Cuentas'!$A$5:$A$1241,0)),"No encontrado"))</f>
        <v/>
      </c>
      <c r="H500" s="17"/>
      <c r="I500" s="13"/>
    </row>
    <row r="501" customFormat="false" ht="15" hidden="false" customHeight="true" outlineLevel="0" collapsed="false">
      <c r="A501" s="13"/>
      <c r="B501" s="14"/>
      <c r="C501" s="15"/>
      <c r="D501" s="16"/>
      <c r="E501" s="13" t="str">
        <f aca="false">IF(D501="","",IFERROR(INDEX('Plan de Cuentas'!$B$5:$B$1241,MATCH(D501,'Plan de Cuentas'!$A$5:$A$1241,0)),"No encontrado"))</f>
        <v/>
      </c>
      <c r="F501" s="16"/>
      <c r="G501" s="13" t="str">
        <f aca="false">IF(F501="","",IFERROR(INDEX('Plan de Cuentas'!$B$5:$B$1241,MATCH(F501,'Plan de Cuentas'!$A$5:$A$1241,0)),"No encontrado"))</f>
        <v/>
      </c>
      <c r="H501" s="17"/>
      <c r="I501" s="13"/>
    </row>
    <row r="502" customFormat="false" ht="15" hidden="false" customHeight="true" outlineLevel="0" collapsed="false">
      <c r="A502" s="13"/>
      <c r="B502" s="14"/>
      <c r="C502" s="15"/>
      <c r="D502" s="16"/>
      <c r="E502" s="13" t="str">
        <f aca="false">IF(D502="","",IFERROR(INDEX('Plan de Cuentas'!$B$5:$B$1241,MATCH(D502,'Plan de Cuentas'!$A$5:$A$1241,0)),"No encontrado"))</f>
        <v/>
      </c>
      <c r="F502" s="16"/>
      <c r="G502" s="13" t="str">
        <f aca="false">IF(F502="","",IFERROR(INDEX('Plan de Cuentas'!$B$5:$B$1241,MATCH(F502,'Plan de Cuentas'!$A$5:$A$1241,0)),"No encontrado"))</f>
        <v/>
      </c>
      <c r="H502" s="17"/>
      <c r="I502" s="13"/>
    </row>
    <row r="503" customFormat="false" ht="15" hidden="false" customHeight="true" outlineLevel="0" collapsed="false">
      <c r="A503" s="13"/>
      <c r="B503" s="14"/>
      <c r="C503" s="15"/>
      <c r="D503" s="16"/>
      <c r="E503" s="13" t="str">
        <f aca="false">IF(D503="","",IFERROR(INDEX('Plan de Cuentas'!$B$5:$B$1241,MATCH(D503,'Plan de Cuentas'!$A$5:$A$1241,0)),"No encontrado"))</f>
        <v/>
      </c>
      <c r="F503" s="16"/>
      <c r="G503" s="13" t="str">
        <f aca="false">IF(F503="","",IFERROR(INDEX('Plan de Cuentas'!$B$5:$B$1241,MATCH(F503,'Plan de Cuentas'!$A$5:$A$1241,0)),"No encontrado"))</f>
        <v/>
      </c>
      <c r="H503" s="17"/>
      <c r="I503" s="13"/>
    </row>
    <row r="504" customFormat="false" ht="15" hidden="false" customHeight="true" outlineLevel="0" collapsed="false">
      <c r="A504" s="13"/>
      <c r="B504" s="14"/>
      <c r="C504" s="15"/>
      <c r="D504" s="16"/>
      <c r="E504" s="13" t="str">
        <f aca="false">IF(D504="","",IFERROR(INDEX('Plan de Cuentas'!$B$5:$B$1241,MATCH(D504,'Plan de Cuentas'!$A$5:$A$1241,0)),"No encontrado"))</f>
        <v/>
      </c>
      <c r="F504" s="16"/>
      <c r="G504" s="13" t="str">
        <f aca="false">IF(F504="","",IFERROR(INDEX('Plan de Cuentas'!$B$5:$B$1241,MATCH(F504,'Plan de Cuentas'!$A$5:$A$1241,0)),"No encontrado"))</f>
        <v/>
      </c>
      <c r="H504" s="17"/>
      <c r="I504" s="13"/>
    </row>
    <row r="505" customFormat="false" ht="15" hidden="false" customHeight="true" outlineLevel="0" collapsed="false">
      <c r="A505" s="13"/>
      <c r="B505" s="14"/>
      <c r="C505" s="15"/>
      <c r="D505" s="16"/>
      <c r="E505" s="13" t="str">
        <f aca="false">IF(D505="","",IFERROR(INDEX('Plan de Cuentas'!$B$5:$B$1241,MATCH(D505,'Plan de Cuentas'!$A$5:$A$1241,0)),"No encontrado"))</f>
        <v/>
      </c>
      <c r="F505" s="16"/>
      <c r="G505" s="13" t="str">
        <f aca="false">IF(F505="","",IFERROR(INDEX('Plan de Cuentas'!$B$5:$B$1241,MATCH(F505,'Plan de Cuentas'!$A$5:$A$1241,0)),"No encontrado"))</f>
        <v/>
      </c>
      <c r="H505" s="17"/>
      <c r="I505" s="13"/>
    </row>
    <row r="506" customFormat="false" ht="15" hidden="false" customHeight="true" outlineLevel="0" collapsed="false">
      <c r="A506" s="13"/>
      <c r="B506" s="14"/>
      <c r="C506" s="15"/>
      <c r="D506" s="16"/>
      <c r="E506" s="13" t="str">
        <f aca="false">IF(D506="","",IFERROR(INDEX('Plan de Cuentas'!$B$5:$B$1241,MATCH(D506,'Plan de Cuentas'!$A$5:$A$1241,0)),"No encontrado"))</f>
        <v/>
      </c>
      <c r="F506" s="16"/>
      <c r="G506" s="13" t="str">
        <f aca="false">IF(F506="","",IFERROR(INDEX('Plan de Cuentas'!$B$5:$B$1241,MATCH(F506,'Plan de Cuentas'!$A$5:$A$1241,0)),"No encontrado"))</f>
        <v/>
      </c>
      <c r="H506" s="17"/>
      <c r="I506" s="13"/>
    </row>
    <row r="507" customFormat="false" ht="15" hidden="false" customHeight="true" outlineLevel="0" collapsed="false">
      <c r="A507" s="13"/>
      <c r="B507" s="14"/>
      <c r="C507" s="15"/>
      <c r="D507" s="16"/>
      <c r="E507" s="13" t="str">
        <f aca="false">IF(D507="","",IFERROR(INDEX('Plan de Cuentas'!$B$5:$B$1241,MATCH(D507,'Plan de Cuentas'!$A$5:$A$1241,0)),"No encontrado"))</f>
        <v/>
      </c>
      <c r="F507" s="16"/>
      <c r="G507" s="13" t="str">
        <f aca="false">IF(F507="","",IFERROR(INDEX('Plan de Cuentas'!$B$5:$B$1241,MATCH(F507,'Plan de Cuentas'!$A$5:$A$1241,0)),"No encontrado"))</f>
        <v/>
      </c>
      <c r="H507" s="17"/>
      <c r="I507" s="13"/>
    </row>
    <row r="508" customFormat="false" ht="15" hidden="false" customHeight="true" outlineLevel="0" collapsed="false">
      <c r="A508" s="13"/>
      <c r="B508" s="14"/>
      <c r="C508" s="15"/>
      <c r="D508" s="16"/>
      <c r="E508" s="13" t="str">
        <f aca="false">IF(D508="","",IFERROR(INDEX('Plan de Cuentas'!$B$5:$B$1241,MATCH(D508,'Plan de Cuentas'!$A$5:$A$1241,0)),"No encontrado"))</f>
        <v/>
      </c>
      <c r="F508" s="16"/>
      <c r="G508" s="13" t="str">
        <f aca="false">IF(F508="","",IFERROR(INDEX('Plan de Cuentas'!$B$5:$B$1241,MATCH(F508,'Plan de Cuentas'!$A$5:$A$1241,0)),"No encontrado"))</f>
        <v/>
      </c>
      <c r="H508" s="17"/>
      <c r="I508" s="13"/>
    </row>
    <row r="509" customFormat="false" ht="15" hidden="false" customHeight="true" outlineLevel="0" collapsed="false">
      <c r="A509" s="13"/>
      <c r="B509" s="14"/>
      <c r="C509" s="15"/>
      <c r="D509" s="16"/>
      <c r="E509" s="13" t="str">
        <f aca="false">IF(D509="","",IFERROR(INDEX('Plan de Cuentas'!$B$5:$B$1241,MATCH(D509,'Plan de Cuentas'!$A$5:$A$1241,0)),"No encontrado"))</f>
        <v/>
      </c>
      <c r="F509" s="16"/>
      <c r="G509" s="13" t="str">
        <f aca="false">IF(F509="","",IFERROR(INDEX('Plan de Cuentas'!$B$5:$B$1241,MATCH(F509,'Plan de Cuentas'!$A$5:$A$1241,0)),"No encontrado"))</f>
        <v/>
      </c>
      <c r="H509" s="17"/>
      <c r="I509" s="13"/>
    </row>
    <row r="510" customFormat="false" ht="15" hidden="false" customHeight="true" outlineLevel="0" collapsed="false">
      <c r="A510" s="13"/>
      <c r="B510" s="14"/>
      <c r="C510" s="15"/>
      <c r="D510" s="16"/>
      <c r="E510" s="13" t="str">
        <f aca="false">IF(D510="","",IFERROR(INDEX('Plan de Cuentas'!$B$5:$B$1241,MATCH(D510,'Plan de Cuentas'!$A$5:$A$1241,0)),"No encontrado"))</f>
        <v/>
      </c>
      <c r="F510" s="16"/>
      <c r="G510" s="13" t="str">
        <f aca="false">IF(F510="","",IFERROR(INDEX('Plan de Cuentas'!$B$5:$B$1241,MATCH(F510,'Plan de Cuentas'!$A$5:$A$1241,0)),"No encontrado"))</f>
        <v/>
      </c>
      <c r="H510" s="17"/>
      <c r="I510" s="13"/>
    </row>
    <row r="511" customFormat="false" ht="15" hidden="false" customHeight="true" outlineLevel="0" collapsed="false">
      <c r="A511" s="13"/>
      <c r="B511" s="14"/>
      <c r="C511" s="15"/>
      <c r="D511" s="16"/>
      <c r="E511" s="13" t="str">
        <f aca="false">IF(D511="","",IFERROR(INDEX('Plan de Cuentas'!$B$5:$B$1241,MATCH(D511,'Plan de Cuentas'!$A$5:$A$1241,0)),"No encontrado"))</f>
        <v/>
      </c>
      <c r="F511" s="16"/>
      <c r="G511" s="13" t="str">
        <f aca="false">IF(F511="","",IFERROR(INDEX('Plan de Cuentas'!$B$5:$B$1241,MATCH(F511,'Plan de Cuentas'!$A$5:$A$1241,0)),"No encontrado"))</f>
        <v/>
      </c>
      <c r="H511" s="17"/>
      <c r="I511" s="13"/>
    </row>
    <row r="512" customFormat="false" ht="15" hidden="false" customHeight="true" outlineLevel="0" collapsed="false">
      <c r="A512" s="13"/>
      <c r="B512" s="14"/>
      <c r="C512" s="15"/>
      <c r="D512" s="16"/>
      <c r="E512" s="13" t="str">
        <f aca="false">IF(D512="","",IFERROR(INDEX('Plan de Cuentas'!$B$5:$B$1241,MATCH(D512,'Plan de Cuentas'!$A$5:$A$1241,0)),"No encontrado"))</f>
        <v/>
      </c>
      <c r="F512" s="16"/>
      <c r="G512" s="13" t="str">
        <f aca="false">IF(F512="","",IFERROR(INDEX('Plan de Cuentas'!$B$5:$B$1241,MATCH(F512,'Plan de Cuentas'!$A$5:$A$1241,0)),"No encontrado"))</f>
        <v/>
      </c>
      <c r="H512" s="17"/>
      <c r="I512" s="13"/>
    </row>
    <row r="513" customFormat="false" ht="15" hidden="false" customHeight="true" outlineLevel="0" collapsed="false">
      <c r="A513" s="13"/>
      <c r="B513" s="14"/>
      <c r="C513" s="15"/>
      <c r="D513" s="16"/>
      <c r="E513" s="13" t="str">
        <f aca="false">IF(D513="","",IFERROR(INDEX('Plan de Cuentas'!$B$5:$B$1241,MATCH(D513,'Plan de Cuentas'!$A$5:$A$1241,0)),"No encontrado"))</f>
        <v/>
      </c>
      <c r="F513" s="16"/>
      <c r="G513" s="13" t="str">
        <f aca="false">IF(F513="","",IFERROR(INDEX('Plan de Cuentas'!$B$5:$B$1241,MATCH(F513,'Plan de Cuentas'!$A$5:$A$1241,0)),"No encontrado"))</f>
        <v/>
      </c>
      <c r="H513" s="17"/>
      <c r="I513" s="13"/>
    </row>
    <row r="514" customFormat="false" ht="15" hidden="false" customHeight="true" outlineLevel="0" collapsed="false">
      <c r="A514" s="13"/>
      <c r="B514" s="14"/>
      <c r="C514" s="15"/>
      <c r="D514" s="16"/>
      <c r="E514" s="13" t="str">
        <f aca="false">IF(D514="","",IFERROR(INDEX('Plan de Cuentas'!$B$5:$B$1241,MATCH(D514,'Plan de Cuentas'!$A$5:$A$1241,0)),"No encontrado"))</f>
        <v/>
      </c>
      <c r="F514" s="16"/>
      <c r="G514" s="13" t="str">
        <f aca="false">IF(F514="","",IFERROR(INDEX('Plan de Cuentas'!$B$5:$B$1241,MATCH(F514,'Plan de Cuentas'!$A$5:$A$1241,0)),"No encontrado"))</f>
        <v/>
      </c>
      <c r="H514" s="17"/>
      <c r="I514" s="13"/>
    </row>
    <row r="515" customFormat="false" ht="15" hidden="false" customHeight="true" outlineLevel="0" collapsed="false">
      <c r="A515" s="13"/>
      <c r="B515" s="14"/>
      <c r="C515" s="15"/>
      <c r="D515" s="16"/>
      <c r="E515" s="13" t="str">
        <f aca="false">IF(D515="","",IFERROR(INDEX('Plan de Cuentas'!$B$5:$B$1241,MATCH(D515,'Plan de Cuentas'!$A$5:$A$1241,0)),"No encontrado"))</f>
        <v/>
      </c>
      <c r="F515" s="16"/>
      <c r="G515" s="13" t="str">
        <f aca="false">IF(F515="","",IFERROR(INDEX('Plan de Cuentas'!$B$5:$B$1241,MATCH(F515,'Plan de Cuentas'!$A$5:$A$1241,0)),"No encontrado"))</f>
        <v/>
      </c>
      <c r="H515" s="17"/>
      <c r="I515" s="13"/>
    </row>
    <row r="516" customFormat="false" ht="15" hidden="false" customHeight="true" outlineLevel="0" collapsed="false">
      <c r="A516" s="13"/>
      <c r="B516" s="14"/>
      <c r="C516" s="15"/>
      <c r="D516" s="16"/>
      <c r="E516" s="13" t="str">
        <f aca="false">IF(D516="","",IFERROR(INDEX('Plan de Cuentas'!$B$5:$B$1241,MATCH(D516,'Plan de Cuentas'!$A$5:$A$1241,0)),"No encontrado"))</f>
        <v/>
      </c>
      <c r="F516" s="16"/>
      <c r="G516" s="13" t="str">
        <f aca="false">IF(F516="","",IFERROR(INDEX('Plan de Cuentas'!$B$5:$B$1241,MATCH(F516,'Plan de Cuentas'!$A$5:$A$1241,0)),"No encontrado"))</f>
        <v/>
      </c>
      <c r="H516" s="17"/>
      <c r="I516" s="13"/>
    </row>
    <row r="517" customFormat="false" ht="15" hidden="false" customHeight="true" outlineLevel="0" collapsed="false">
      <c r="A517" s="13"/>
      <c r="B517" s="14"/>
      <c r="C517" s="15"/>
      <c r="D517" s="16"/>
      <c r="E517" s="13" t="str">
        <f aca="false">IF(D517="","",IFERROR(INDEX('Plan de Cuentas'!$B$5:$B$1241,MATCH(D517,'Plan de Cuentas'!$A$5:$A$1241,0)),"No encontrado"))</f>
        <v/>
      </c>
      <c r="F517" s="16"/>
      <c r="G517" s="13" t="str">
        <f aca="false">IF(F517="","",IFERROR(INDEX('Plan de Cuentas'!$B$5:$B$1241,MATCH(F517,'Plan de Cuentas'!$A$5:$A$1241,0)),"No encontrado"))</f>
        <v/>
      </c>
      <c r="H517" s="17"/>
      <c r="I517" s="13"/>
    </row>
    <row r="518" customFormat="false" ht="15" hidden="false" customHeight="true" outlineLevel="0" collapsed="false">
      <c r="A518" s="13"/>
      <c r="B518" s="14"/>
      <c r="C518" s="15"/>
      <c r="D518" s="16"/>
      <c r="E518" s="13" t="str">
        <f aca="false">IF(D518="","",IFERROR(INDEX('Plan de Cuentas'!$B$5:$B$1241,MATCH(D518,'Plan de Cuentas'!$A$5:$A$1241,0)),"No encontrado"))</f>
        <v/>
      </c>
      <c r="F518" s="16"/>
      <c r="G518" s="13" t="str">
        <f aca="false">IF(F518="","",IFERROR(INDEX('Plan de Cuentas'!$B$5:$B$1241,MATCH(F518,'Plan de Cuentas'!$A$5:$A$1241,0)),"No encontrado"))</f>
        <v/>
      </c>
      <c r="H518" s="17"/>
      <c r="I518" s="13"/>
    </row>
    <row r="519" customFormat="false" ht="15" hidden="false" customHeight="true" outlineLevel="0" collapsed="false">
      <c r="A519" s="13"/>
      <c r="B519" s="14"/>
      <c r="C519" s="15"/>
      <c r="D519" s="16"/>
      <c r="E519" s="13" t="str">
        <f aca="false">IF(D519="","",IFERROR(INDEX('Plan de Cuentas'!$B$5:$B$1241,MATCH(D519,'Plan de Cuentas'!$A$5:$A$1241,0)),"No encontrado"))</f>
        <v/>
      </c>
      <c r="F519" s="16"/>
      <c r="G519" s="13" t="str">
        <f aca="false">IF(F519="","",IFERROR(INDEX('Plan de Cuentas'!$B$5:$B$1241,MATCH(F519,'Plan de Cuentas'!$A$5:$A$1241,0)),"No encontrado"))</f>
        <v/>
      </c>
      <c r="H519" s="17"/>
      <c r="I519" s="13"/>
    </row>
    <row r="520" customFormat="false" ht="15" hidden="false" customHeight="true" outlineLevel="0" collapsed="false">
      <c r="A520" s="13"/>
      <c r="B520" s="14"/>
      <c r="C520" s="15"/>
      <c r="D520" s="16"/>
      <c r="E520" s="13" t="str">
        <f aca="false">IF(D520="","",IFERROR(INDEX('Plan de Cuentas'!$B$5:$B$1241,MATCH(D520,'Plan de Cuentas'!$A$5:$A$1241,0)),"No encontrado"))</f>
        <v/>
      </c>
      <c r="F520" s="16"/>
      <c r="G520" s="13" t="str">
        <f aca="false">IF(F520="","",IFERROR(INDEX('Plan de Cuentas'!$B$5:$B$1241,MATCH(F520,'Plan de Cuentas'!$A$5:$A$1241,0)),"No encontrado"))</f>
        <v/>
      </c>
      <c r="H520" s="17"/>
      <c r="I520" s="13"/>
    </row>
    <row r="521" customFormat="false" ht="15" hidden="false" customHeight="true" outlineLevel="0" collapsed="false">
      <c r="A521" s="13"/>
      <c r="B521" s="14"/>
      <c r="C521" s="15"/>
      <c r="D521" s="16"/>
      <c r="E521" s="13" t="str">
        <f aca="false">IF(D521="","",IFERROR(INDEX('Plan de Cuentas'!$B$5:$B$1241,MATCH(D521,'Plan de Cuentas'!$A$5:$A$1241,0)),"No encontrado"))</f>
        <v/>
      </c>
      <c r="F521" s="16"/>
      <c r="G521" s="13" t="str">
        <f aca="false">IF(F521="","",IFERROR(INDEX('Plan de Cuentas'!$B$5:$B$1241,MATCH(F521,'Plan de Cuentas'!$A$5:$A$1241,0)),"No encontrado"))</f>
        <v/>
      </c>
      <c r="H521" s="17"/>
      <c r="I521" s="13"/>
    </row>
    <row r="522" customFormat="false" ht="15" hidden="false" customHeight="true" outlineLevel="0" collapsed="false">
      <c r="A522" s="13"/>
      <c r="B522" s="14"/>
      <c r="C522" s="15"/>
      <c r="D522" s="16"/>
      <c r="E522" s="13" t="str">
        <f aca="false">IF(D522="","",IFERROR(INDEX('Plan de Cuentas'!$B$5:$B$1241,MATCH(D522,'Plan de Cuentas'!$A$5:$A$1241,0)),"No encontrado"))</f>
        <v/>
      </c>
      <c r="F522" s="16"/>
      <c r="G522" s="13" t="str">
        <f aca="false">IF(F522="","",IFERROR(INDEX('Plan de Cuentas'!$B$5:$B$1241,MATCH(F522,'Plan de Cuentas'!$A$5:$A$1241,0)),"No encontrado"))</f>
        <v/>
      </c>
      <c r="H522" s="17"/>
      <c r="I522" s="13"/>
    </row>
    <row r="523" customFormat="false" ht="15" hidden="false" customHeight="true" outlineLevel="0" collapsed="false">
      <c r="A523" s="13"/>
      <c r="B523" s="14"/>
      <c r="C523" s="15"/>
      <c r="D523" s="16"/>
      <c r="E523" s="13" t="str">
        <f aca="false">IF(D523="","",IFERROR(INDEX('Plan de Cuentas'!$B$5:$B$1241,MATCH(D523,'Plan de Cuentas'!$A$5:$A$1241,0)),"No encontrado"))</f>
        <v/>
      </c>
      <c r="F523" s="16"/>
      <c r="G523" s="13" t="str">
        <f aca="false">IF(F523="","",IFERROR(INDEX('Plan de Cuentas'!$B$5:$B$1241,MATCH(F523,'Plan de Cuentas'!$A$5:$A$1241,0)),"No encontrado"))</f>
        <v/>
      </c>
      <c r="H523" s="17"/>
      <c r="I523" s="13"/>
    </row>
    <row r="524" customFormat="false" ht="15" hidden="false" customHeight="true" outlineLevel="0" collapsed="false">
      <c r="A524" s="13"/>
      <c r="B524" s="14"/>
      <c r="C524" s="15"/>
      <c r="D524" s="16"/>
      <c r="E524" s="13" t="str">
        <f aca="false">IF(D524="","",IFERROR(INDEX('Plan de Cuentas'!$B$5:$B$1241,MATCH(D524,'Plan de Cuentas'!$A$5:$A$1241,0)),"No encontrado"))</f>
        <v/>
      </c>
      <c r="F524" s="16"/>
      <c r="G524" s="13" t="str">
        <f aca="false">IF(F524="","",IFERROR(INDEX('Plan de Cuentas'!$B$5:$B$1241,MATCH(F524,'Plan de Cuentas'!$A$5:$A$1241,0)),"No encontrado"))</f>
        <v/>
      </c>
      <c r="H524" s="17"/>
      <c r="I524" s="13"/>
    </row>
    <row r="525" customFormat="false" ht="15" hidden="false" customHeight="true" outlineLevel="0" collapsed="false">
      <c r="A525" s="13"/>
      <c r="B525" s="14"/>
      <c r="C525" s="15"/>
      <c r="D525" s="16"/>
      <c r="E525" s="13" t="str">
        <f aca="false">IF(D525="","",IFERROR(INDEX('Plan de Cuentas'!$B$5:$B$1241,MATCH(D525,'Plan de Cuentas'!$A$5:$A$1241,0)),"No encontrado"))</f>
        <v/>
      </c>
      <c r="F525" s="16"/>
      <c r="G525" s="13" t="str">
        <f aca="false">IF(F525="","",IFERROR(INDEX('Plan de Cuentas'!$B$5:$B$1241,MATCH(F525,'Plan de Cuentas'!$A$5:$A$1241,0)),"No encontrado"))</f>
        <v/>
      </c>
      <c r="H525" s="17"/>
      <c r="I525" s="13"/>
    </row>
    <row r="526" customFormat="false" ht="15" hidden="false" customHeight="true" outlineLevel="0" collapsed="false">
      <c r="A526" s="13"/>
      <c r="B526" s="14"/>
      <c r="C526" s="15"/>
      <c r="D526" s="16"/>
      <c r="E526" s="13" t="str">
        <f aca="false">IF(D526="","",IFERROR(INDEX('Plan de Cuentas'!$B$5:$B$1241,MATCH(D526,'Plan de Cuentas'!$A$5:$A$1241,0)),"No encontrado"))</f>
        <v/>
      </c>
      <c r="F526" s="16"/>
      <c r="G526" s="13" t="str">
        <f aca="false">IF(F526="","",IFERROR(INDEX('Plan de Cuentas'!$B$5:$B$1241,MATCH(F526,'Plan de Cuentas'!$A$5:$A$1241,0)),"No encontrado"))</f>
        <v/>
      </c>
      <c r="H526" s="17"/>
      <c r="I526" s="13"/>
    </row>
    <row r="527" customFormat="false" ht="15" hidden="false" customHeight="true" outlineLevel="0" collapsed="false">
      <c r="A527" s="13"/>
      <c r="B527" s="14"/>
      <c r="C527" s="15"/>
      <c r="D527" s="16"/>
      <c r="E527" s="13" t="str">
        <f aca="false">IF(D527="","",IFERROR(INDEX('Plan de Cuentas'!$B$5:$B$1241,MATCH(D527,'Plan de Cuentas'!$A$5:$A$1241,0)),"No encontrado"))</f>
        <v/>
      </c>
      <c r="F527" s="16"/>
      <c r="G527" s="13" t="str">
        <f aca="false">IF(F527="","",IFERROR(INDEX('Plan de Cuentas'!$B$5:$B$1241,MATCH(F527,'Plan de Cuentas'!$A$5:$A$1241,0)),"No encontrado"))</f>
        <v/>
      </c>
      <c r="H527" s="17"/>
      <c r="I527" s="13"/>
    </row>
    <row r="528" customFormat="false" ht="15" hidden="false" customHeight="true" outlineLevel="0" collapsed="false">
      <c r="A528" s="13"/>
      <c r="B528" s="14"/>
      <c r="C528" s="15"/>
      <c r="D528" s="16"/>
      <c r="E528" s="13" t="str">
        <f aca="false">IF(D528="","",IFERROR(INDEX('Plan de Cuentas'!$B$5:$B$1241,MATCH(D528,'Plan de Cuentas'!$A$5:$A$1241,0)),"No encontrado"))</f>
        <v/>
      </c>
      <c r="F528" s="16"/>
      <c r="G528" s="13" t="str">
        <f aca="false">IF(F528="","",IFERROR(INDEX('Plan de Cuentas'!$B$5:$B$1241,MATCH(F528,'Plan de Cuentas'!$A$5:$A$1241,0)),"No encontrado"))</f>
        <v/>
      </c>
      <c r="H528" s="17"/>
      <c r="I528" s="13"/>
    </row>
    <row r="529" customFormat="false" ht="15" hidden="false" customHeight="true" outlineLevel="0" collapsed="false">
      <c r="A529" s="13"/>
      <c r="B529" s="14"/>
      <c r="C529" s="15"/>
      <c r="D529" s="16"/>
      <c r="E529" s="13" t="str">
        <f aca="false">IF(D529="","",IFERROR(INDEX('Plan de Cuentas'!$B$5:$B$1241,MATCH(D529,'Plan de Cuentas'!$A$5:$A$1241,0)),"No encontrado"))</f>
        <v/>
      </c>
      <c r="F529" s="16"/>
      <c r="G529" s="13" t="str">
        <f aca="false">IF(F529="","",IFERROR(INDEX('Plan de Cuentas'!$B$5:$B$1241,MATCH(F529,'Plan de Cuentas'!$A$5:$A$1241,0)),"No encontrado"))</f>
        <v/>
      </c>
      <c r="H529" s="17"/>
      <c r="I529" s="13"/>
    </row>
    <row r="530" customFormat="false" ht="15" hidden="false" customHeight="true" outlineLevel="0" collapsed="false">
      <c r="A530" s="13"/>
      <c r="B530" s="14"/>
      <c r="C530" s="15"/>
      <c r="D530" s="16"/>
      <c r="E530" s="13" t="str">
        <f aca="false">IF(D530="","",IFERROR(INDEX('Plan de Cuentas'!$B$5:$B$1241,MATCH(D530,'Plan de Cuentas'!$A$5:$A$1241,0)),"No encontrado"))</f>
        <v/>
      </c>
      <c r="F530" s="16"/>
      <c r="G530" s="13" t="str">
        <f aca="false">IF(F530="","",IFERROR(INDEX('Plan de Cuentas'!$B$5:$B$1241,MATCH(F530,'Plan de Cuentas'!$A$5:$A$1241,0)),"No encontrado"))</f>
        <v/>
      </c>
      <c r="H530" s="17"/>
      <c r="I530" s="13"/>
    </row>
    <row r="531" customFormat="false" ht="15" hidden="false" customHeight="true" outlineLevel="0" collapsed="false">
      <c r="A531" s="13"/>
      <c r="B531" s="14"/>
      <c r="C531" s="15"/>
      <c r="D531" s="16"/>
      <c r="E531" s="13" t="str">
        <f aca="false">IF(D531="","",IFERROR(INDEX('Plan de Cuentas'!$B$5:$B$1241,MATCH(D531,'Plan de Cuentas'!$A$5:$A$1241,0)),"No encontrado"))</f>
        <v/>
      </c>
      <c r="F531" s="16"/>
      <c r="G531" s="13" t="str">
        <f aca="false">IF(F531="","",IFERROR(INDEX('Plan de Cuentas'!$B$5:$B$1241,MATCH(F531,'Plan de Cuentas'!$A$5:$A$1241,0)),"No encontrado"))</f>
        <v/>
      </c>
      <c r="H531" s="17"/>
      <c r="I531" s="13"/>
    </row>
    <row r="532" customFormat="false" ht="15" hidden="false" customHeight="true" outlineLevel="0" collapsed="false">
      <c r="A532" s="13"/>
      <c r="B532" s="14"/>
      <c r="C532" s="15"/>
      <c r="D532" s="16"/>
      <c r="E532" s="13" t="str">
        <f aca="false">IF(D532="","",IFERROR(INDEX('Plan de Cuentas'!$B$5:$B$1241,MATCH(D532,'Plan de Cuentas'!$A$5:$A$1241,0)),"No encontrado"))</f>
        <v/>
      </c>
      <c r="F532" s="16"/>
      <c r="G532" s="13" t="str">
        <f aca="false">IF(F532="","",IFERROR(INDEX('Plan de Cuentas'!$B$5:$B$1241,MATCH(F532,'Plan de Cuentas'!$A$5:$A$1241,0)),"No encontrado"))</f>
        <v/>
      </c>
      <c r="H532" s="17"/>
      <c r="I532" s="13"/>
    </row>
    <row r="533" customFormat="false" ht="15" hidden="false" customHeight="true" outlineLevel="0" collapsed="false">
      <c r="A533" s="13"/>
      <c r="B533" s="14"/>
      <c r="C533" s="15"/>
      <c r="D533" s="16"/>
      <c r="E533" s="13" t="str">
        <f aca="false">IF(D533="","",IFERROR(INDEX('Plan de Cuentas'!$B$5:$B$1241,MATCH(D533,'Plan de Cuentas'!$A$5:$A$1241,0)),"No encontrado"))</f>
        <v/>
      </c>
      <c r="F533" s="16"/>
      <c r="G533" s="13" t="str">
        <f aca="false">IF(F533="","",IFERROR(INDEX('Plan de Cuentas'!$B$5:$B$1241,MATCH(F533,'Plan de Cuentas'!$A$5:$A$1241,0)),"No encontrado"))</f>
        <v/>
      </c>
      <c r="H533" s="17"/>
      <c r="I533" s="13"/>
    </row>
    <row r="534" customFormat="false" ht="15" hidden="false" customHeight="true" outlineLevel="0" collapsed="false">
      <c r="A534" s="13"/>
      <c r="B534" s="14"/>
      <c r="C534" s="15"/>
      <c r="D534" s="16"/>
      <c r="E534" s="13" t="str">
        <f aca="false">IF(D534="","",IFERROR(INDEX('Plan de Cuentas'!$B$5:$B$1241,MATCH(D534,'Plan de Cuentas'!$A$5:$A$1241,0)),"No encontrado"))</f>
        <v/>
      </c>
      <c r="F534" s="16"/>
      <c r="G534" s="13" t="str">
        <f aca="false">IF(F534="","",IFERROR(INDEX('Plan de Cuentas'!$B$5:$B$1241,MATCH(F534,'Plan de Cuentas'!$A$5:$A$1241,0)),"No encontrado"))</f>
        <v/>
      </c>
      <c r="H534" s="17"/>
      <c r="I534" s="13"/>
    </row>
    <row r="535" customFormat="false" ht="15" hidden="false" customHeight="true" outlineLevel="0" collapsed="false">
      <c r="A535" s="13"/>
      <c r="B535" s="14"/>
      <c r="C535" s="15"/>
      <c r="D535" s="16"/>
      <c r="E535" s="13" t="str">
        <f aca="false">IF(D535="","",IFERROR(INDEX('Plan de Cuentas'!$B$5:$B$1241,MATCH(D535,'Plan de Cuentas'!$A$5:$A$1241,0)),"No encontrado"))</f>
        <v/>
      </c>
      <c r="F535" s="16"/>
      <c r="G535" s="13" t="str">
        <f aca="false">IF(F535="","",IFERROR(INDEX('Plan de Cuentas'!$B$5:$B$1241,MATCH(F535,'Plan de Cuentas'!$A$5:$A$1241,0)),"No encontrado"))</f>
        <v/>
      </c>
      <c r="H535" s="17"/>
      <c r="I535" s="13"/>
    </row>
    <row r="536" customFormat="false" ht="15" hidden="false" customHeight="true" outlineLevel="0" collapsed="false">
      <c r="A536" s="13"/>
      <c r="B536" s="14"/>
      <c r="C536" s="15"/>
      <c r="D536" s="16"/>
      <c r="E536" s="13" t="str">
        <f aca="false">IF(D536="","",IFERROR(INDEX('Plan de Cuentas'!$B$5:$B$1241,MATCH(D536,'Plan de Cuentas'!$A$5:$A$1241,0)),"No encontrado"))</f>
        <v/>
      </c>
      <c r="F536" s="16"/>
      <c r="G536" s="13" t="str">
        <f aca="false">IF(F536="","",IFERROR(INDEX('Plan de Cuentas'!$B$5:$B$1241,MATCH(F536,'Plan de Cuentas'!$A$5:$A$1241,0)),"No encontrado"))</f>
        <v/>
      </c>
      <c r="H536" s="17"/>
      <c r="I536" s="13"/>
    </row>
    <row r="537" customFormat="false" ht="15" hidden="false" customHeight="true" outlineLevel="0" collapsed="false">
      <c r="A537" s="13"/>
      <c r="B537" s="14"/>
      <c r="C537" s="15"/>
      <c r="D537" s="16"/>
      <c r="E537" s="13" t="str">
        <f aca="false">IF(D537="","",IFERROR(INDEX('Plan de Cuentas'!$B$5:$B$1241,MATCH(D537,'Plan de Cuentas'!$A$5:$A$1241,0)),"No encontrado"))</f>
        <v/>
      </c>
      <c r="F537" s="16"/>
      <c r="G537" s="13" t="str">
        <f aca="false">IF(F537="","",IFERROR(INDEX('Plan de Cuentas'!$B$5:$B$1241,MATCH(F537,'Plan de Cuentas'!$A$5:$A$1241,0)),"No encontrado"))</f>
        <v/>
      </c>
      <c r="H537" s="17"/>
      <c r="I537" s="13"/>
    </row>
    <row r="538" customFormat="false" ht="15" hidden="false" customHeight="true" outlineLevel="0" collapsed="false">
      <c r="A538" s="13"/>
      <c r="B538" s="14"/>
      <c r="C538" s="15"/>
      <c r="D538" s="16"/>
      <c r="E538" s="13" t="str">
        <f aca="false">IF(D538="","",IFERROR(INDEX('Plan de Cuentas'!$B$5:$B$1241,MATCH(D538,'Plan de Cuentas'!$A$5:$A$1241,0)),"No encontrado"))</f>
        <v/>
      </c>
      <c r="F538" s="16"/>
      <c r="G538" s="13" t="str">
        <f aca="false">IF(F538="","",IFERROR(INDEX('Plan de Cuentas'!$B$5:$B$1241,MATCH(F538,'Plan de Cuentas'!$A$5:$A$1241,0)),"No encontrado"))</f>
        <v/>
      </c>
      <c r="H538" s="17"/>
      <c r="I538" s="13"/>
    </row>
    <row r="539" customFormat="false" ht="15" hidden="false" customHeight="true" outlineLevel="0" collapsed="false">
      <c r="A539" s="13"/>
      <c r="B539" s="14"/>
      <c r="C539" s="15"/>
      <c r="D539" s="16"/>
      <c r="E539" s="13" t="str">
        <f aca="false">IF(D539="","",IFERROR(INDEX('Plan de Cuentas'!$B$5:$B$1241,MATCH(D539,'Plan de Cuentas'!$A$5:$A$1241,0)),"No encontrado"))</f>
        <v/>
      </c>
      <c r="F539" s="16"/>
      <c r="G539" s="13" t="str">
        <f aca="false">IF(F539="","",IFERROR(INDEX('Plan de Cuentas'!$B$5:$B$1241,MATCH(F539,'Plan de Cuentas'!$A$5:$A$1241,0)),"No encontrado"))</f>
        <v/>
      </c>
      <c r="H539" s="17"/>
      <c r="I539" s="13"/>
    </row>
    <row r="540" customFormat="false" ht="15" hidden="false" customHeight="true" outlineLevel="0" collapsed="false">
      <c r="A540" s="13"/>
      <c r="B540" s="14"/>
      <c r="C540" s="15"/>
      <c r="D540" s="16"/>
      <c r="E540" s="13" t="str">
        <f aca="false">IF(D540="","",IFERROR(INDEX('Plan de Cuentas'!$B$5:$B$1241,MATCH(D540,'Plan de Cuentas'!$A$5:$A$1241,0)),"No encontrado"))</f>
        <v/>
      </c>
      <c r="F540" s="16"/>
      <c r="G540" s="13" t="str">
        <f aca="false">IF(F540="","",IFERROR(INDEX('Plan de Cuentas'!$B$5:$B$1241,MATCH(F540,'Plan de Cuentas'!$A$5:$A$1241,0)),"No encontrado"))</f>
        <v/>
      </c>
      <c r="H540" s="17"/>
      <c r="I540" s="13"/>
    </row>
    <row r="541" customFormat="false" ht="15" hidden="false" customHeight="true" outlineLevel="0" collapsed="false">
      <c r="A541" s="13"/>
      <c r="B541" s="14"/>
      <c r="C541" s="15"/>
      <c r="D541" s="16"/>
      <c r="E541" s="13" t="str">
        <f aca="false">IF(D541="","",IFERROR(INDEX('Plan de Cuentas'!$B$5:$B$1241,MATCH(D541,'Plan de Cuentas'!$A$5:$A$1241,0)),"No encontrado"))</f>
        <v/>
      </c>
      <c r="F541" s="16"/>
      <c r="G541" s="13" t="str">
        <f aca="false">IF(F541="","",IFERROR(INDEX('Plan de Cuentas'!$B$5:$B$1241,MATCH(F541,'Plan de Cuentas'!$A$5:$A$1241,0)),"No encontrado"))</f>
        <v/>
      </c>
      <c r="H541" s="17"/>
      <c r="I541" s="13"/>
    </row>
    <row r="542" customFormat="false" ht="15" hidden="false" customHeight="true" outlineLevel="0" collapsed="false">
      <c r="A542" s="13"/>
      <c r="B542" s="14"/>
      <c r="C542" s="15"/>
      <c r="D542" s="16"/>
      <c r="E542" s="13" t="str">
        <f aca="false">IF(D542="","",IFERROR(INDEX('Plan de Cuentas'!$B$5:$B$1241,MATCH(D542,'Plan de Cuentas'!$A$5:$A$1241,0)),"No encontrado"))</f>
        <v/>
      </c>
      <c r="F542" s="16"/>
      <c r="G542" s="13" t="str">
        <f aca="false">IF(F542="","",IFERROR(INDEX('Plan de Cuentas'!$B$5:$B$1241,MATCH(F542,'Plan de Cuentas'!$A$5:$A$1241,0)),"No encontrado"))</f>
        <v/>
      </c>
      <c r="H542" s="17"/>
      <c r="I542" s="13"/>
    </row>
    <row r="543" customFormat="false" ht="15" hidden="false" customHeight="true" outlineLevel="0" collapsed="false">
      <c r="A543" s="13"/>
      <c r="B543" s="14"/>
      <c r="C543" s="15"/>
      <c r="D543" s="16"/>
      <c r="E543" s="13" t="str">
        <f aca="false">IF(D543="","",IFERROR(INDEX('Plan de Cuentas'!$B$5:$B$1241,MATCH(D543,'Plan de Cuentas'!$A$5:$A$1241,0)),"No encontrado"))</f>
        <v/>
      </c>
      <c r="F543" s="16"/>
      <c r="G543" s="13" t="str">
        <f aca="false">IF(F543="","",IFERROR(INDEX('Plan de Cuentas'!$B$5:$B$1241,MATCH(F543,'Plan de Cuentas'!$A$5:$A$1241,0)),"No encontrado"))</f>
        <v/>
      </c>
      <c r="H543" s="17"/>
      <c r="I543" s="13"/>
    </row>
    <row r="544" customFormat="false" ht="15" hidden="false" customHeight="true" outlineLevel="0" collapsed="false">
      <c r="A544" s="13"/>
      <c r="B544" s="14"/>
      <c r="C544" s="15"/>
      <c r="D544" s="16"/>
      <c r="E544" s="13" t="str">
        <f aca="false">IF(D544="","",IFERROR(INDEX('Plan de Cuentas'!$B$5:$B$1241,MATCH(D544,'Plan de Cuentas'!$A$5:$A$1241,0)),"No encontrado"))</f>
        <v/>
      </c>
      <c r="F544" s="16"/>
      <c r="G544" s="13" t="str">
        <f aca="false">IF(F544="","",IFERROR(INDEX('Plan de Cuentas'!$B$5:$B$1241,MATCH(F544,'Plan de Cuentas'!$A$5:$A$1241,0)),"No encontrado"))</f>
        <v/>
      </c>
      <c r="H544" s="17"/>
      <c r="I544" s="13"/>
    </row>
    <row r="545" customFormat="false" ht="15" hidden="false" customHeight="true" outlineLevel="0" collapsed="false">
      <c r="A545" s="13"/>
      <c r="B545" s="14"/>
      <c r="C545" s="15"/>
      <c r="D545" s="16"/>
      <c r="E545" s="13" t="str">
        <f aca="false">IF(D545="","",IFERROR(INDEX('Plan de Cuentas'!$B$5:$B$1241,MATCH(D545,'Plan de Cuentas'!$A$5:$A$1241,0)),"No encontrado"))</f>
        <v/>
      </c>
      <c r="F545" s="16"/>
      <c r="G545" s="13" t="str">
        <f aca="false">IF(F545="","",IFERROR(INDEX('Plan de Cuentas'!$B$5:$B$1241,MATCH(F545,'Plan de Cuentas'!$A$5:$A$1241,0)),"No encontrado"))</f>
        <v/>
      </c>
      <c r="H545" s="17"/>
      <c r="I545" s="13"/>
    </row>
    <row r="546" customFormat="false" ht="15" hidden="false" customHeight="true" outlineLevel="0" collapsed="false">
      <c r="A546" s="13"/>
      <c r="B546" s="14"/>
      <c r="C546" s="15"/>
      <c r="D546" s="16"/>
      <c r="E546" s="13" t="str">
        <f aca="false">IF(D546="","",IFERROR(INDEX('Plan de Cuentas'!$B$5:$B$1241,MATCH(D546,'Plan de Cuentas'!$A$5:$A$1241,0)),"No encontrado"))</f>
        <v/>
      </c>
      <c r="F546" s="16"/>
      <c r="G546" s="13" t="str">
        <f aca="false">IF(F546="","",IFERROR(INDEX('Plan de Cuentas'!$B$5:$B$1241,MATCH(F546,'Plan de Cuentas'!$A$5:$A$1241,0)),"No encontrado"))</f>
        <v/>
      </c>
      <c r="H546" s="17"/>
      <c r="I546" s="13"/>
    </row>
    <row r="547" customFormat="false" ht="15" hidden="false" customHeight="true" outlineLevel="0" collapsed="false">
      <c r="A547" s="13"/>
      <c r="B547" s="14"/>
      <c r="C547" s="15"/>
      <c r="D547" s="16"/>
      <c r="E547" s="13" t="str">
        <f aca="false">IF(D547="","",IFERROR(INDEX('Plan de Cuentas'!$B$5:$B$1241,MATCH(D547,'Plan de Cuentas'!$A$5:$A$1241,0)),"No encontrado"))</f>
        <v/>
      </c>
      <c r="F547" s="16"/>
      <c r="G547" s="13" t="str">
        <f aca="false">IF(F547="","",IFERROR(INDEX('Plan de Cuentas'!$B$5:$B$1241,MATCH(F547,'Plan de Cuentas'!$A$5:$A$1241,0)),"No encontrado"))</f>
        <v/>
      </c>
      <c r="H547" s="17"/>
      <c r="I547" s="13"/>
    </row>
    <row r="548" customFormat="false" ht="15" hidden="false" customHeight="true" outlineLevel="0" collapsed="false">
      <c r="A548" s="13"/>
      <c r="B548" s="14"/>
      <c r="C548" s="15"/>
      <c r="D548" s="16"/>
      <c r="E548" s="13" t="str">
        <f aca="false">IF(D548="","",IFERROR(INDEX('Plan de Cuentas'!$B$5:$B$1241,MATCH(D548,'Plan de Cuentas'!$A$5:$A$1241,0)),"No encontrado"))</f>
        <v/>
      </c>
      <c r="F548" s="16"/>
      <c r="G548" s="13" t="str">
        <f aca="false">IF(F548="","",IFERROR(INDEX('Plan de Cuentas'!$B$5:$B$1241,MATCH(F548,'Plan de Cuentas'!$A$5:$A$1241,0)),"No encontrado"))</f>
        <v/>
      </c>
      <c r="H548" s="17"/>
      <c r="I548" s="13"/>
    </row>
    <row r="549" customFormat="false" ht="15" hidden="false" customHeight="true" outlineLevel="0" collapsed="false">
      <c r="A549" s="13"/>
      <c r="B549" s="14"/>
      <c r="C549" s="15"/>
      <c r="D549" s="16"/>
      <c r="E549" s="13" t="str">
        <f aca="false">IF(D549="","",IFERROR(INDEX('Plan de Cuentas'!$B$5:$B$1241,MATCH(D549,'Plan de Cuentas'!$A$5:$A$1241,0)),"No encontrado"))</f>
        <v/>
      </c>
      <c r="F549" s="16"/>
      <c r="G549" s="13" t="str">
        <f aca="false">IF(F549="","",IFERROR(INDEX('Plan de Cuentas'!$B$5:$B$1241,MATCH(F549,'Plan de Cuentas'!$A$5:$A$1241,0)),"No encontrado"))</f>
        <v/>
      </c>
      <c r="H549" s="17"/>
      <c r="I549" s="13"/>
    </row>
    <row r="550" customFormat="false" ht="15" hidden="false" customHeight="true" outlineLevel="0" collapsed="false">
      <c r="A550" s="13"/>
      <c r="B550" s="14"/>
      <c r="C550" s="15"/>
      <c r="D550" s="16"/>
      <c r="E550" s="13" t="str">
        <f aca="false">IF(D550="","",IFERROR(INDEX('Plan de Cuentas'!$B$5:$B$1241,MATCH(D550,'Plan de Cuentas'!$A$5:$A$1241,0)),"No encontrado"))</f>
        <v/>
      </c>
      <c r="F550" s="16"/>
      <c r="G550" s="13" t="str">
        <f aca="false">IF(F550="","",IFERROR(INDEX('Plan de Cuentas'!$B$5:$B$1241,MATCH(F550,'Plan de Cuentas'!$A$5:$A$1241,0)),"No encontrado"))</f>
        <v/>
      </c>
      <c r="H550" s="17"/>
      <c r="I550" s="13"/>
    </row>
    <row r="551" customFormat="false" ht="15" hidden="false" customHeight="true" outlineLevel="0" collapsed="false">
      <c r="A551" s="13"/>
      <c r="B551" s="14"/>
      <c r="C551" s="15"/>
      <c r="D551" s="16"/>
      <c r="E551" s="13" t="str">
        <f aca="false">IF(D551="","",IFERROR(INDEX('Plan de Cuentas'!$B$5:$B$1241,MATCH(D551,'Plan de Cuentas'!$A$5:$A$1241,0)),"No encontrado"))</f>
        <v/>
      </c>
      <c r="F551" s="16"/>
      <c r="G551" s="13" t="str">
        <f aca="false">IF(F551="","",IFERROR(INDEX('Plan de Cuentas'!$B$5:$B$1241,MATCH(F551,'Plan de Cuentas'!$A$5:$A$1241,0)),"No encontrado"))</f>
        <v/>
      </c>
      <c r="H551" s="17"/>
      <c r="I551" s="13"/>
    </row>
    <row r="552" customFormat="false" ht="15" hidden="false" customHeight="true" outlineLevel="0" collapsed="false">
      <c r="A552" s="13"/>
      <c r="B552" s="14"/>
      <c r="C552" s="15"/>
      <c r="D552" s="16"/>
      <c r="E552" s="13" t="str">
        <f aca="false">IF(D552="","",IFERROR(INDEX('Plan de Cuentas'!$B$5:$B$1241,MATCH(D552,'Plan de Cuentas'!$A$5:$A$1241,0)),"No encontrado"))</f>
        <v/>
      </c>
      <c r="F552" s="16"/>
      <c r="G552" s="13" t="str">
        <f aca="false">IF(F552="","",IFERROR(INDEX('Plan de Cuentas'!$B$5:$B$1241,MATCH(F552,'Plan de Cuentas'!$A$5:$A$1241,0)),"No encontrado"))</f>
        <v/>
      </c>
      <c r="H552" s="17"/>
      <c r="I552" s="13"/>
    </row>
    <row r="553" customFormat="false" ht="15" hidden="false" customHeight="true" outlineLevel="0" collapsed="false">
      <c r="A553" s="13"/>
      <c r="B553" s="14"/>
      <c r="C553" s="15"/>
      <c r="D553" s="16"/>
      <c r="E553" s="13" t="str">
        <f aca="false">IF(D553="","",IFERROR(INDEX('Plan de Cuentas'!$B$5:$B$1241,MATCH(D553,'Plan de Cuentas'!$A$5:$A$1241,0)),"No encontrado"))</f>
        <v/>
      </c>
      <c r="F553" s="16"/>
      <c r="G553" s="13" t="str">
        <f aca="false">IF(F553="","",IFERROR(INDEX('Plan de Cuentas'!$B$5:$B$1241,MATCH(F553,'Plan de Cuentas'!$A$5:$A$1241,0)),"No encontrado"))</f>
        <v/>
      </c>
      <c r="H553" s="17"/>
      <c r="I553" s="13"/>
    </row>
    <row r="554" customFormat="false" ht="15" hidden="false" customHeight="true" outlineLevel="0" collapsed="false">
      <c r="A554" s="13"/>
      <c r="B554" s="14"/>
      <c r="C554" s="15"/>
      <c r="D554" s="16"/>
      <c r="E554" s="13" t="str">
        <f aca="false">IF(D554="","",IFERROR(INDEX('Plan de Cuentas'!$B$5:$B$1241,MATCH(D554,'Plan de Cuentas'!$A$5:$A$1241,0)),"No encontrado"))</f>
        <v/>
      </c>
      <c r="F554" s="16"/>
      <c r="G554" s="13" t="str">
        <f aca="false">IF(F554="","",IFERROR(INDEX('Plan de Cuentas'!$B$5:$B$1241,MATCH(F554,'Plan de Cuentas'!$A$5:$A$1241,0)),"No encontrado"))</f>
        <v/>
      </c>
      <c r="H554" s="17"/>
      <c r="I554" s="13"/>
    </row>
    <row r="555" customFormat="false" ht="15" hidden="false" customHeight="true" outlineLevel="0" collapsed="false">
      <c r="A555" s="13"/>
      <c r="B555" s="14"/>
      <c r="C555" s="15"/>
      <c r="D555" s="16"/>
      <c r="E555" s="13" t="str">
        <f aca="false">IF(D555="","",IFERROR(INDEX('Plan de Cuentas'!$B$5:$B$1241,MATCH(D555,'Plan de Cuentas'!$A$5:$A$1241,0)),"No encontrado"))</f>
        <v/>
      </c>
      <c r="F555" s="16"/>
      <c r="G555" s="13" t="str">
        <f aca="false">IF(F555="","",IFERROR(INDEX('Plan de Cuentas'!$B$5:$B$1241,MATCH(F555,'Plan de Cuentas'!$A$5:$A$1241,0)),"No encontrado"))</f>
        <v/>
      </c>
      <c r="H555" s="17"/>
      <c r="I555" s="13"/>
    </row>
    <row r="556" customFormat="false" ht="15" hidden="false" customHeight="true" outlineLevel="0" collapsed="false">
      <c r="A556" s="13"/>
      <c r="B556" s="14"/>
      <c r="C556" s="15"/>
      <c r="D556" s="16"/>
      <c r="E556" s="13" t="str">
        <f aca="false">IF(D556="","",IFERROR(INDEX('Plan de Cuentas'!$B$5:$B$1241,MATCH(D556,'Plan de Cuentas'!$A$5:$A$1241,0)),"No encontrado"))</f>
        <v/>
      </c>
      <c r="F556" s="16"/>
      <c r="G556" s="13" t="str">
        <f aca="false">IF(F556="","",IFERROR(INDEX('Plan de Cuentas'!$B$5:$B$1241,MATCH(F556,'Plan de Cuentas'!$A$5:$A$1241,0)),"No encontrado"))</f>
        <v/>
      </c>
      <c r="H556" s="17"/>
      <c r="I556" s="13"/>
    </row>
    <row r="557" customFormat="false" ht="15" hidden="false" customHeight="true" outlineLevel="0" collapsed="false">
      <c r="A557" s="13"/>
      <c r="B557" s="14"/>
      <c r="C557" s="15"/>
      <c r="D557" s="16"/>
      <c r="E557" s="13" t="str">
        <f aca="false">IF(D557="","",IFERROR(INDEX('Plan de Cuentas'!$B$5:$B$1241,MATCH(D557,'Plan de Cuentas'!$A$5:$A$1241,0)),"No encontrado"))</f>
        <v/>
      </c>
      <c r="F557" s="16"/>
      <c r="G557" s="13" t="str">
        <f aca="false">IF(F557="","",IFERROR(INDEX('Plan de Cuentas'!$B$5:$B$1241,MATCH(F557,'Plan de Cuentas'!$A$5:$A$1241,0)),"No encontrado"))</f>
        <v/>
      </c>
      <c r="H557" s="17"/>
      <c r="I557" s="13"/>
    </row>
    <row r="558" customFormat="false" ht="15" hidden="false" customHeight="true" outlineLevel="0" collapsed="false">
      <c r="A558" s="13"/>
      <c r="B558" s="14"/>
      <c r="C558" s="15"/>
      <c r="D558" s="16"/>
      <c r="E558" s="13" t="str">
        <f aca="false">IF(D558="","",IFERROR(INDEX('Plan de Cuentas'!$B$5:$B$1241,MATCH(D558,'Plan de Cuentas'!$A$5:$A$1241,0)),"No encontrado"))</f>
        <v/>
      </c>
      <c r="F558" s="16"/>
      <c r="G558" s="13" t="str">
        <f aca="false">IF(F558="","",IFERROR(INDEX('Plan de Cuentas'!$B$5:$B$1241,MATCH(F558,'Plan de Cuentas'!$A$5:$A$1241,0)),"No encontrado"))</f>
        <v/>
      </c>
      <c r="H558" s="17"/>
      <c r="I558" s="13"/>
    </row>
    <row r="559" customFormat="false" ht="15" hidden="false" customHeight="true" outlineLevel="0" collapsed="false">
      <c r="A559" s="13"/>
      <c r="B559" s="14"/>
      <c r="C559" s="15"/>
      <c r="D559" s="16"/>
      <c r="E559" s="13" t="str">
        <f aca="false">IF(D559="","",IFERROR(INDEX('Plan de Cuentas'!$B$5:$B$1241,MATCH(D559,'Plan de Cuentas'!$A$5:$A$1241,0)),"No encontrado"))</f>
        <v/>
      </c>
      <c r="F559" s="16"/>
      <c r="G559" s="13" t="str">
        <f aca="false">IF(F559="","",IFERROR(INDEX('Plan de Cuentas'!$B$5:$B$1241,MATCH(F559,'Plan de Cuentas'!$A$5:$A$1241,0)),"No encontrado"))</f>
        <v/>
      </c>
      <c r="H559" s="17"/>
      <c r="I559" s="13"/>
    </row>
    <row r="560" customFormat="false" ht="15" hidden="false" customHeight="true" outlineLevel="0" collapsed="false">
      <c r="A560" s="13"/>
      <c r="B560" s="14"/>
      <c r="C560" s="15"/>
      <c r="D560" s="16"/>
      <c r="E560" s="13" t="str">
        <f aca="false">IF(D560="","",IFERROR(INDEX('Plan de Cuentas'!$B$5:$B$1241,MATCH(D560,'Plan de Cuentas'!$A$5:$A$1241,0)),"No encontrado"))</f>
        <v/>
      </c>
      <c r="F560" s="16"/>
      <c r="G560" s="13" t="str">
        <f aca="false">IF(F560="","",IFERROR(INDEX('Plan de Cuentas'!$B$5:$B$1241,MATCH(F560,'Plan de Cuentas'!$A$5:$A$1241,0)),"No encontrado"))</f>
        <v/>
      </c>
      <c r="H560" s="17"/>
      <c r="I560" s="13"/>
    </row>
    <row r="561" customFormat="false" ht="15" hidden="false" customHeight="true" outlineLevel="0" collapsed="false">
      <c r="A561" s="13"/>
      <c r="B561" s="14"/>
      <c r="C561" s="15"/>
      <c r="D561" s="16"/>
      <c r="E561" s="13" t="str">
        <f aca="false">IF(D561="","",IFERROR(INDEX('Plan de Cuentas'!$B$5:$B$1241,MATCH(D561,'Plan de Cuentas'!$A$5:$A$1241,0)),"No encontrado"))</f>
        <v/>
      </c>
      <c r="F561" s="16"/>
      <c r="G561" s="13" t="str">
        <f aca="false">IF(F561="","",IFERROR(INDEX('Plan de Cuentas'!$B$5:$B$1241,MATCH(F561,'Plan de Cuentas'!$A$5:$A$1241,0)),"No encontrado"))</f>
        <v/>
      </c>
      <c r="H561" s="17"/>
      <c r="I561" s="13"/>
    </row>
    <row r="562" customFormat="false" ht="15" hidden="false" customHeight="true" outlineLevel="0" collapsed="false">
      <c r="A562" s="13"/>
      <c r="B562" s="14"/>
      <c r="C562" s="15"/>
      <c r="D562" s="16"/>
      <c r="E562" s="13" t="str">
        <f aca="false">IF(D562="","",IFERROR(INDEX('Plan de Cuentas'!$B$5:$B$1241,MATCH(D562,'Plan de Cuentas'!$A$5:$A$1241,0)),"No encontrado"))</f>
        <v/>
      </c>
      <c r="F562" s="16"/>
      <c r="G562" s="13" t="str">
        <f aca="false">IF(F562="","",IFERROR(INDEX('Plan de Cuentas'!$B$5:$B$1241,MATCH(F562,'Plan de Cuentas'!$A$5:$A$1241,0)),"No encontrado"))</f>
        <v/>
      </c>
      <c r="H562" s="17"/>
      <c r="I562" s="13"/>
    </row>
    <row r="563" customFormat="false" ht="15" hidden="false" customHeight="true" outlineLevel="0" collapsed="false">
      <c r="A563" s="13"/>
      <c r="B563" s="14"/>
      <c r="C563" s="15"/>
      <c r="D563" s="16"/>
      <c r="E563" s="13" t="str">
        <f aca="false">IF(D563="","",IFERROR(INDEX('Plan de Cuentas'!$B$5:$B$1241,MATCH(D563,'Plan de Cuentas'!$A$5:$A$1241,0)),"No encontrado"))</f>
        <v/>
      </c>
      <c r="F563" s="16"/>
      <c r="G563" s="13" t="str">
        <f aca="false">IF(F563="","",IFERROR(INDEX('Plan de Cuentas'!$B$5:$B$1241,MATCH(F563,'Plan de Cuentas'!$A$5:$A$1241,0)),"No encontrado"))</f>
        <v/>
      </c>
      <c r="H563" s="17"/>
      <c r="I563" s="13"/>
    </row>
    <row r="564" customFormat="false" ht="15" hidden="false" customHeight="true" outlineLevel="0" collapsed="false">
      <c r="A564" s="13"/>
      <c r="B564" s="14"/>
      <c r="C564" s="15"/>
      <c r="D564" s="16"/>
      <c r="E564" s="13" t="str">
        <f aca="false">IF(D564="","",IFERROR(INDEX('Plan de Cuentas'!$B$5:$B$1241,MATCH(D564,'Plan de Cuentas'!$A$5:$A$1241,0)),"No encontrado"))</f>
        <v/>
      </c>
      <c r="F564" s="16"/>
      <c r="G564" s="13" t="str">
        <f aca="false">IF(F564="","",IFERROR(INDEX('Plan de Cuentas'!$B$5:$B$1241,MATCH(F564,'Plan de Cuentas'!$A$5:$A$1241,0)),"No encontrado"))</f>
        <v/>
      </c>
      <c r="H564" s="17"/>
      <c r="I564" s="13"/>
    </row>
    <row r="565" customFormat="false" ht="15" hidden="false" customHeight="true" outlineLevel="0" collapsed="false">
      <c r="A565" s="13"/>
      <c r="B565" s="14"/>
      <c r="C565" s="15"/>
      <c r="D565" s="16"/>
      <c r="E565" s="13" t="str">
        <f aca="false">IF(D565="","",IFERROR(INDEX('Plan de Cuentas'!$B$5:$B$1241,MATCH(D565,'Plan de Cuentas'!$A$5:$A$1241,0)),"No encontrado"))</f>
        <v/>
      </c>
      <c r="F565" s="16"/>
      <c r="G565" s="13" t="str">
        <f aca="false">IF(F565="","",IFERROR(INDEX('Plan de Cuentas'!$B$5:$B$1241,MATCH(F565,'Plan de Cuentas'!$A$5:$A$1241,0)),"No encontrado"))</f>
        <v/>
      </c>
      <c r="H565" s="17"/>
      <c r="I565" s="13"/>
    </row>
    <row r="566" customFormat="false" ht="15" hidden="false" customHeight="true" outlineLevel="0" collapsed="false">
      <c r="A566" s="13"/>
      <c r="B566" s="14"/>
      <c r="C566" s="15"/>
      <c r="D566" s="16"/>
      <c r="E566" s="13" t="str">
        <f aca="false">IF(D566="","",IFERROR(INDEX('Plan de Cuentas'!$B$5:$B$1241,MATCH(D566,'Plan de Cuentas'!$A$5:$A$1241,0)),"No encontrado"))</f>
        <v/>
      </c>
      <c r="F566" s="16"/>
      <c r="G566" s="13" t="str">
        <f aca="false">IF(F566="","",IFERROR(INDEX('Plan de Cuentas'!$B$5:$B$1241,MATCH(F566,'Plan de Cuentas'!$A$5:$A$1241,0)),"No encontrado"))</f>
        <v/>
      </c>
      <c r="H566" s="17"/>
      <c r="I566" s="13"/>
    </row>
    <row r="567" customFormat="false" ht="15" hidden="false" customHeight="true" outlineLevel="0" collapsed="false">
      <c r="A567" s="13"/>
      <c r="B567" s="14"/>
      <c r="C567" s="15"/>
      <c r="D567" s="16"/>
      <c r="E567" s="13" t="str">
        <f aca="false">IF(D567="","",IFERROR(INDEX('Plan de Cuentas'!$B$5:$B$1241,MATCH(D567,'Plan de Cuentas'!$A$5:$A$1241,0)),"No encontrado"))</f>
        <v/>
      </c>
      <c r="F567" s="16"/>
      <c r="G567" s="13" t="str">
        <f aca="false">IF(F567="","",IFERROR(INDEX('Plan de Cuentas'!$B$5:$B$1241,MATCH(F567,'Plan de Cuentas'!$A$5:$A$1241,0)),"No encontrado"))</f>
        <v/>
      </c>
      <c r="H567" s="17"/>
      <c r="I567" s="13"/>
    </row>
    <row r="568" customFormat="false" ht="15" hidden="false" customHeight="true" outlineLevel="0" collapsed="false">
      <c r="A568" s="13"/>
      <c r="B568" s="14"/>
      <c r="C568" s="15"/>
      <c r="D568" s="16"/>
      <c r="E568" s="13" t="str">
        <f aca="false">IF(D568="","",IFERROR(INDEX('Plan de Cuentas'!$B$5:$B$1241,MATCH(D568,'Plan de Cuentas'!$A$5:$A$1241,0)),"No encontrado"))</f>
        <v/>
      </c>
      <c r="F568" s="16"/>
      <c r="G568" s="13" t="str">
        <f aca="false">IF(F568="","",IFERROR(INDEX('Plan de Cuentas'!$B$5:$B$1241,MATCH(F568,'Plan de Cuentas'!$A$5:$A$1241,0)),"No encontrado"))</f>
        <v/>
      </c>
      <c r="H568" s="17"/>
      <c r="I568" s="13"/>
    </row>
    <row r="569" customFormat="false" ht="15" hidden="false" customHeight="true" outlineLevel="0" collapsed="false">
      <c r="A569" s="13"/>
      <c r="B569" s="14"/>
      <c r="C569" s="15"/>
      <c r="D569" s="16"/>
      <c r="E569" s="13" t="str">
        <f aca="false">IF(D569="","",IFERROR(INDEX('Plan de Cuentas'!$B$5:$B$1241,MATCH(D569,'Plan de Cuentas'!$A$5:$A$1241,0)),"No encontrado"))</f>
        <v/>
      </c>
      <c r="F569" s="16"/>
      <c r="G569" s="13" t="str">
        <f aca="false">IF(F569="","",IFERROR(INDEX('Plan de Cuentas'!$B$5:$B$1241,MATCH(F569,'Plan de Cuentas'!$A$5:$A$1241,0)),"No encontrado"))</f>
        <v/>
      </c>
      <c r="H569" s="17"/>
      <c r="I569" s="13"/>
    </row>
    <row r="570" customFormat="false" ht="15" hidden="false" customHeight="true" outlineLevel="0" collapsed="false">
      <c r="A570" s="13"/>
      <c r="B570" s="14"/>
      <c r="C570" s="15"/>
      <c r="D570" s="16"/>
      <c r="E570" s="13" t="str">
        <f aca="false">IF(D570="","",IFERROR(INDEX('Plan de Cuentas'!$B$5:$B$1241,MATCH(D570,'Plan de Cuentas'!$A$5:$A$1241,0)),"No encontrado"))</f>
        <v/>
      </c>
      <c r="F570" s="16"/>
      <c r="G570" s="13" t="str">
        <f aca="false">IF(F570="","",IFERROR(INDEX('Plan de Cuentas'!$B$5:$B$1241,MATCH(F570,'Plan de Cuentas'!$A$5:$A$1241,0)),"No encontrado"))</f>
        <v/>
      </c>
      <c r="H570" s="17"/>
      <c r="I570" s="13"/>
    </row>
    <row r="571" customFormat="false" ht="15" hidden="false" customHeight="true" outlineLevel="0" collapsed="false">
      <c r="A571" s="13"/>
      <c r="B571" s="14"/>
      <c r="C571" s="15"/>
      <c r="D571" s="16"/>
      <c r="E571" s="13" t="str">
        <f aca="false">IF(D571="","",IFERROR(INDEX('Plan de Cuentas'!$B$5:$B$1241,MATCH(D571,'Plan de Cuentas'!$A$5:$A$1241,0)),"No encontrado"))</f>
        <v/>
      </c>
      <c r="F571" s="16"/>
      <c r="G571" s="13" t="str">
        <f aca="false">IF(F571="","",IFERROR(INDEX('Plan de Cuentas'!$B$5:$B$1241,MATCH(F571,'Plan de Cuentas'!$A$5:$A$1241,0)),"No encontrado"))</f>
        <v/>
      </c>
      <c r="H571" s="17"/>
      <c r="I571" s="13"/>
    </row>
    <row r="572" customFormat="false" ht="15" hidden="false" customHeight="true" outlineLevel="0" collapsed="false">
      <c r="A572" s="13"/>
      <c r="B572" s="14"/>
      <c r="C572" s="15"/>
      <c r="D572" s="16"/>
      <c r="E572" s="13" t="str">
        <f aca="false">IF(D572="","",IFERROR(INDEX('Plan de Cuentas'!$B$5:$B$1241,MATCH(D572,'Plan de Cuentas'!$A$5:$A$1241,0)),"No encontrado"))</f>
        <v/>
      </c>
      <c r="F572" s="16"/>
      <c r="G572" s="13" t="str">
        <f aca="false">IF(F572="","",IFERROR(INDEX('Plan de Cuentas'!$B$5:$B$1241,MATCH(F572,'Plan de Cuentas'!$A$5:$A$1241,0)),"No encontrado"))</f>
        <v/>
      </c>
      <c r="H572" s="17"/>
      <c r="I572" s="13"/>
    </row>
    <row r="573" customFormat="false" ht="15" hidden="false" customHeight="true" outlineLevel="0" collapsed="false">
      <c r="A573" s="13"/>
      <c r="B573" s="14"/>
      <c r="C573" s="15"/>
      <c r="D573" s="16"/>
      <c r="E573" s="13" t="str">
        <f aca="false">IF(D573="","",IFERROR(INDEX('Plan de Cuentas'!$B$5:$B$1241,MATCH(D573,'Plan de Cuentas'!$A$5:$A$1241,0)),"No encontrado"))</f>
        <v/>
      </c>
      <c r="F573" s="16"/>
      <c r="G573" s="13" t="str">
        <f aca="false">IF(F573="","",IFERROR(INDEX('Plan de Cuentas'!$B$5:$B$1241,MATCH(F573,'Plan de Cuentas'!$A$5:$A$1241,0)),"No encontrado"))</f>
        <v/>
      </c>
      <c r="H573" s="17"/>
      <c r="I573" s="13"/>
    </row>
    <row r="574" customFormat="false" ht="15" hidden="false" customHeight="true" outlineLevel="0" collapsed="false">
      <c r="A574" s="13"/>
      <c r="B574" s="14"/>
      <c r="C574" s="15"/>
      <c r="D574" s="16"/>
      <c r="E574" s="13" t="str">
        <f aca="false">IF(D574="","",IFERROR(INDEX('Plan de Cuentas'!$B$5:$B$1241,MATCH(D574,'Plan de Cuentas'!$A$5:$A$1241,0)),"No encontrado"))</f>
        <v/>
      </c>
      <c r="F574" s="16"/>
      <c r="G574" s="13" t="str">
        <f aca="false">IF(F574="","",IFERROR(INDEX('Plan de Cuentas'!$B$5:$B$1241,MATCH(F574,'Plan de Cuentas'!$A$5:$A$1241,0)),"No encontrado"))</f>
        <v/>
      </c>
      <c r="H574" s="17"/>
      <c r="I574" s="13"/>
    </row>
    <row r="575" customFormat="false" ht="15" hidden="false" customHeight="true" outlineLevel="0" collapsed="false">
      <c r="A575" s="13"/>
      <c r="B575" s="14"/>
      <c r="C575" s="15"/>
      <c r="D575" s="16"/>
      <c r="E575" s="13" t="str">
        <f aca="false">IF(D575="","",IFERROR(INDEX('Plan de Cuentas'!$B$5:$B$1241,MATCH(D575,'Plan de Cuentas'!$A$5:$A$1241,0)),"No encontrado"))</f>
        <v/>
      </c>
      <c r="F575" s="16"/>
      <c r="G575" s="13" t="str">
        <f aca="false">IF(F575="","",IFERROR(INDEX('Plan de Cuentas'!$B$5:$B$1241,MATCH(F575,'Plan de Cuentas'!$A$5:$A$1241,0)),"No encontrado"))</f>
        <v/>
      </c>
      <c r="H575" s="17"/>
      <c r="I575" s="13"/>
    </row>
    <row r="576" customFormat="false" ht="15" hidden="false" customHeight="true" outlineLevel="0" collapsed="false">
      <c r="A576" s="13"/>
      <c r="B576" s="14"/>
      <c r="C576" s="15"/>
      <c r="D576" s="16"/>
      <c r="E576" s="13" t="str">
        <f aca="false">IF(D576="","",IFERROR(INDEX('Plan de Cuentas'!$B$5:$B$1241,MATCH(D576,'Plan de Cuentas'!$A$5:$A$1241,0)),"No encontrado"))</f>
        <v/>
      </c>
      <c r="F576" s="16"/>
      <c r="G576" s="13" t="str">
        <f aca="false">IF(F576="","",IFERROR(INDEX('Plan de Cuentas'!$B$5:$B$1241,MATCH(F576,'Plan de Cuentas'!$A$5:$A$1241,0)),"No encontrado"))</f>
        <v/>
      </c>
      <c r="H576" s="17"/>
      <c r="I576" s="13"/>
    </row>
    <row r="577" customFormat="false" ht="15" hidden="false" customHeight="true" outlineLevel="0" collapsed="false">
      <c r="A577" s="13"/>
      <c r="B577" s="14"/>
      <c r="C577" s="15"/>
      <c r="D577" s="16"/>
      <c r="E577" s="13" t="str">
        <f aca="false">IF(D577="","",IFERROR(INDEX('Plan de Cuentas'!$B$5:$B$1241,MATCH(D577,'Plan de Cuentas'!$A$5:$A$1241,0)),"No encontrado"))</f>
        <v/>
      </c>
      <c r="F577" s="16"/>
      <c r="G577" s="13" t="str">
        <f aca="false">IF(F577="","",IFERROR(INDEX('Plan de Cuentas'!$B$5:$B$1241,MATCH(F577,'Plan de Cuentas'!$A$5:$A$1241,0)),"No encontrado"))</f>
        <v/>
      </c>
      <c r="H577" s="17"/>
      <c r="I577" s="13"/>
    </row>
    <row r="578" customFormat="false" ht="15" hidden="false" customHeight="true" outlineLevel="0" collapsed="false">
      <c r="A578" s="13"/>
      <c r="B578" s="14"/>
      <c r="C578" s="15"/>
      <c r="D578" s="16"/>
      <c r="E578" s="13" t="str">
        <f aca="false">IF(D578="","",IFERROR(INDEX('Plan de Cuentas'!$B$5:$B$1241,MATCH(D578,'Plan de Cuentas'!$A$5:$A$1241,0)),"No encontrado"))</f>
        <v/>
      </c>
      <c r="F578" s="16"/>
      <c r="G578" s="13" t="str">
        <f aca="false">IF(F578="","",IFERROR(INDEX('Plan de Cuentas'!$B$5:$B$1241,MATCH(F578,'Plan de Cuentas'!$A$5:$A$1241,0)),"No encontrado"))</f>
        <v/>
      </c>
      <c r="H578" s="17"/>
      <c r="I578" s="13"/>
    </row>
    <row r="579" customFormat="false" ht="15" hidden="false" customHeight="true" outlineLevel="0" collapsed="false">
      <c r="A579" s="13"/>
      <c r="B579" s="14"/>
      <c r="C579" s="15"/>
      <c r="D579" s="16"/>
      <c r="E579" s="13" t="str">
        <f aca="false">IF(D579="","",IFERROR(INDEX('Plan de Cuentas'!$B$5:$B$1241,MATCH(D579,'Plan de Cuentas'!$A$5:$A$1241,0)),"No encontrado"))</f>
        <v/>
      </c>
      <c r="F579" s="16"/>
      <c r="G579" s="13" t="str">
        <f aca="false">IF(F579="","",IFERROR(INDEX('Plan de Cuentas'!$B$5:$B$1241,MATCH(F579,'Plan de Cuentas'!$A$5:$A$1241,0)),"No encontrado"))</f>
        <v/>
      </c>
      <c r="H579" s="17"/>
      <c r="I579" s="13"/>
    </row>
    <row r="580" customFormat="false" ht="15" hidden="false" customHeight="true" outlineLevel="0" collapsed="false">
      <c r="A580" s="13"/>
      <c r="B580" s="14"/>
      <c r="C580" s="15"/>
      <c r="D580" s="16"/>
      <c r="E580" s="13" t="str">
        <f aca="false">IF(D580="","",IFERROR(INDEX('Plan de Cuentas'!$B$5:$B$1241,MATCH(D580,'Plan de Cuentas'!$A$5:$A$1241,0)),"No encontrado"))</f>
        <v/>
      </c>
      <c r="F580" s="16"/>
      <c r="G580" s="13" t="str">
        <f aca="false">IF(F580="","",IFERROR(INDEX('Plan de Cuentas'!$B$5:$B$1241,MATCH(F580,'Plan de Cuentas'!$A$5:$A$1241,0)),"No encontrado"))</f>
        <v/>
      </c>
      <c r="H580" s="17"/>
      <c r="I580" s="13"/>
    </row>
    <row r="581" customFormat="false" ht="15" hidden="false" customHeight="true" outlineLevel="0" collapsed="false">
      <c r="A581" s="13"/>
      <c r="B581" s="14"/>
      <c r="C581" s="15"/>
      <c r="D581" s="16"/>
      <c r="E581" s="13" t="str">
        <f aca="false">IF(D581="","",IFERROR(INDEX('Plan de Cuentas'!$B$5:$B$1241,MATCH(D581,'Plan de Cuentas'!$A$5:$A$1241,0)),"No encontrado"))</f>
        <v/>
      </c>
      <c r="F581" s="16"/>
      <c r="G581" s="13" t="str">
        <f aca="false">IF(F581="","",IFERROR(INDEX('Plan de Cuentas'!$B$5:$B$1241,MATCH(F581,'Plan de Cuentas'!$A$5:$A$1241,0)),"No encontrado"))</f>
        <v/>
      </c>
      <c r="H581" s="17"/>
      <c r="I581" s="13"/>
    </row>
    <row r="582" customFormat="false" ht="15" hidden="false" customHeight="true" outlineLevel="0" collapsed="false">
      <c r="A582" s="13"/>
      <c r="B582" s="14"/>
      <c r="C582" s="15"/>
      <c r="D582" s="16"/>
      <c r="E582" s="13" t="str">
        <f aca="false">IF(D582="","",IFERROR(INDEX('Plan de Cuentas'!$B$5:$B$1241,MATCH(D582,'Plan de Cuentas'!$A$5:$A$1241,0)),"No encontrado"))</f>
        <v/>
      </c>
      <c r="F582" s="16"/>
      <c r="G582" s="13" t="str">
        <f aca="false">IF(F582="","",IFERROR(INDEX('Plan de Cuentas'!$B$5:$B$1241,MATCH(F582,'Plan de Cuentas'!$A$5:$A$1241,0)),"No encontrado"))</f>
        <v/>
      </c>
      <c r="H582" s="17"/>
      <c r="I582" s="13"/>
    </row>
    <row r="583" customFormat="false" ht="15" hidden="false" customHeight="true" outlineLevel="0" collapsed="false">
      <c r="A583" s="13"/>
      <c r="B583" s="14"/>
      <c r="C583" s="15"/>
      <c r="D583" s="16"/>
      <c r="E583" s="13" t="str">
        <f aca="false">IF(D583="","",IFERROR(INDEX('Plan de Cuentas'!$B$5:$B$1241,MATCH(D583,'Plan de Cuentas'!$A$5:$A$1241,0)),"No encontrado"))</f>
        <v/>
      </c>
      <c r="F583" s="16"/>
      <c r="G583" s="13" t="str">
        <f aca="false">IF(F583="","",IFERROR(INDEX('Plan de Cuentas'!$B$5:$B$1241,MATCH(F583,'Plan de Cuentas'!$A$5:$A$1241,0)),"No encontrado"))</f>
        <v/>
      </c>
      <c r="H583" s="17"/>
      <c r="I583" s="13"/>
    </row>
    <row r="584" customFormat="false" ht="15" hidden="false" customHeight="true" outlineLevel="0" collapsed="false">
      <c r="A584" s="13"/>
      <c r="B584" s="14"/>
      <c r="C584" s="15"/>
      <c r="D584" s="16"/>
      <c r="E584" s="13" t="str">
        <f aca="false">IF(D584="","",IFERROR(INDEX('Plan de Cuentas'!$B$5:$B$1241,MATCH(D584,'Plan de Cuentas'!$A$5:$A$1241,0)),"No encontrado"))</f>
        <v/>
      </c>
      <c r="F584" s="16"/>
      <c r="G584" s="13" t="str">
        <f aca="false">IF(F584="","",IFERROR(INDEX('Plan de Cuentas'!$B$5:$B$1241,MATCH(F584,'Plan de Cuentas'!$A$5:$A$1241,0)),"No encontrado"))</f>
        <v/>
      </c>
      <c r="H584" s="17"/>
      <c r="I584" s="13"/>
    </row>
    <row r="585" customFormat="false" ht="15" hidden="false" customHeight="true" outlineLevel="0" collapsed="false">
      <c r="A585" s="13"/>
      <c r="B585" s="14"/>
      <c r="C585" s="15"/>
      <c r="D585" s="16"/>
      <c r="E585" s="13" t="str">
        <f aca="false">IF(D585="","",IFERROR(INDEX('Plan de Cuentas'!$B$5:$B$1241,MATCH(D585,'Plan de Cuentas'!$A$5:$A$1241,0)),"No encontrado"))</f>
        <v/>
      </c>
      <c r="F585" s="16"/>
      <c r="G585" s="13" t="str">
        <f aca="false">IF(F585="","",IFERROR(INDEX('Plan de Cuentas'!$B$5:$B$1241,MATCH(F585,'Plan de Cuentas'!$A$5:$A$1241,0)),"No encontrado"))</f>
        <v/>
      </c>
      <c r="H585" s="17"/>
      <c r="I585" s="13"/>
    </row>
    <row r="586" customFormat="false" ht="15" hidden="false" customHeight="true" outlineLevel="0" collapsed="false">
      <c r="A586" s="13"/>
      <c r="B586" s="14"/>
      <c r="C586" s="15"/>
      <c r="D586" s="16"/>
      <c r="E586" s="13" t="str">
        <f aca="false">IF(D586="","",IFERROR(INDEX('Plan de Cuentas'!$B$5:$B$1241,MATCH(D586,'Plan de Cuentas'!$A$5:$A$1241,0)),"No encontrado"))</f>
        <v/>
      </c>
      <c r="F586" s="16"/>
      <c r="G586" s="13" t="str">
        <f aca="false">IF(F586="","",IFERROR(INDEX('Plan de Cuentas'!$B$5:$B$1241,MATCH(F586,'Plan de Cuentas'!$A$5:$A$1241,0)),"No encontrado"))</f>
        <v/>
      </c>
      <c r="H586" s="17"/>
      <c r="I586" s="13"/>
    </row>
    <row r="587" customFormat="false" ht="15" hidden="false" customHeight="true" outlineLevel="0" collapsed="false">
      <c r="A587" s="13"/>
      <c r="B587" s="14"/>
      <c r="C587" s="15"/>
      <c r="D587" s="16"/>
      <c r="E587" s="13" t="str">
        <f aca="false">IF(D587="","",IFERROR(INDEX('Plan de Cuentas'!$B$5:$B$1241,MATCH(D587,'Plan de Cuentas'!$A$5:$A$1241,0)),"No encontrado"))</f>
        <v/>
      </c>
      <c r="F587" s="16"/>
      <c r="G587" s="13" t="str">
        <f aca="false">IF(F587="","",IFERROR(INDEX('Plan de Cuentas'!$B$5:$B$1241,MATCH(F587,'Plan de Cuentas'!$A$5:$A$1241,0)),"No encontrado"))</f>
        <v/>
      </c>
      <c r="H587" s="17"/>
      <c r="I587" s="13"/>
    </row>
    <row r="588" customFormat="false" ht="15" hidden="false" customHeight="true" outlineLevel="0" collapsed="false">
      <c r="A588" s="13"/>
      <c r="B588" s="14"/>
      <c r="C588" s="15"/>
      <c r="D588" s="16"/>
      <c r="E588" s="13" t="str">
        <f aca="false">IF(D588="","",IFERROR(INDEX('Plan de Cuentas'!$B$5:$B$1241,MATCH(D588,'Plan de Cuentas'!$A$5:$A$1241,0)),"No encontrado"))</f>
        <v/>
      </c>
      <c r="F588" s="16"/>
      <c r="G588" s="13" t="str">
        <f aca="false">IF(F588="","",IFERROR(INDEX('Plan de Cuentas'!$B$5:$B$1241,MATCH(F588,'Plan de Cuentas'!$A$5:$A$1241,0)),"No encontrado"))</f>
        <v/>
      </c>
      <c r="H588" s="17"/>
      <c r="I588" s="13"/>
    </row>
    <row r="589" customFormat="false" ht="15" hidden="false" customHeight="true" outlineLevel="0" collapsed="false">
      <c r="A589" s="13"/>
      <c r="B589" s="14"/>
      <c r="C589" s="15"/>
      <c r="D589" s="16"/>
      <c r="E589" s="13" t="str">
        <f aca="false">IF(D589="","",IFERROR(INDEX('Plan de Cuentas'!$B$5:$B$1241,MATCH(D589,'Plan de Cuentas'!$A$5:$A$1241,0)),"No encontrado"))</f>
        <v/>
      </c>
      <c r="F589" s="16"/>
      <c r="G589" s="13" t="str">
        <f aca="false">IF(F589="","",IFERROR(INDEX('Plan de Cuentas'!$B$5:$B$1241,MATCH(F589,'Plan de Cuentas'!$A$5:$A$1241,0)),"No encontrado"))</f>
        <v/>
      </c>
      <c r="H589" s="17"/>
      <c r="I589" s="13"/>
    </row>
    <row r="590" customFormat="false" ht="15" hidden="false" customHeight="true" outlineLevel="0" collapsed="false">
      <c r="A590" s="13"/>
      <c r="B590" s="14"/>
      <c r="C590" s="15"/>
      <c r="D590" s="16"/>
      <c r="E590" s="13" t="str">
        <f aca="false">IF(D590="","",IFERROR(INDEX('Plan de Cuentas'!$B$5:$B$1241,MATCH(D590,'Plan de Cuentas'!$A$5:$A$1241,0)),"No encontrado"))</f>
        <v/>
      </c>
      <c r="F590" s="16"/>
      <c r="G590" s="13" t="str">
        <f aca="false">IF(F590="","",IFERROR(INDEX('Plan de Cuentas'!$B$5:$B$1241,MATCH(F590,'Plan de Cuentas'!$A$5:$A$1241,0)),"No encontrado"))</f>
        <v/>
      </c>
      <c r="H590" s="17"/>
      <c r="I590" s="13"/>
    </row>
    <row r="591" customFormat="false" ht="15" hidden="false" customHeight="true" outlineLevel="0" collapsed="false">
      <c r="A591" s="13"/>
      <c r="B591" s="14"/>
      <c r="C591" s="15"/>
      <c r="D591" s="16"/>
      <c r="E591" s="13" t="str">
        <f aca="false">IF(D591="","",IFERROR(INDEX('Plan de Cuentas'!$B$5:$B$1241,MATCH(D591,'Plan de Cuentas'!$A$5:$A$1241,0)),"No encontrado"))</f>
        <v/>
      </c>
      <c r="F591" s="16"/>
      <c r="G591" s="13" t="str">
        <f aca="false">IF(F591="","",IFERROR(INDEX('Plan de Cuentas'!$B$5:$B$1241,MATCH(F591,'Plan de Cuentas'!$A$5:$A$1241,0)),"No encontrado"))</f>
        <v/>
      </c>
      <c r="H591" s="17"/>
      <c r="I591" s="13"/>
    </row>
    <row r="592" customFormat="false" ht="15" hidden="false" customHeight="true" outlineLevel="0" collapsed="false">
      <c r="A592" s="13"/>
      <c r="B592" s="14"/>
      <c r="C592" s="15"/>
      <c r="D592" s="16"/>
      <c r="E592" s="13" t="str">
        <f aca="false">IF(D592="","",IFERROR(INDEX('Plan de Cuentas'!$B$5:$B$1241,MATCH(D592,'Plan de Cuentas'!$A$5:$A$1241,0)),"No encontrado"))</f>
        <v/>
      </c>
      <c r="F592" s="16"/>
      <c r="G592" s="13" t="str">
        <f aca="false">IF(F592="","",IFERROR(INDEX('Plan de Cuentas'!$B$5:$B$1241,MATCH(F592,'Plan de Cuentas'!$A$5:$A$1241,0)),"No encontrado"))</f>
        <v/>
      </c>
      <c r="H592" s="17"/>
      <c r="I592" s="13"/>
    </row>
    <row r="593" customFormat="false" ht="15" hidden="false" customHeight="true" outlineLevel="0" collapsed="false">
      <c r="A593" s="13"/>
      <c r="B593" s="14"/>
      <c r="C593" s="15"/>
      <c r="D593" s="16"/>
      <c r="E593" s="13" t="str">
        <f aca="false">IF(D593="","",IFERROR(INDEX('Plan de Cuentas'!$B$5:$B$1241,MATCH(D593,'Plan de Cuentas'!$A$5:$A$1241,0)),"No encontrado"))</f>
        <v/>
      </c>
      <c r="F593" s="16"/>
      <c r="G593" s="13" t="str">
        <f aca="false">IF(F593="","",IFERROR(INDEX('Plan de Cuentas'!$B$5:$B$1241,MATCH(F593,'Plan de Cuentas'!$A$5:$A$1241,0)),"No encontrado"))</f>
        <v/>
      </c>
      <c r="H593" s="17"/>
      <c r="I593" s="13"/>
    </row>
    <row r="594" customFormat="false" ht="15" hidden="false" customHeight="true" outlineLevel="0" collapsed="false">
      <c r="A594" s="13"/>
      <c r="B594" s="14"/>
      <c r="C594" s="15"/>
      <c r="D594" s="16"/>
      <c r="E594" s="13" t="str">
        <f aca="false">IF(D594="","",IFERROR(INDEX('Plan de Cuentas'!$B$5:$B$1241,MATCH(D594,'Plan de Cuentas'!$A$5:$A$1241,0)),"No encontrado"))</f>
        <v/>
      </c>
      <c r="F594" s="16"/>
      <c r="G594" s="13" t="str">
        <f aca="false">IF(F594="","",IFERROR(INDEX('Plan de Cuentas'!$B$5:$B$1241,MATCH(F594,'Plan de Cuentas'!$A$5:$A$1241,0)),"No encontrado"))</f>
        <v/>
      </c>
      <c r="H594" s="17"/>
      <c r="I594" s="13"/>
    </row>
    <row r="595" customFormat="false" ht="15" hidden="false" customHeight="true" outlineLevel="0" collapsed="false">
      <c r="A595" s="13"/>
      <c r="B595" s="14"/>
      <c r="C595" s="15"/>
      <c r="D595" s="16"/>
      <c r="E595" s="13" t="str">
        <f aca="false">IF(D595="","",IFERROR(INDEX('Plan de Cuentas'!$B$5:$B$1241,MATCH(D595,'Plan de Cuentas'!$A$5:$A$1241,0)),"No encontrado"))</f>
        <v/>
      </c>
      <c r="F595" s="16"/>
      <c r="G595" s="13" t="str">
        <f aca="false">IF(F595="","",IFERROR(INDEX('Plan de Cuentas'!$B$5:$B$1241,MATCH(F595,'Plan de Cuentas'!$A$5:$A$1241,0)),"No encontrado"))</f>
        <v/>
      </c>
      <c r="H595" s="17"/>
      <c r="I595" s="13"/>
    </row>
    <row r="596" customFormat="false" ht="15" hidden="false" customHeight="true" outlineLevel="0" collapsed="false">
      <c r="A596" s="13"/>
      <c r="B596" s="14"/>
      <c r="C596" s="15"/>
      <c r="D596" s="16"/>
      <c r="E596" s="13" t="str">
        <f aca="false">IF(D596="","",IFERROR(INDEX('Plan de Cuentas'!$B$5:$B$1241,MATCH(D596,'Plan de Cuentas'!$A$5:$A$1241,0)),"No encontrado"))</f>
        <v/>
      </c>
      <c r="F596" s="16"/>
      <c r="G596" s="13" t="str">
        <f aca="false">IF(F596="","",IFERROR(INDEX('Plan de Cuentas'!$B$5:$B$1241,MATCH(F596,'Plan de Cuentas'!$A$5:$A$1241,0)),"No encontrado"))</f>
        <v/>
      </c>
      <c r="H596" s="17"/>
      <c r="I596" s="13"/>
    </row>
    <row r="597" customFormat="false" ht="15" hidden="false" customHeight="true" outlineLevel="0" collapsed="false">
      <c r="A597" s="13"/>
      <c r="B597" s="14"/>
      <c r="C597" s="15"/>
      <c r="D597" s="16"/>
      <c r="E597" s="13" t="str">
        <f aca="false">IF(D597="","",IFERROR(INDEX('Plan de Cuentas'!$B$5:$B$1241,MATCH(D597,'Plan de Cuentas'!$A$5:$A$1241,0)),"No encontrado"))</f>
        <v/>
      </c>
      <c r="F597" s="16"/>
      <c r="G597" s="13" t="str">
        <f aca="false">IF(F597="","",IFERROR(INDEX('Plan de Cuentas'!$B$5:$B$1241,MATCH(F597,'Plan de Cuentas'!$A$5:$A$1241,0)),"No encontrado"))</f>
        <v/>
      </c>
      <c r="H597" s="17"/>
      <c r="I597" s="13"/>
    </row>
    <row r="598" customFormat="false" ht="15" hidden="false" customHeight="true" outlineLevel="0" collapsed="false">
      <c r="A598" s="13"/>
      <c r="B598" s="14"/>
      <c r="C598" s="15"/>
      <c r="D598" s="16"/>
      <c r="E598" s="13" t="str">
        <f aca="false">IF(D598="","",IFERROR(INDEX('Plan de Cuentas'!$B$5:$B$1241,MATCH(D598,'Plan de Cuentas'!$A$5:$A$1241,0)),"No encontrado"))</f>
        <v/>
      </c>
      <c r="F598" s="16"/>
      <c r="G598" s="13" t="str">
        <f aca="false">IF(F598="","",IFERROR(INDEX('Plan de Cuentas'!$B$5:$B$1241,MATCH(F598,'Plan de Cuentas'!$A$5:$A$1241,0)),"No encontrado"))</f>
        <v/>
      </c>
      <c r="H598" s="17"/>
      <c r="I598" s="13"/>
    </row>
    <row r="599" customFormat="false" ht="15" hidden="false" customHeight="true" outlineLevel="0" collapsed="false">
      <c r="A599" s="13"/>
      <c r="B599" s="14"/>
      <c r="C599" s="15"/>
      <c r="D599" s="16"/>
      <c r="E599" s="13" t="str">
        <f aca="false">IF(D599="","",IFERROR(INDEX('Plan de Cuentas'!$B$5:$B$1241,MATCH(D599,'Plan de Cuentas'!$A$5:$A$1241,0)),"No encontrado"))</f>
        <v/>
      </c>
      <c r="F599" s="16"/>
      <c r="G599" s="13" t="str">
        <f aca="false">IF(F599="","",IFERROR(INDEX('Plan de Cuentas'!$B$5:$B$1241,MATCH(F599,'Plan de Cuentas'!$A$5:$A$1241,0)),"No encontrado"))</f>
        <v/>
      </c>
      <c r="H599" s="17"/>
      <c r="I599" s="13"/>
    </row>
    <row r="600" customFormat="false" ht="15" hidden="false" customHeight="true" outlineLevel="0" collapsed="false">
      <c r="A600" s="13"/>
      <c r="B600" s="14"/>
      <c r="C600" s="15"/>
      <c r="D600" s="16"/>
      <c r="E600" s="13" t="str">
        <f aca="false">IF(D600="","",IFERROR(INDEX('Plan de Cuentas'!$B$5:$B$1241,MATCH(D600,'Plan de Cuentas'!$A$5:$A$1241,0)),"No encontrado"))</f>
        <v/>
      </c>
      <c r="F600" s="16"/>
      <c r="G600" s="13" t="str">
        <f aca="false">IF(F600="","",IFERROR(INDEX('Plan de Cuentas'!$B$5:$B$1241,MATCH(F600,'Plan de Cuentas'!$A$5:$A$1241,0)),"No encontrado"))</f>
        <v/>
      </c>
      <c r="H600" s="17"/>
      <c r="I600" s="13"/>
    </row>
    <row r="601" customFormat="false" ht="15" hidden="false" customHeight="true" outlineLevel="0" collapsed="false">
      <c r="A601" s="13"/>
      <c r="B601" s="14"/>
      <c r="C601" s="15"/>
      <c r="D601" s="16"/>
      <c r="E601" s="13" t="str">
        <f aca="false">IF(D601="","",IFERROR(INDEX('Plan de Cuentas'!$B$5:$B$1241,MATCH(D601,'Plan de Cuentas'!$A$5:$A$1241,0)),"No encontrado"))</f>
        <v/>
      </c>
      <c r="F601" s="16"/>
      <c r="G601" s="13" t="str">
        <f aca="false">IF(F601="","",IFERROR(INDEX('Plan de Cuentas'!$B$5:$B$1241,MATCH(F601,'Plan de Cuentas'!$A$5:$A$1241,0)),"No encontrado"))</f>
        <v/>
      </c>
      <c r="H601" s="17"/>
      <c r="I601" s="13"/>
    </row>
    <row r="602" customFormat="false" ht="15" hidden="false" customHeight="true" outlineLevel="0" collapsed="false">
      <c r="A602" s="13"/>
      <c r="B602" s="14"/>
      <c r="C602" s="15"/>
      <c r="D602" s="16"/>
      <c r="E602" s="13" t="str">
        <f aca="false">IF(D602="","",IFERROR(INDEX('Plan de Cuentas'!$B$5:$B$1241,MATCH(D602,'Plan de Cuentas'!$A$5:$A$1241,0)),"No encontrado"))</f>
        <v/>
      </c>
      <c r="F602" s="16"/>
      <c r="G602" s="13" t="str">
        <f aca="false">IF(F602="","",IFERROR(INDEX('Plan de Cuentas'!$B$5:$B$1241,MATCH(F602,'Plan de Cuentas'!$A$5:$A$1241,0)),"No encontrado"))</f>
        <v/>
      </c>
      <c r="H602" s="17"/>
      <c r="I602" s="13"/>
    </row>
    <row r="603" customFormat="false" ht="15" hidden="false" customHeight="true" outlineLevel="0" collapsed="false">
      <c r="A603" s="13"/>
      <c r="B603" s="14"/>
      <c r="C603" s="15"/>
      <c r="D603" s="16"/>
      <c r="E603" s="13" t="str">
        <f aca="false">IF(D603="","",IFERROR(INDEX('Plan de Cuentas'!$B$5:$B$1241,MATCH(D603,'Plan de Cuentas'!$A$5:$A$1241,0)),"No encontrado"))</f>
        <v/>
      </c>
      <c r="F603" s="16"/>
      <c r="G603" s="13" t="str">
        <f aca="false">IF(F603="","",IFERROR(INDEX('Plan de Cuentas'!$B$5:$B$1241,MATCH(F603,'Plan de Cuentas'!$A$5:$A$1241,0)),"No encontrado"))</f>
        <v/>
      </c>
      <c r="H603" s="17"/>
      <c r="I603" s="13"/>
    </row>
    <row r="604" customFormat="false" ht="15" hidden="false" customHeight="true" outlineLevel="0" collapsed="false">
      <c r="A604" s="13"/>
      <c r="B604" s="14"/>
      <c r="C604" s="15"/>
      <c r="D604" s="16"/>
      <c r="E604" s="13" t="str">
        <f aca="false">IF(D604="","",IFERROR(INDEX('Plan de Cuentas'!$B$5:$B$1241,MATCH(D604,'Plan de Cuentas'!$A$5:$A$1241,0)),"No encontrado"))</f>
        <v/>
      </c>
      <c r="F604" s="16"/>
      <c r="G604" s="13" t="str">
        <f aca="false">IF(F604="","",IFERROR(INDEX('Plan de Cuentas'!$B$5:$B$1241,MATCH(F604,'Plan de Cuentas'!$A$5:$A$1241,0)),"No encontrado"))</f>
        <v/>
      </c>
      <c r="H604" s="17"/>
      <c r="I604" s="13"/>
    </row>
    <row r="605" customFormat="false" ht="15" hidden="false" customHeight="true" outlineLevel="0" collapsed="false">
      <c r="A605" s="13"/>
      <c r="B605" s="14"/>
      <c r="C605" s="15"/>
      <c r="D605" s="16"/>
      <c r="E605" s="13" t="str">
        <f aca="false">IF(D605="","",IFERROR(INDEX('Plan de Cuentas'!$B$5:$B$1241,MATCH(D605,'Plan de Cuentas'!$A$5:$A$1241,0)),"No encontrado"))</f>
        <v/>
      </c>
      <c r="F605" s="16"/>
      <c r="G605" s="13" t="str">
        <f aca="false">IF(F605="","",IFERROR(INDEX('Plan de Cuentas'!$B$5:$B$1241,MATCH(F605,'Plan de Cuentas'!$A$5:$A$1241,0)),"No encontrado"))</f>
        <v/>
      </c>
      <c r="H605" s="17"/>
      <c r="I605" s="13"/>
    </row>
    <row r="606" customFormat="false" ht="15" hidden="false" customHeight="true" outlineLevel="0" collapsed="false">
      <c r="A606" s="13"/>
      <c r="B606" s="14"/>
      <c r="C606" s="15"/>
      <c r="D606" s="16"/>
      <c r="E606" s="13" t="str">
        <f aca="false">IF(D606="","",IFERROR(INDEX('Plan de Cuentas'!$B$5:$B$1241,MATCH(D606,'Plan de Cuentas'!$A$5:$A$1241,0)),"No encontrado"))</f>
        <v/>
      </c>
      <c r="F606" s="16"/>
      <c r="G606" s="13" t="str">
        <f aca="false">IF(F606="","",IFERROR(INDEX('Plan de Cuentas'!$B$5:$B$1241,MATCH(F606,'Plan de Cuentas'!$A$5:$A$1241,0)),"No encontrado"))</f>
        <v/>
      </c>
      <c r="H606" s="17"/>
      <c r="I606" s="13"/>
    </row>
    <row r="607" customFormat="false" ht="15" hidden="false" customHeight="true" outlineLevel="0" collapsed="false">
      <c r="A607" s="13"/>
      <c r="B607" s="14"/>
      <c r="C607" s="15"/>
      <c r="D607" s="16"/>
      <c r="E607" s="13" t="str">
        <f aca="false">IF(D607="","",IFERROR(INDEX('Plan de Cuentas'!$B$5:$B$1241,MATCH(D607,'Plan de Cuentas'!$A$5:$A$1241,0)),"No encontrado"))</f>
        <v/>
      </c>
      <c r="F607" s="16"/>
      <c r="G607" s="13" t="str">
        <f aca="false">IF(F607="","",IFERROR(INDEX('Plan de Cuentas'!$B$5:$B$1241,MATCH(F607,'Plan de Cuentas'!$A$5:$A$1241,0)),"No encontrado"))</f>
        <v/>
      </c>
      <c r="H607" s="17"/>
      <c r="I607" s="13"/>
    </row>
    <row r="608" customFormat="false" ht="15" hidden="false" customHeight="true" outlineLevel="0" collapsed="false">
      <c r="A608" s="13"/>
      <c r="B608" s="14"/>
      <c r="C608" s="15"/>
      <c r="D608" s="16"/>
      <c r="E608" s="13" t="str">
        <f aca="false">IF(D608="","",IFERROR(INDEX('Plan de Cuentas'!$B$5:$B$1241,MATCH(D608,'Plan de Cuentas'!$A$5:$A$1241,0)),"No encontrado"))</f>
        <v/>
      </c>
      <c r="F608" s="16"/>
      <c r="G608" s="13" t="str">
        <f aca="false">IF(F608="","",IFERROR(INDEX('Plan de Cuentas'!$B$5:$B$1241,MATCH(F608,'Plan de Cuentas'!$A$5:$A$1241,0)),"No encontrado"))</f>
        <v/>
      </c>
      <c r="H608" s="17"/>
      <c r="I608" s="13"/>
    </row>
    <row r="609" customFormat="false" ht="15" hidden="false" customHeight="true" outlineLevel="0" collapsed="false">
      <c r="A609" s="13"/>
      <c r="B609" s="14"/>
      <c r="C609" s="15"/>
      <c r="D609" s="16"/>
      <c r="E609" s="13" t="str">
        <f aca="false">IF(D609="","",IFERROR(INDEX('Plan de Cuentas'!$B$5:$B$1241,MATCH(D609,'Plan de Cuentas'!$A$5:$A$1241,0)),"No encontrado"))</f>
        <v/>
      </c>
      <c r="F609" s="16"/>
      <c r="G609" s="13" t="str">
        <f aca="false">IF(F609="","",IFERROR(INDEX('Plan de Cuentas'!$B$5:$B$1241,MATCH(F609,'Plan de Cuentas'!$A$5:$A$1241,0)),"No encontrado"))</f>
        <v/>
      </c>
      <c r="H609" s="17"/>
      <c r="I609" s="13"/>
    </row>
    <row r="610" customFormat="false" ht="15" hidden="false" customHeight="true" outlineLevel="0" collapsed="false">
      <c r="A610" s="13"/>
      <c r="B610" s="14"/>
      <c r="C610" s="15"/>
      <c r="D610" s="16"/>
      <c r="E610" s="13" t="str">
        <f aca="false">IF(D610="","",IFERROR(INDEX('Plan de Cuentas'!$B$5:$B$1241,MATCH(D610,'Plan de Cuentas'!$A$5:$A$1241,0)),"No encontrado"))</f>
        <v/>
      </c>
      <c r="F610" s="16"/>
      <c r="G610" s="13" t="str">
        <f aca="false">IF(F610="","",IFERROR(INDEX('Plan de Cuentas'!$B$5:$B$1241,MATCH(F610,'Plan de Cuentas'!$A$5:$A$1241,0)),"No encontrado"))</f>
        <v/>
      </c>
      <c r="H610" s="17"/>
      <c r="I610" s="13"/>
    </row>
    <row r="611" customFormat="false" ht="15" hidden="false" customHeight="true" outlineLevel="0" collapsed="false">
      <c r="A611" s="13"/>
      <c r="B611" s="14"/>
      <c r="C611" s="15"/>
      <c r="D611" s="16"/>
      <c r="E611" s="13" t="str">
        <f aca="false">IF(D611="","",IFERROR(INDEX('Plan de Cuentas'!$B$5:$B$1241,MATCH(D611,'Plan de Cuentas'!$A$5:$A$1241,0)),"No encontrado"))</f>
        <v/>
      </c>
      <c r="F611" s="16"/>
      <c r="G611" s="13" t="str">
        <f aca="false">IF(F611="","",IFERROR(INDEX('Plan de Cuentas'!$B$5:$B$1241,MATCH(F611,'Plan de Cuentas'!$A$5:$A$1241,0)),"No encontrado"))</f>
        <v/>
      </c>
      <c r="H611" s="17"/>
      <c r="I611" s="13"/>
    </row>
    <row r="612" customFormat="false" ht="15" hidden="false" customHeight="true" outlineLevel="0" collapsed="false">
      <c r="A612" s="13"/>
      <c r="B612" s="14"/>
      <c r="C612" s="15"/>
      <c r="D612" s="16"/>
      <c r="E612" s="13" t="str">
        <f aca="false">IF(D612="","",IFERROR(INDEX('Plan de Cuentas'!$B$5:$B$1241,MATCH(D612,'Plan de Cuentas'!$A$5:$A$1241,0)),"No encontrado"))</f>
        <v/>
      </c>
      <c r="F612" s="16"/>
      <c r="G612" s="13" t="str">
        <f aca="false">IF(F612="","",IFERROR(INDEX('Plan de Cuentas'!$B$5:$B$1241,MATCH(F612,'Plan de Cuentas'!$A$5:$A$1241,0)),"No encontrado"))</f>
        <v/>
      </c>
      <c r="H612" s="17"/>
      <c r="I612" s="13"/>
    </row>
    <row r="613" customFormat="false" ht="15" hidden="false" customHeight="true" outlineLevel="0" collapsed="false">
      <c r="A613" s="13"/>
      <c r="B613" s="14"/>
      <c r="C613" s="15"/>
      <c r="D613" s="16"/>
      <c r="E613" s="13" t="str">
        <f aca="false">IF(D613="","",IFERROR(INDEX('Plan de Cuentas'!$B$5:$B$1241,MATCH(D613,'Plan de Cuentas'!$A$5:$A$1241,0)),"No encontrado"))</f>
        <v/>
      </c>
      <c r="F613" s="16"/>
      <c r="G613" s="13" t="str">
        <f aca="false">IF(F613="","",IFERROR(INDEX('Plan de Cuentas'!$B$5:$B$1241,MATCH(F613,'Plan de Cuentas'!$A$5:$A$1241,0)),"No encontrado"))</f>
        <v/>
      </c>
      <c r="H613" s="17"/>
      <c r="I613" s="13"/>
    </row>
    <row r="614" customFormat="false" ht="15" hidden="false" customHeight="true" outlineLevel="0" collapsed="false">
      <c r="A614" s="13"/>
      <c r="B614" s="14"/>
      <c r="C614" s="15"/>
      <c r="D614" s="16"/>
      <c r="E614" s="13" t="str">
        <f aca="false">IF(D614="","",IFERROR(INDEX('Plan de Cuentas'!$B$5:$B$1241,MATCH(D614,'Plan de Cuentas'!$A$5:$A$1241,0)),"No encontrado"))</f>
        <v/>
      </c>
      <c r="F614" s="16"/>
      <c r="G614" s="13" t="str">
        <f aca="false">IF(F614="","",IFERROR(INDEX('Plan de Cuentas'!$B$5:$B$1241,MATCH(F614,'Plan de Cuentas'!$A$5:$A$1241,0)),"No encontrado"))</f>
        <v/>
      </c>
      <c r="H614" s="17"/>
      <c r="I614" s="13"/>
    </row>
    <row r="615" customFormat="false" ht="15" hidden="false" customHeight="true" outlineLevel="0" collapsed="false">
      <c r="A615" s="13"/>
      <c r="B615" s="14"/>
      <c r="C615" s="15"/>
      <c r="D615" s="16"/>
      <c r="E615" s="13" t="str">
        <f aca="false">IF(D615="","",IFERROR(INDEX('Plan de Cuentas'!$B$5:$B$1241,MATCH(D615,'Plan de Cuentas'!$A$5:$A$1241,0)),"No encontrado"))</f>
        <v/>
      </c>
      <c r="F615" s="16"/>
      <c r="G615" s="13" t="str">
        <f aca="false">IF(F615="","",IFERROR(INDEX('Plan de Cuentas'!$B$5:$B$1241,MATCH(F615,'Plan de Cuentas'!$A$5:$A$1241,0)),"No encontrado"))</f>
        <v/>
      </c>
      <c r="H615" s="17"/>
      <c r="I615" s="13"/>
    </row>
    <row r="616" customFormat="false" ht="15" hidden="false" customHeight="true" outlineLevel="0" collapsed="false">
      <c r="A616" s="13"/>
      <c r="B616" s="14"/>
      <c r="C616" s="15"/>
      <c r="D616" s="16"/>
      <c r="E616" s="13" t="str">
        <f aca="false">IF(D616="","",IFERROR(INDEX('Plan de Cuentas'!$B$5:$B$1241,MATCH(D616,'Plan de Cuentas'!$A$5:$A$1241,0)),"No encontrado"))</f>
        <v/>
      </c>
      <c r="F616" s="16"/>
      <c r="G616" s="13" t="str">
        <f aca="false">IF(F616="","",IFERROR(INDEX('Plan de Cuentas'!$B$5:$B$1241,MATCH(F616,'Plan de Cuentas'!$A$5:$A$1241,0)),"No encontrado"))</f>
        <v/>
      </c>
      <c r="H616" s="17"/>
      <c r="I616" s="13"/>
    </row>
    <row r="617" customFormat="false" ht="15" hidden="false" customHeight="true" outlineLevel="0" collapsed="false">
      <c r="A617" s="13"/>
      <c r="B617" s="14"/>
      <c r="C617" s="15"/>
      <c r="D617" s="16"/>
      <c r="E617" s="13" t="str">
        <f aca="false">IF(D617="","",IFERROR(INDEX('Plan de Cuentas'!$B$5:$B$1241,MATCH(D617,'Plan de Cuentas'!$A$5:$A$1241,0)),"No encontrado"))</f>
        <v/>
      </c>
      <c r="F617" s="16"/>
      <c r="G617" s="13" t="str">
        <f aca="false">IF(F617="","",IFERROR(INDEX('Plan de Cuentas'!$B$5:$B$1241,MATCH(F617,'Plan de Cuentas'!$A$5:$A$1241,0)),"No encontrado"))</f>
        <v/>
      </c>
      <c r="H617" s="17"/>
      <c r="I617" s="13"/>
    </row>
    <row r="618" customFormat="false" ht="15" hidden="false" customHeight="true" outlineLevel="0" collapsed="false">
      <c r="A618" s="13"/>
      <c r="B618" s="14"/>
      <c r="C618" s="15"/>
      <c r="D618" s="16"/>
      <c r="E618" s="13" t="str">
        <f aca="false">IF(D618="","",IFERROR(INDEX('Plan de Cuentas'!$B$5:$B$1241,MATCH(D618,'Plan de Cuentas'!$A$5:$A$1241,0)),"No encontrado"))</f>
        <v/>
      </c>
      <c r="F618" s="16"/>
      <c r="G618" s="13" t="str">
        <f aca="false">IF(F618="","",IFERROR(INDEX('Plan de Cuentas'!$B$5:$B$1241,MATCH(F618,'Plan de Cuentas'!$A$5:$A$1241,0)),"No encontrado"))</f>
        <v/>
      </c>
      <c r="H618" s="17"/>
      <c r="I618" s="13"/>
    </row>
    <row r="619" customFormat="false" ht="15" hidden="false" customHeight="true" outlineLevel="0" collapsed="false">
      <c r="A619" s="13"/>
      <c r="B619" s="14"/>
      <c r="C619" s="15"/>
      <c r="D619" s="16"/>
      <c r="E619" s="13" t="str">
        <f aca="false">IF(D619="","",IFERROR(INDEX('Plan de Cuentas'!$B$5:$B$1241,MATCH(D619,'Plan de Cuentas'!$A$5:$A$1241,0)),"No encontrado"))</f>
        <v/>
      </c>
      <c r="F619" s="16"/>
      <c r="G619" s="13" t="str">
        <f aca="false">IF(F619="","",IFERROR(INDEX('Plan de Cuentas'!$B$5:$B$1241,MATCH(F619,'Plan de Cuentas'!$A$5:$A$1241,0)),"No encontrado"))</f>
        <v/>
      </c>
      <c r="H619" s="17"/>
      <c r="I619" s="13"/>
    </row>
    <row r="620" customFormat="false" ht="15" hidden="false" customHeight="true" outlineLevel="0" collapsed="false">
      <c r="A620" s="13"/>
      <c r="B620" s="14"/>
      <c r="C620" s="15"/>
      <c r="D620" s="16"/>
      <c r="E620" s="13" t="str">
        <f aca="false">IF(D620="","",IFERROR(INDEX('Plan de Cuentas'!$B$5:$B$1241,MATCH(D620,'Plan de Cuentas'!$A$5:$A$1241,0)),"No encontrado"))</f>
        <v/>
      </c>
      <c r="F620" s="16"/>
      <c r="G620" s="13" t="str">
        <f aca="false">IF(F620="","",IFERROR(INDEX('Plan de Cuentas'!$B$5:$B$1241,MATCH(F620,'Plan de Cuentas'!$A$5:$A$1241,0)),"No encontrado"))</f>
        <v/>
      </c>
      <c r="H620" s="17"/>
      <c r="I620" s="13"/>
    </row>
    <row r="621" customFormat="false" ht="15" hidden="false" customHeight="true" outlineLevel="0" collapsed="false">
      <c r="A621" s="13"/>
      <c r="B621" s="14"/>
      <c r="C621" s="15"/>
      <c r="D621" s="16"/>
      <c r="E621" s="13" t="str">
        <f aca="false">IF(D621="","",IFERROR(INDEX('Plan de Cuentas'!$B$5:$B$1241,MATCH(D621,'Plan de Cuentas'!$A$5:$A$1241,0)),"No encontrado"))</f>
        <v/>
      </c>
      <c r="F621" s="16"/>
      <c r="G621" s="13" t="str">
        <f aca="false">IF(F621="","",IFERROR(INDEX('Plan de Cuentas'!$B$5:$B$1241,MATCH(F621,'Plan de Cuentas'!$A$5:$A$1241,0)),"No encontrado"))</f>
        <v/>
      </c>
      <c r="H621" s="17"/>
      <c r="I621" s="13"/>
    </row>
    <row r="622" customFormat="false" ht="15" hidden="false" customHeight="true" outlineLevel="0" collapsed="false">
      <c r="A622" s="13"/>
      <c r="B622" s="14"/>
      <c r="C622" s="15"/>
      <c r="D622" s="16"/>
      <c r="E622" s="13" t="str">
        <f aca="false">IF(D622="","",IFERROR(INDEX('Plan de Cuentas'!$B$5:$B$1241,MATCH(D622,'Plan de Cuentas'!$A$5:$A$1241,0)),"No encontrado"))</f>
        <v/>
      </c>
      <c r="F622" s="16"/>
      <c r="G622" s="13" t="str">
        <f aca="false">IF(F622="","",IFERROR(INDEX('Plan de Cuentas'!$B$5:$B$1241,MATCH(F622,'Plan de Cuentas'!$A$5:$A$1241,0)),"No encontrado"))</f>
        <v/>
      </c>
      <c r="H622" s="17"/>
      <c r="I622" s="13"/>
    </row>
    <row r="623" customFormat="false" ht="15" hidden="false" customHeight="true" outlineLevel="0" collapsed="false">
      <c r="A623" s="13"/>
      <c r="B623" s="14"/>
      <c r="C623" s="15"/>
      <c r="D623" s="16"/>
      <c r="E623" s="13" t="str">
        <f aca="false">IF(D623="","",IFERROR(INDEX('Plan de Cuentas'!$B$5:$B$1241,MATCH(D623,'Plan de Cuentas'!$A$5:$A$1241,0)),"No encontrado"))</f>
        <v/>
      </c>
      <c r="F623" s="16"/>
      <c r="G623" s="13" t="str">
        <f aca="false">IF(F623="","",IFERROR(INDEX('Plan de Cuentas'!$B$5:$B$1241,MATCH(F623,'Plan de Cuentas'!$A$5:$A$1241,0)),"No encontrado"))</f>
        <v/>
      </c>
      <c r="H623" s="17"/>
      <c r="I623" s="13"/>
    </row>
    <row r="624" customFormat="false" ht="15" hidden="false" customHeight="true" outlineLevel="0" collapsed="false">
      <c r="A624" s="13"/>
      <c r="B624" s="14"/>
      <c r="C624" s="15"/>
      <c r="D624" s="16"/>
      <c r="E624" s="13" t="str">
        <f aca="false">IF(D624="","",IFERROR(INDEX('Plan de Cuentas'!$B$5:$B$1241,MATCH(D624,'Plan de Cuentas'!$A$5:$A$1241,0)),"No encontrado"))</f>
        <v/>
      </c>
      <c r="F624" s="16"/>
      <c r="G624" s="13" t="str">
        <f aca="false">IF(F624="","",IFERROR(INDEX('Plan de Cuentas'!$B$5:$B$1241,MATCH(F624,'Plan de Cuentas'!$A$5:$A$1241,0)),"No encontrado"))</f>
        <v/>
      </c>
      <c r="H624" s="17"/>
      <c r="I624" s="13"/>
    </row>
    <row r="625" customFormat="false" ht="15" hidden="false" customHeight="true" outlineLevel="0" collapsed="false">
      <c r="A625" s="13"/>
      <c r="B625" s="14"/>
      <c r="C625" s="15"/>
      <c r="D625" s="16"/>
      <c r="E625" s="13" t="str">
        <f aca="false">IF(D625="","",IFERROR(INDEX('Plan de Cuentas'!$B$5:$B$1241,MATCH(D625,'Plan de Cuentas'!$A$5:$A$1241,0)),"No encontrado"))</f>
        <v/>
      </c>
      <c r="F625" s="16"/>
      <c r="G625" s="13" t="str">
        <f aca="false">IF(F625="","",IFERROR(INDEX('Plan de Cuentas'!$B$5:$B$1241,MATCH(F625,'Plan de Cuentas'!$A$5:$A$1241,0)),"No encontrado"))</f>
        <v/>
      </c>
      <c r="H625" s="17"/>
      <c r="I625" s="13"/>
    </row>
    <row r="626" customFormat="false" ht="15" hidden="false" customHeight="true" outlineLevel="0" collapsed="false">
      <c r="A626" s="13"/>
      <c r="B626" s="14"/>
      <c r="C626" s="15"/>
      <c r="D626" s="16"/>
      <c r="E626" s="13" t="str">
        <f aca="false">IF(D626="","",IFERROR(INDEX('Plan de Cuentas'!$B$5:$B$1241,MATCH(D626,'Plan de Cuentas'!$A$5:$A$1241,0)),"No encontrado"))</f>
        <v/>
      </c>
      <c r="F626" s="16"/>
      <c r="G626" s="13" t="str">
        <f aca="false">IF(F626="","",IFERROR(INDEX('Plan de Cuentas'!$B$5:$B$1241,MATCH(F626,'Plan de Cuentas'!$A$5:$A$1241,0)),"No encontrado"))</f>
        <v/>
      </c>
      <c r="H626" s="17"/>
      <c r="I626" s="13"/>
    </row>
    <row r="627" customFormat="false" ht="15" hidden="false" customHeight="true" outlineLevel="0" collapsed="false">
      <c r="A627" s="13"/>
      <c r="B627" s="14"/>
      <c r="C627" s="15"/>
      <c r="D627" s="16"/>
      <c r="E627" s="13" t="str">
        <f aca="false">IF(D627="","",IFERROR(INDEX('Plan de Cuentas'!$B$5:$B$1241,MATCH(D627,'Plan de Cuentas'!$A$5:$A$1241,0)),"No encontrado"))</f>
        <v/>
      </c>
      <c r="F627" s="16"/>
      <c r="G627" s="13" t="str">
        <f aca="false">IF(F627="","",IFERROR(INDEX('Plan de Cuentas'!$B$5:$B$1241,MATCH(F627,'Plan de Cuentas'!$A$5:$A$1241,0)),"No encontrado"))</f>
        <v/>
      </c>
      <c r="H627" s="17"/>
      <c r="I627" s="13"/>
    </row>
    <row r="628" customFormat="false" ht="15" hidden="false" customHeight="true" outlineLevel="0" collapsed="false">
      <c r="A628" s="13"/>
      <c r="B628" s="14"/>
      <c r="C628" s="15"/>
      <c r="D628" s="16"/>
      <c r="E628" s="13" t="str">
        <f aca="false">IF(D628="","",IFERROR(INDEX('Plan de Cuentas'!$B$5:$B$1241,MATCH(D628,'Plan de Cuentas'!$A$5:$A$1241,0)),"No encontrado"))</f>
        <v/>
      </c>
      <c r="F628" s="16"/>
      <c r="G628" s="13" t="str">
        <f aca="false">IF(F628="","",IFERROR(INDEX('Plan de Cuentas'!$B$5:$B$1241,MATCH(F628,'Plan de Cuentas'!$A$5:$A$1241,0)),"No encontrado"))</f>
        <v/>
      </c>
      <c r="H628" s="17"/>
      <c r="I628" s="13"/>
    </row>
    <row r="629" customFormat="false" ht="15" hidden="false" customHeight="true" outlineLevel="0" collapsed="false">
      <c r="A629" s="13"/>
      <c r="B629" s="14"/>
      <c r="C629" s="15"/>
      <c r="D629" s="16"/>
      <c r="E629" s="13" t="str">
        <f aca="false">IF(D629="","",IFERROR(INDEX('Plan de Cuentas'!$B$5:$B$1241,MATCH(D629,'Plan de Cuentas'!$A$5:$A$1241,0)),"No encontrado"))</f>
        <v/>
      </c>
      <c r="F629" s="16"/>
      <c r="G629" s="13" t="str">
        <f aca="false">IF(F629="","",IFERROR(INDEX('Plan de Cuentas'!$B$5:$B$1241,MATCH(F629,'Plan de Cuentas'!$A$5:$A$1241,0)),"No encontrado"))</f>
        <v/>
      </c>
      <c r="H629" s="17"/>
      <c r="I629" s="13"/>
    </row>
    <row r="630" customFormat="false" ht="15" hidden="false" customHeight="true" outlineLevel="0" collapsed="false">
      <c r="A630" s="13"/>
      <c r="B630" s="14"/>
      <c r="C630" s="15"/>
      <c r="D630" s="16"/>
      <c r="E630" s="13" t="str">
        <f aca="false">IF(D630="","",IFERROR(INDEX('Plan de Cuentas'!$B$5:$B$1241,MATCH(D630,'Plan de Cuentas'!$A$5:$A$1241,0)),"No encontrado"))</f>
        <v/>
      </c>
      <c r="F630" s="16"/>
      <c r="G630" s="13" t="str">
        <f aca="false">IF(F630="","",IFERROR(INDEX('Plan de Cuentas'!$B$5:$B$1241,MATCH(F630,'Plan de Cuentas'!$A$5:$A$1241,0)),"No encontrado"))</f>
        <v/>
      </c>
      <c r="H630" s="17"/>
      <c r="I630" s="13"/>
    </row>
    <row r="631" customFormat="false" ht="15" hidden="false" customHeight="true" outlineLevel="0" collapsed="false">
      <c r="A631" s="13"/>
      <c r="B631" s="14"/>
      <c r="C631" s="15"/>
      <c r="D631" s="16"/>
      <c r="E631" s="13" t="str">
        <f aca="false">IF(D631="","",IFERROR(INDEX('Plan de Cuentas'!$B$5:$B$1241,MATCH(D631,'Plan de Cuentas'!$A$5:$A$1241,0)),"No encontrado"))</f>
        <v/>
      </c>
      <c r="F631" s="16"/>
      <c r="G631" s="13" t="str">
        <f aca="false">IF(F631="","",IFERROR(INDEX('Plan de Cuentas'!$B$5:$B$1241,MATCH(F631,'Plan de Cuentas'!$A$5:$A$1241,0)),"No encontrado"))</f>
        <v/>
      </c>
      <c r="H631" s="17"/>
      <c r="I631" s="13"/>
    </row>
    <row r="632" customFormat="false" ht="15" hidden="false" customHeight="true" outlineLevel="0" collapsed="false">
      <c r="A632" s="13"/>
      <c r="B632" s="14"/>
      <c r="C632" s="15"/>
      <c r="D632" s="16"/>
      <c r="E632" s="13" t="str">
        <f aca="false">IF(D632="","",IFERROR(INDEX('Plan de Cuentas'!$B$5:$B$1241,MATCH(D632,'Plan de Cuentas'!$A$5:$A$1241,0)),"No encontrado"))</f>
        <v/>
      </c>
      <c r="F632" s="16"/>
      <c r="G632" s="13" t="str">
        <f aca="false">IF(F632="","",IFERROR(INDEX('Plan de Cuentas'!$B$5:$B$1241,MATCH(F632,'Plan de Cuentas'!$A$5:$A$1241,0)),"No encontrado"))</f>
        <v/>
      </c>
      <c r="H632" s="17"/>
      <c r="I632" s="13"/>
    </row>
    <row r="633" customFormat="false" ht="15" hidden="false" customHeight="true" outlineLevel="0" collapsed="false">
      <c r="A633" s="13"/>
      <c r="B633" s="14"/>
      <c r="C633" s="15"/>
      <c r="D633" s="16"/>
      <c r="E633" s="13" t="str">
        <f aca="false">IF(D633="","",IFERROR(INDEX('Plan de Cuentas'!$B$5:$B$1241,MATCH(D633,'Plan de Cuentas'!$A$5:$A$1241,0)),"No encontrado"))</f>
        <v/>
      </c>
      <c r="F633" s="16"/>
      <c r="G633" s="13" t="str">
        <f aca="false">IF(F633="","",IFERROR(INDEX('Plan de Cuentas'!$B$5:$B$1241,MATCH(F633,'Plan de Cuentas'!$A$5:$A$1241,0)),"No encontrado"))</f>
        <v/>
      </c>
      <c r="H633" s="17"/>
      <c r="I633" s="13"/>
    </row>
    <row r="634" customFormat="false" ht="15" hidden="false" customHeight="true" outlineLevel="0" collapsed="false">
      <c r="A634" s="13"/>
      <c r="B634" s="14"/>
      <c r="C634" s="15"/>
      <c r="D634" s="16"/>
      <c r="E634" s="13" t="str">
        <f aca="false">IF(D634="","",IFERROR(INDEX('Plan de Cuentas'!$B$5:$B$1241,MATCH(D634,'Plan de Cuentas'!$A$5:$A$1241,0)),"No encontrado"))</f>
        <v/>
      </c>
      <c r="F634" s="16"/>
      <c r="G634" s="13" t="str">
        <f aca="false">IF(F634="","",IFERROR(INDEX('Plan de Cuentas'!$B$5:$B$1241,MATCH(F634,'Plan de Cuentas'!$A$5:$A$1241,0)),"No encontrado"))</f>
        <v/>
      </c>
      <c r="H634" s="17"/>
      <c r="I634" s="13"/>
    </row>
    <row r="635" customFormat="false" ht="15" hidden="false" customHeight="true" outlineLevel="0" collapsed="false">
      <c r="A635" s="13"/>
      <c r="B635" s="14"/>
      <c r="C635" s="15"/>
      <c r="D635" s="16"/>
      <c r="E635" s="13" t="str">
        <f aca="false">IF(D635="","",IFERROR(INDEX('Plan de Cuentas'!$B$5:$B$1241,MATCH(D635,'Plan de Cuentas'!$A$5:$A$1241,0)),"No encontrado"))</f>
        <v/>
      </c>
      <c r="F635" s="16"/>
      <c r="G635" s="13" t="str">
        <f aca="false">IF(F635="","",IFERROR(INDEX('Plan de Cuentas'!$B$5:$B$1241,MATCH(F635,'Plan de Cuentas'!$A$5:$A$1241,0)),"No encontrado"))</f>
        <v/>
      </c>
      <c r="H635" s="17"/>
      <c r="I635" s="13"/>
    </row>
    <row r="636" customFormat="false" ht="15" hidden="false" customHeight="true" outlineLevel="0" collapsed="false">
      <c r="A636" s="13"/>
      <c r="B636" s="14"/>
      <c r="C636" s="15"/>
      <c r="D636" s="16"/>
      <c r="E636" s="13" t="str">
        <f aca="false">IF(D636="","",IFERROR(INDEX('Plan de Cuentas'!$B$5:$B$1241,MATCH(D636,'Plan de Cuentas'!$A$5:$A$1241,0)),"No encontrado"))</f>
        <v/>
      </c>
      <c r="F636" s="16"/>
      <c r="G636" s="13" t="str">
        <f aca="false">IF(F636="","",IFERROR(INDEX('Plan de Cuentas'!$B$5:$B$1241,MATCH(F636,'Plan de Cuentas'!$A$5:$A$1241,0)),"No encontrado"))</f>
        <v/>
      </c>
      <c r="H636" s="17"/>
      <c r="I636" s="13"/>
    </row>
    <row r="637" customFormat="false" ht="15" hidden="false" customHeight="true" outlineLevel="0" collapsed="false">
      <c r="A637" s="13"/>
      <c r="B637" s="14"/>
      <c r="C637" s="15"/>
      <c r="D637" s="16"/>
      <c r="E637" s="13" t="str">
        <f aca="false">IF(D637="","",IFERROR(INDEX('Plan de Cuentas'!$B$5:$B$1241,MATCH(D637,'Plan de Cuentas'!$A$5:$A$1241,0)),"No encontrado"))</f>
        <v/>
      </c>
      <c r="F637" s="16"/>
      <c r="G637" s="13" t="str">
        <f aca="false">IF(F637="","",IFERROR(INDEX('Plan de Cuentas'!$B$5:$B$1241,MATCH(F637,'Plan de Cuentas'!$A$5:$A$1241,0)),"No encontrado"))</f>
        <v/>
      </c>
      <c r="H637" s="17"/>
      <c r="I637" s="13"/>
    </row>
    <row r="638" customFormat="false" ht="15" hidden="false" customHeight="true" outlineLevel="0" collapsed="false">
      <c r="A638" s="13"/>
      <c r="B638" s="14"/>
      <c r="C638" s="15"/>
      <c r="D638" s="16"/>
      <c r="E638" s="13" t="str">
        <f aca="false">IF(D638="","",IFERROR(INDEX('Plan de Cuentas'!$B$5:$B$1241,MATCH(D638,'Plan de Cuentas'!$A$5:$A$1241,0)),"No encontrado"))</f>
        <v/>
      </c>
      <c r="F638" s="16"/>
      <c r="G638" s="13" t="str">
        <f aca="false">IF(F638="","",IFERROR(INDEX('Plan de Cuentas'!$B$5:$B$1241,MATCH(F638,'Plan de Cuentas'!$A$5:$A$1241,0)),"No encontrado"))</f>
        <v/>
      </c>
      <c r="H638" s="17"/>
      <c r="I638" s="13"/>
    </row>
    <row r="639" customFormat="false" ht="15" hidden="false" customHeight="true" outlineLevel="0" collapsed="false">
      <c r="A639" s="13"/>
      <c r="B639" s="14"/>
      <c r="C639" s="15"/>
      <c r="D639" s="16"/>
      <c r="E639" s="13" t="str">
        <f aca="false">IF(D639="","",IFERROR(INDEX('Plan de Cuentas'!$B$5:$B$1241,MATCH(D639,'Plan de Cuentas'!$A$5:$A$1241,0)),"No encontrado"))</f>
        <v/>
      </c>
      <c r="F639" s="16"/>
      <c r="G639" s="13" t="str">
        <f aca="false">IF(F639="","",IFERROR(INDEX('Plan de Cuentas'!$B$5:$B$1241,MATCH(F639,'Plan de Cuentas'!$A$5:$A$1241,0)),"No encontrado"))</f>
        <v/>
      </c>
      <c r="H639" s="17"/>
      <c r="I639" s="13"/>
    </row>
    <row r="640" customFormat="false" ht="15" hidden="false" customHeight="true" outlineLevel="0" collapsed="false">
      <c r="A640" s="13"/>
      <c r="B640" s="14"/>
      <c r="C640" s="15"/>
      <c r="D640" s="16"/>
      <c r="E640" s="13" t="str">
        <f aca="false">IF(D640="","",IFERROR(INDEX('Plan de Cuentas'!$B$5:$B$1241,MATCH(D640,'Plan de Cuentas'!$A$5:$A$1241,0)),"No encontrado"))</f>
        <v/>
      </c>
      <c r="F640" s="16"/>
      <c r="G640" s="13" t="str">
        <f aca="false">IF(F640="","",IFERROR(INDEX('Plan de Cuentas'!$B$5:$B$1241,MATCH(F640,'Plan de Cuentas'!$A$5:$A$1241,0)),"No encontrado"))</f>
        <v/>
      </c>
      <c r="H640" s="17"/>
      <c r="I640" s="13"/>
    </row>
    <row r="641" customFormat="false" ht="15" hidden="false" customHeight="true" outlineLevel="0" collapsed="false">
      <c r="A641" s="13"/>
      <c r="B641" s="14"/>
      <c r="C641" s="15"/>
      <c r="D641" s="16"/>
      <c r="E641" s="13" t="str">
        <f aca="false">IF(D641="","",IFERROR(INDEX('Plan de Cuentas'!$B$5:$B$1241,MATCH(D641,'Plan de Cuentas'!$A$5:$A$1241,0)),"No encontrado"))</f>
        <v/>
      </c>
      <c r="F641" s="16"/>
      <c r="G641" s="13" t="str">
        <f aca="false">IF(F641="","",IFERROR(INDEX('Plan de Cuentas'!$B$5:$B$1241,MATCH(F641,'Plan de Cuentas'!$A$5:$A$1241,0)),"No encontrado"))</f>
        <v/>
      </c>
      <c r="H641" s="17"/>
      <c r="I641" s="13"/>
    </row>
    <row r="642" customFormat="false" ht="15" hidden="false" customHeight="true" outlineLevel="0" collapsed="false">
      <c r="A642" s="13"/>
      <c r="B642" s="14"/>
      <c r="C642" s="15"/>
      <c r="D642" s="16"/>
      <c r="E642" s="13" t="str">
        <f aca="false">IF(D642="","",IFERROR(INDEX('Plan de Cuentas'!$B$5:$B$1241,MATCH(D642,'Plan de Cuentas'!$A$5:$A$1241,0)),"No encontrado"))</f>
        <v/>
      </c>
      <c r="F642" s="16"/>
      <c r="G642" s="13" t="str">
        <f aca="false">IF(F642="","",IFERROR(INDEX('Plan de Cuentas'!$B$5:$B$1241,MATCH(F642,'Plan de Cuentas'!$A$5:$A$1241,0)),"No encontrado"))</f>
        <v/>
      </c>
      <c r="H642" s="17"/>
      <c r="I642" s="13"/>
    </row>
    <row r="643" customFormat="false" ht="15" hidden="false" customHeight="true" outlineLevel="0" collapsed="false">
      <c r="A643" s="13"/>
      <c r="B643" s="14"/>
      <c r="C643" s="15"/>
      <c r="D643" s="16"/>
      <c r="E643" s="13" t="str">
        <f aca="false">IF(D643="","",IFERROR(INDEX('Plan de Cuentas'!$B$5:$B$1241,MATCH(D643,'Plan de Cuentas'!$A$5:$A$1241,0)),"No encontrado"))</f>
        <v/>
      </c>
      <c r="F643" s="16"/>
      <c r="G643" s="13" t="str">
        <f aca="false">IF(F643="","",IFERROR(INDEX('Plan de Cuentas'!$B$5:$B$1241,MATCH(F643,'Plan de Cuentas'!$A$5:$A$1241,0)),"No encontrado"))</f>
        <v/>
      </c>
      <c r="H643" s="17"/>
      <c r="I643" s="13"/>
    </row>
    <row r="644" customFormat="false" ht="15" hidden="false" customHeight="true" outlineLevel="0" collapsed="false">
      <c r="A644" s="13"/>
      <c r="B644" s="14"/>
      <c r="C644" s="15"/>
      <c r="D644" s="16"/>
      <c r="E644" s="13" t="str">
        <f aca="false">IF(D644="","",IFERROR(INDEX('Plan de Cuentas'!$B$5:$B$1241,MATCH(D644,'Plan de Cuentas'!$A$5:$A$1241,0)),"No encontrado"))</f>
        <v/>
      </c>
      <c r="F644" s="16"/>
      <c r="G644" s="13" t="str">
        <f aca="false">IF(F644="","",IFERROR(INDEX('Plan de Cuentas'!$B$5:$B$1241,MATCH(F644,'Plan de Cuentas'!$A$5:$A$1241,0)),"No encontrado"))</f>
        <v/>
      </c>
      <c r="H644" s="17"/>
      <c r="I644" s="13"/>
    </row>
    <row r="645" customFormat="false" ht="15" hidden="false" customHeight="true" outlineLevel="0" collapsed="false">
      <c r="A645" s="13"/>
      <c r="B645" s="14"/>
      <c r="C645" s="15"/>
      <c r="D645" s="16"/>
      <c r="E645" s="13" t="str">
        <f aca="false">IF(D645="","",IFERROR(INDEX('Plan de Cuentas'!$B$5:$B$1241,MATCH(D645,'Plan de Cuentas'!$A$5:$A$1241,0)),"No encontrado"))</f>
        <v/>
      </c>
      <c r="F645" s="16"/>
      <c r="G645" s="13" t="str">
        <f aca="false">IF(F645="","",IFERROR(INDEX('Plan de Cuentas'!$B$5:$B$1241,MATCH(F645,'Plan de Cuentas'!$A$5:$A$1241,0)),"No encontrado"))</f>
        <v/>
      </c>
      <c r="H645" s="17"/>
      <c r="I645" s="13"/>
    </row>
    <row r="646" customFormat="false" ht="15" hidden="false" customHeight="true" outlineLevel="0" collapsed="false">
      <c r="A646" s="13"/>
      <c r="B646" s="14"/>
      <c r="C646" s="15"/>
      <c r="D646" s="16"/>
      <c r="E646" s="13" t="str">
        <f aca="false">IF(D646="","",IFERROR(INDEX('Plan de Cuentas'!$B$5:$B$1241,MATCH(D646,'Plan de Cuentas'!$A$5:$A$1241,0)),"No encontrado"))</f>
        <v/>
      </c>
      <c r="F646" s="16"/>
      <c r="G646" s="13" t="str">
        <f aca="false">IF(F646="","",IFERROR(INDEX('Plan de Cuentas'!$B$5:$B$1241,MATCH(F646,'Plan de Cuentas'!$A$5:$A$1241,0)),"No encontrado"))</f>
        <v/>
      </c>
      <c r="H646" s="17"/>
      <c r="I646" s="13"/>
    </row>
    <row r="647" customFormat="false" ht="15" hidden="false" customHeight="true" outlineLevel="0" collapsed="false">
      <c r="A647" s="13"/>
      <c r="B647" s="14"/>
      <c r="C647" s="15"/>
      <c r="D647" s="16"/>
      <c r="E647" s="13" t="str">
        <f aca="false">IF(D647="","",IFERROR(INDEX('Plan de Cuentas'!$B$5:$B$1241,MATCH(D647,'Plan de Cuentas'!$A$5:$A$1241,0)),"No encontrado"))</f>
        <v/>
      </c>
      <c r="F647" s="16"/>
      <c r="G647" s="13" t="str">
        <f aca="false">IF(F647="","",IFERROR(INDEX('Plan de Cuentas'!$B$5:$B$1241,MATCH(F647,'Plan de Cuentas'!$A$5:$A$1241,0)),"No encontrado"))</f>
        <v/>
      </c>
      <c r="H647" s="17"/>
      <c r="I647" s="13"/>
    </row>
    <row r="648" customFormat="false" ht="15" hidden="false" customHeight="true" outlineLevel="0" collapsed="false">
      <c r="A648" s="13"/>
      <c r="B648" s="14"/>
      <c r="C648" s="15"/>
      <c r="D648" s="16"/>
      <c r="E648" s="13" t="str">
        <f aca="false">IF(D648="","",IFERROR(INDEX('Plan de Cuentas'!$B$5:$B$1241,MATCH(D648,'Plan de Cuentas'!$A$5:$A$1241,0)),"No encontrado"))</f>
        <v/>
      </c>
      <c r="F648" s="16"/>
      <c r="G648" s="13" t="str">
        <f aca="false">IF(F648="","",IFERROR(INDEX('Plan de Cuentas'!$B$5:$B$1241,MATCH(F648,'Plan de Cuentas'!$A$5:$A$1241,0)),"No encontrado"))</f>
        <v/>
      </c>
      <c r="H648" s="17"/>
      <c r="I648" s="13"/>
    </row>
    <row r="649" customFormat="false" ht="15" hidden="false" customHeight="true" outlineLevel="0" collapsed="false">
      <c r="A649" s="13"/>
      <c r="B649" s="14"/>
      <c r="C649" s="15"/>
      <c r="D649" s="16"/>
      <c r="E649" s="13" t="str">
        <f aca="false">IF(D649="","",IFERROR(INDEX('Plan de Cuentas'!$B$5:$B$1241,MATCH(D649,'Plan de Cuentas'!$A$5:$A$1241,0)),"No encontrado"))</f>
        <v/>
      </c>
      <c r="F649" s="16"/>
      <c r="G649" s="13" t="str">
        <f aca="false">IF(F649="","",IFERROR(INDEX('Plan de Cuentas'!$B$5:$B$1241,MATCH(F649,'Plan de Cuentas'!$A$5:$A$1241,0)),"No encontrado"))</f>
        <v/>
      </c>
      <c r="H649" s="17"/>
      <c r="I649" s="13"/>
    </row>
    <row r="650" customFormat="false" ht="15" hidden="false" customHeight="true" outlineLevel="0" collapsed="false">
      <c r="A650" s="13"/>
      <c r="B650" s="14"/>
      <c r="C650" s="15"/>
      <c r="D650" s="16"/>
      <c r="E650" s="13" t="str">
        <f aca="false">IF(D650="","",IFERROR(INDEX('Plan de Cuentas'!$B$5:$B$1241,MATCH(D650,'Plan de Cuentas'!$A$5:$A$1241,0)),"No encontrado"))</f>
        <v/>
      </c>
      <c r="F650" s="16"/>
      <c r="G650" s="13" t="str">
        <f aca="false">IF(F650="","",IFERROR(INDEX('Plan de Cuentas'!$B$5:$B$1241,MATCH(F650,'Plan de Cuentas'!$A$5:$A$1241,0)),"No encontrado"))</f>
        <v/>
      </c>
      <c r="H650" s="17"/>
      <c r="I650" s="13"/>
    </row>
    <row r="651" customFormat="false" ht="15" hidden="false" customHeight="true" outlineLevel="0" collapsed="false">
      <c r="A651" s="13"/>
      <c r="B651" s="14"/>
      <c r="C651" s="15"/>
      <c r="D651" s="16"/>
      <c r="E651" s="13" t="str">
        <f aca="false">IF(D651="","",IFERROR(INDEX('Plan de Cuentas'!$B$5:$B$1241,MATCH(D651,'Plan de Cuentas'!$A$5:$A$1241,0)),"No encontrado"))</f>
        <v/>
      </c>
      <c r="F651" s="16"/>
      <c r="G651" s="13" t="str">
        <f aca="false">IF(F651="","",IFERROR(INDEX('Plan de Cuentas'!$B$5:$B$1241,MATCH(F651,'Plan de Cuentas'!$A$5:$A$1241,0)),"No encontrado"))</f>
        <v/>
      </c>
      <c r="H651" s="17"/>
      <c r="I651" s="13"/>
    </row>
    <row r="652" customFormat="false" ht="15" hidden="false" customHeight="true" outlineLevel="0" collapsed="false">
      <c r="A652" s="13"/>
      <c r="B652" s="14"/>
      <c r="C652" s="15"/>
      <c r="D652" s="16"/>
      <c r="E652" s="13" t="str">
        <f aca="false">IF(D652="","",IFERROR(INDEX('Plan de Cuentas'!$B$5:$B$1241,MATCH(D652,'Plan de Cuentas'!$A$5:$A$1241,0)),"No encontrado"))</f>
        <v/>
      </c>
      <c r="F652" s="16"/>
      <c r="G652" s="13" t="str">
        <f aca="false">IF(F652="","",IFERROR(INDEX('Plan de Cuentas'!$B$5:$B$1241,MATCH(F652,'Plan de Cuentas'!$A$5:$A$1241,0)),"No encontrado"))</f>
        <v/>
      </c>
      <c r="H652" s="17"/>
      <c r="I652" s="13"/>
    </row>
    <row r="653" customFormat="false" ht="15" hidden="false" customHeight="true" outlineLevel="0" collapsed="false">
      <c r="A653" s="13"/>
      <c r="B653" s="14"/>
      <c r="C653" s="15"/>
      <c r="D653" s="16"/>
      <c r="E653" s="13" t="str">
        <f aca="false">IF(D653="","",IFERROR(INDEX('Plan de Cuentas'!$B$5:$B$1241,MATCH(D653,'Plan de Cuentas'!$A$5:$A$1241,0)),"No encontrado"))</f>
        <v/>
      </c>
      <c r="F653" s="16"/>
      <c r="G653" s="13" t="str">
        <f aca="false">IF(F653="","",IFERROR(INDEX('Plan de Cuentas'!$B$5:$B$1241,MATCH(F653,'Plan de Cuentas'!$A$5:$A$1241,0)),"No encontrado"))</f>
        <v/>
      </c>
      <c r="H653" s="17"/>
      <c r="I653" s="13"/>
    </row>
    <row r="654" customFormat="false" ht="15" hidden="false" customHeight="true" outlineLevel="0" collapsed="false">
      <c r="A654" s="13"/>
      <c r="B654" s="14"/>
      <c r="C654" s="15"/>
      <c r="D654" s="16"/>
      <c r="E654" s="13" t="str">
        <f aca="false">IF(D654="","",IFERROR(INDEX('Plan de Cuentas'!$B$5:$B$1241,MATCH(D654,'Plan de Cuentas'!$A$5:$A$1241,0)),"No encontrado"))</f>
        <v/>
      </c>
      <c r="F654" s="16"/>
      <c r="G654" s="13" t="str">
        <f aca="false">IF(F654="","",IFERROR(INDEX('Plan de Cuentas'!$B$5:$B$1241,MATCH(F654,'Plan de Cuentas'!$A$5:$A$1241,0)),"No encontrado"))</f>
        <v/>
      </c>
      <c r="H654" s="17"/>
      <c r="I654" s="13"/>
    </row>
    <row r="655" customFormat="false" ht="15" hidden="false" customHeight="true" outlineLevel="0" collapsed="false">
      <c r="A655" s="13"/>
      <c r="B655" s="14"/>
      <c r="C655" s="15"/>
      <c r="D655" s="16"/>
      <c r="E655" s="13" t="str">
        <f aca="false">IF(D655="","",IFERROR(INDEX('Plan de Cuentas'!$B$5:$B$1241,MATCH(D655,'Plan de Cuentas'!$A$5:$A$1241,0)),"No encontrado"))</f>
        <v/>
      </c>
      <c r="F655" s="16"/>
      <c r="G655" s="13" t="str">
        <f aca="false">IF(F655="","",IFERROR(INDEX('Plan de Cuentas'!$B$5:$B$1241,MATCH(F655,'Plan de Cuentas'!$A$5:$A$1241,0)),"No encontrado"))</f>
        <v/>
      </c>
      <c r="H655" s="17"/>
      <c r="I655" s="13"/>
    </row>
    <row r="656" customFormat="false" ht="15" hidden="false" customHeight="true" outlineLevel="0" collapsed="false">
      <c r="A656" s="13"/>
      <c r="B656" s="14"/>
      <c r="C656" s="15"/>
      <c r="D656" s="16"/>
      <c r="E656" s="13" t="str">
        <f aca="false">IF(D656="","",IFERROR(INDEX('Plan de Cuentas'!$B$5:$B$1241,MATCH(D656,'Plan de Cuentas'!$A$5:$A$1241,0)),"No encontrado"))</f>
        <v/>
      </c>
      <c r="F656" s="16"/>
      <c r="G656" s="13" t="str">
        <f aca="false">IF(F656="","",IFERROR(INDEX('Plan de Cuentas'!$B$5:$B$1241,MATCH(F656,'Plan de Cuentas'!$A$5:$A$1241,0)),"No encontrado"))</f>
        <v/>
      </c>
      <c r="H656" s="17"/>
      <c r="I656" s="13"/>
    </row>
    <row r="657" customFormat="false" ht="15" hidden="false" customHeight="true" outlineLevel="0" collapsed="false">
      <c r="A657" s="13"/>
      <c r="B657" s="14"/>
      <c r="C657" s="15"/>
      <c r="D657" s="16"/>
      <c r="E657" s="13" t="str">
        <f aca="false">IF(D657="","",IFERROR(INDEX('Plan de Cuentas'!$B$5:$B$1241,MATCH(D657,'Plan de Cuentas'!$A$5:$A$1241,0)),"No encontrado"))</f>
        <v/>
      </c>
      <c r="F657" s="16"/>
      <c r="G657" s="13" t="str">
        <f aca="false">IF(F657="","",IFERROR(INDEX('Plan de Cuentas'!$B$5:$B$1241,MATCH(F657,'Plan de Cuentas'!$A$5:$A$1241,0)),"No encontrado"))</f>
        <v/>
      </c>
      <c r="H657" s="17"/>
      <c r="I657" s="13"/>
    </row>
    <row r="658" customFormat="false" ht="15" hidden="false" customHeight="true" outlineLevel="0" collapsed="false">
      <c r="A658" s="13"/>
      <c r="B658" s="14"/>
      <c r="C658" s="15"/>
      <c r="D658" s="16"/>
      <c r="E658" s="13" t="str">
        <f aca="false">IF(D658="","",IFERROR(INDEX('Plan de Cuentas'!$B$5:$B$1241,MATCH(D658,'Plan de Cuentas'!$A$5:$A$1241,0)),"No encontrado"))</f>
        <v/>
      </c>
      <c r="F658" s="16"/>
      <c r="G658" s="13" t="str">
        <f aca="false">IF(F658="","",IFERROR(INDEX('Plan de Cuentas'!$B$5:$B$1241,MATCH(F658,'Plan de Cuentas'!$A$5:$A$1241,0)),"No encontrado"))</f>
        <v/>
      </c>
      <c r="H658" s="17"/>
      <c r="I658" s="13"/>
    </row>
    <row r="659" customFormat="false" ht="15" hidden="false" customHeight="true" outlineLevel="0" collapsed="false">
      <c r="A659" s="13"/>
      <c r="B659" s="14"/>
      <c r="C659" s="15"/>
      <c r="D659" s="16"/>
      <c r="E659" s="13" t="str">
        <f aca="false">IF(D659="","",IFERROR(INDEX('Plan de Cuentas'!$B$5:$B$1241,MATCH(D659,'Plan de Cuentas'!$A$5:$A$1241,0)),"No encontrado"))</f>
        <v/>
      </c>
      <c r="F659" s="16"/>
      <c r="G659" s="13" t="str">
        <f aca="false">IF(F659="","",IFERROR(INDEX('Plan de Cuentas'!$B$5:$B$1241,MATCH(F659,'Plan de Cuentas'!$A$5:$A$1241,0)),"No encontrado"))</f>
        <v/>
      </c>
      <c r="H659" s="17"/>
      <c r="I659" s="13"/>
    </row>
    <row r="660" customFormat="false" ht="15" hidden="false" customHeight="true" outlineLevel="0" collapsed="false">
      <c r="A660" s="13"/>
      <c r="B660" s="14"/>
      <c r="C660" s="15"/>
      <c r="D660" s="16"/>
      <c r="E660" s="13" t="str">
        <f aca="false">IF(D660="","",IFERROR(INDEX('Plan de Cuentas'!$B$5:$B$1241,MATCH(D660,'Plan de Cuentas'!$A$5:$A$1241,0)),"No encontrado"))</f>
        <v/>
      </c>
      <c r="F660" s="16"/>
      <c r="G660" s="13" t="str">
        <f aca="false">IF(F660="","",IFERROR(INDEX('Plan de Cuentas'!$B$5:$B$1241,MATCH(F660,'Plan de Cuentas'!$A$5:$A$1241,0)),"No encontrado"))</f>
        <v/>
      </c>
      <c r="H660" s="17"/>
      <c r="I660" s="13"/>
    </row>
    <row r="661" customFormat="false" ht="15" hidden="false" customHeight="true" outlineLevel="0" collapsed="false">
      <c r="A661" s="13"/>
      <c r="B661" s="14"/>
      <c r="C661" s="15"/>
      <c r="D661" s="16"/>
      <c r="E661" s="13" t="str">
        <f aca="false">IF(D661="","",IFERROR(INDEX('Plan de Cuentas'!$B$5:$B$1241,MATCH(D661,'Plan de Cuentas'!$A$5:$A$1241,0)),"No encontrado"))</f>
        <v/>
      </c>
      <c r="F661" s="16"/>
      <c r="G661" s="13" t="str">
        <f aca="false">IF(F661="","",IFERROR(INDEX('Plan de Cuentas'!$B$5:$B$1241,MATCH(F661,'Plan de Cuentas'!$A$5:$A$1241,0)),"No encontrado"))</f>
        <v/>
      </c>
      <c r="H661" s="17"/>
      <c r="I661" s="13"/>
    </row>
    <row r="662" customFormat="false" ht="15" hidden="false" customHeight="true" outlineLevel="0" collapsed="false">
      <c r="A662" s="13"/>
      <c r="B662" s="14"/>
      <c r="C662" s="15"/>
      <c r="D662" s="16"/>
      <c r="E662" s="13" t="str">
        <f aca="false">IF(D662="","",IFERROR(INDEX('Plan de Cuentas'!$B$5:$B$1241,MATCH(D662,'Plan de Cuentas'!$A$5:$A$1241,0)),"No encontrado"))</f>
        <v/>
      </c>
      <c r="F662" s="16"/>
      <c r="G662" s="13" t="str">
        <f aca="false">IF(F662="","",IFERROR(INDEX('Plan de Cuentas'!$B$5:$B$1241,MATCH(F662,'Plan de Cuentas'!$A$5:$A$1241,0)),"No encontrado"))</f>
        <v/>
      </c>
      <c r="H662" s="17"/>
      <c r="I662" s="13"/>
    </row>
    <row r="663" customFormat="false" ht="15" hidden="false" customHeight="true" outlineLevel="0" collapsed="false">
      <c r="A663" s="13"/>
      <c r="B663" s="14"/>
      <c r="C663" s="15"/>
      <c r="D663" s="16"/>
      <c r="E663" s="13" t="str">
        <f aca="false">IF(D663="","",IFERROR(INDEX('Plan de Cuentas'!$B$5:$B$1241,MATCH(D663,'Plan de Cuentas'!$A$5:$A$1241,0)),"No encontrado"))</f>
        <v/>
      </c>
      <c r="F663" s="16"/>
      <c r="G663" s="13" t="str">
        <f aca="false">IF(F663="","",IFERROR(INDEX('Plan de Cuentas'!$B$5:$B$1241,MATCH(F663,'Plan de Cuentas'!$A$5:$A$1241,0)),"No encontrado"))</f>
        <v/>
      </c>
      <c r="H663" s="17"/>
      <c r="I663" s="13"/>
    </row>
    <row r="664" customFormat="false" ht="15" hidden="false" customHeight="true" outlineLevel="0" collapsed="false">
      <c r="A664" s="13"/>
      <c r="B664" s="14"/>
      <c r="C664" s="15"/>
      <c r="D664" s="16"/>
      <c r="E664" s="13" t="str">
        <f aca="false">IF(D664="","",IFERROR(INDEX('Plan de Cuentas'!$B$5:$B$1241,MATCH(D664,'Plan de Cuentas'!$A$5:$A$1241,0)),"No encontrado"))</f>
        <v/>
      </c>
      <c r="F664" s="16"/>
      <c r="G664" s="13" t="str">
        <f aca="false">IF(F664="","",IFERROR(INDEX('Plan de Cuentas'!$B$5:$B$1241,MATCH(F664,'Plan de Cuentas'!$A$5:$A$1241,0)),"No encontrado"))</f>
        <v/>
      </c>
      <c r="H664" s="17"/>
      <c r="I664" s="13"/>
    </row>
    <row r="665" customFormat="false" ht="15" hidden="false" customHeight="true" outlineLevel="0" collapsed="false">
      <c r="A665" s="13"/>
      <c r="B665" s="14"/>
      <c r="C665" s="15"/>
      <c r="D665" s="16"/>
      <c r="E665" s="13" t="str">
        <f aca="false">IF(D665="","",IFERROR(INDEX('Plan de Cuentas'!$B$5:$B$1241,MATCH(D665,'Plan de Cuentas'!$A$5:$A$1241,0)),"No encontrado"))</f>
        <v/>
      </c>
      <c r="F665" s="16"/>
      <c r="G665" s="13" t="str">
        <f aca="false">IF(F665="","",IFERROR(INDEX('Plan de Cuentas'!$B$5:$B$1241,MATCH(F665,'Plan de Cuentas'!$A$5:$A$1241,0)),"No encontrado"))</f>
        <v/>
      </c>
      <c r="H665" s="17"/>
      <c r="I665" s="13"/>
    </row>
    <row r="666" customFormat="false" ht="15" hidden="false" customHeight="true" outlineLevel="0" collapsed="false">
      <c r="A666" s="13"/>
      <c r="B666" s="14"/>
      <c r="C666" s="15"/>
      <c r="D666" s="16"/>
      <c r="E666" s="13" t="str">
        <f aca="false">IF(D666="","",IFERROR(INDEX('Plan de Cuentas'!$B$5:$B$1241,MATCH(D666,'Plan de Cuentas'!$A$5:$A$1241,0)),"No encontrado"))</f>
        <v/>
      </c>
      <c r="F666" s="16"/>
      <c r="G666" s="13" t="str">
        <f aca="false">IF(F666="","",IFERROR(INDEX('Plan de Cuentas'!$B$5:$B$1241,MATCH(F666,'Plan de Cuentas'!$A$5:$A$1241,0)),"No encontrado"))</f>
        <v/>
      </c>
      <c r="H666" s="17"/>
      <c r="I666" s="13"/>
    </row>
    <row r="667" customFormat="false" ht="15" hidden="false" customHeight="true" outlineLevel="0" collapsed="false">
      <c r="A667" s="13"/>
      <c r="B667" s="14"/>
      <c r="C667" s="15"/>
      <c r="D667" s="16"/>
      <c r="E667" s="13" t="str">
        <f aca="false">IF(D667="","",IFERROR(INDEX('Plan de Cuentas'!$B$5:$B$1241,MATCH(D667,'Plan de Cuentas'!$A$5:$A$1241,0)),"No encontrado"))</f>
        <v/>
      </c>
      <c r="F667" s="16"/>
      <c r="G667" s="13" t="str">
        <f aca="false">IF(F667="","",IFERROR(INDEX('Plan de Cuentas'!$B$5:$B$1241,MATCH(F667,'Plan de Cuentas'!$A$5:$A$1241,0)),"No encontrado"))</f>
        <v/>
      </c>
      <c r="H667" s="17"/>
      <c r="I667" s="13"/>
    </row>
    <row r="668" customFormat="false" ht="15" hidden="false" customHeight="true" outlineLevel="0" collapsed="false">
      <c r="A668" s="13"/>
      <c r="B668" s="14"/>
      <c r="C668" s="15"/>
      <c r="D668" s="16"/>
      <c r="E668" s="13" t="str">
        <f aca="false">IF(D668="","",IFERROR(INDEX('Plan de Cuentas'!$B$5:$B$1241,MATCH(D668,'Plan de Cuentas'!$A$5:$A$1241,0)),"No encontrado"))</f>
        <v/>
      </c>
      <c r="F668" s="16"/>
      <c r="G668" s="13" t="str">
        <f aca="false">IF(F668="","",IFERROR(INDEX('Plan de Cuentas'!$B$5:$B$1241,MATCH(F668,'Plan de Cuentas'!$A$5:$A$1241,0)),"No encontrado"))</f>
        <v/>
      </c>
      <c r="H668" s="17"/>
      <c r="I668" s="13"/>
    </row>
    <row r="669" customFormat="false" ht="15" hidden="false" customHeight="true" outlineLevel="0" collapsed="false">
      <c r="A669" s="13"/>
      <c r="B669" s="14"/>
      <c r="C669" s="15"/>
      <c r="D669" s="16"/>
      <c r="E669" s="13" t="str">
        <f aca="false">IF(D669="","",IFERROR(INDEX('Plan de Cuentas'!$B$5:$B$1241,MATCH(D669,'Plan de Cuentas'!$A$5:$A$1241,0)),"No encontrado"))</f>
        <v/>
      </c>
      <c r="F669" s="16"/>
      <c r="G669" s="13" t="str">
        <f aca="false">IF(F669="","",IFERROR(INDEX('Plan de Cuentas'!$B$5:$B$1241,MATCH(F669,'Plan de Cuentas'!$A$5:$A$1241,0)),"No encontrado"))</f>
        <v/>
      </c>
      <c r="H669" s="17"/>
      <c r="I669" s="13"/>
    </row>
    <row r="670" customFormat="false" ht="15" hidden="false" customHeight="true" outlineLevel="0" collapsed="false">
      <c r="A670" s="13"/>
      <c r="B670" s="14"/>
      <c r="C670" s="15"/>
      <c r="D670" s="16"/>
      <c r="E670" s="13" t="str">
        <f aca="false">IF(D670="","",IFERROR(INDEX('Plan de Cuentas'!$B$5:$B$1241,MATCH(D670,'Plan de Cuentas'!$A$5:$A$1241,0)),"No encontrado"))</f>
        <v/>
      </c>
      <c r="F670" s="16"/>
      <c r="G670" s="13" t="str">
        <f aca="false">IF(F670="","",IFERROR(INDEX('Plan de Cuentas'!$B$5:$B$1241,MATCH(F670,'Plan de Cuentas'!$A$5:$A$1241,0)),"No encontrado"))</f>
        <v/>
      </c>
      <c r="H670" s="17"/>
      <c r="I670" s="13"/>
    </row>
    <row r="671" customFormat="false" ht="15" hidden="false" customHeight="true" outlineLevel="0" collapsed="false">
      <c r="A671" s="13"/>
      <c r="B671" s="14"/>
      <c r="C671" s="15"/>
      <c r="D671" s="16"/>
      <c r="E671" s="13" t="str">
        <f aca="false">IF(D671="","",IFERROR(INDEX('Plan de Cuentas'!$B$5:$B$1241,MATCH(D671,'Plan de Cuentas'!$A$5:$A$1241,0)),"No encontrado"))</f>
        <v/>
      </c>
      <c r="F671" s="16"/>
      <c r="G671" s="13" t="str">
        <f aca="false">IF(F671="","",IFERROR(INDEX('Plan de Cuentas'!$B$5:$B$1241,MATCH(F671,'Plan de Cuentas'!$A$5:$A$1241,0)),"No encontrado"))</f>
        <v/>
      </c>
      <c r="H671" s="17"/>
      <c r="I671" s="13"/>
    </row>
    <row r="672" customFormat="false" ht="15" hidden="false" customHeight="true" outlineLevel="0" collapsed="false">
      <c r="A672" s="13"/>
      <c r="B672" s="14"/>
      <c r="C672" s="15"/>
      <c r="D672" s="16"/>
      <c r="E672" s="13" t="str">
        <f aca="false">IF(D672="","",IFERROR(INDEX('Plan de Cuentas'!$B$5:$B$1241,MATCH(D672,'Plan de Cuentas'!$A$5:$A$1241,0)),"No encontrado"))</f>
        <v/>
      </c>
      <c r="F672" s="16"/>
      <c r="G672" s="13" t="str">
        <f aca="false">IF(F672="","",IFERROR(INDEX('Plan de Cuentas'!$B$5:$B$1241,MATCH(F672,'Plan de Cuentas'!$A$5:$A$1241,0)),"No encontrado"))</f>
        <v/>
      </c>
      <c r="H672" s="17"/>
      <c r="I672" s="13"/>
    </row>
    <row r="673" customFormat="false" ht="15" hidden="false" customHeight="true" outlineLevel="0" collapsed="false">
      <c r="A673" s="13"/>
      <c r="B673" s="14"/>
      <c r="C673" s="15"/>
      <c r="D673" s="16"/>
      <c r="E673" s="13" t="str">
        <f aca="false">IF(D673="","",IFERROR(INDEX('Plan de Cuentas'!$B$5:$B$1241,MATCH(D673,'Plan de Cuentas'!$A$5:$A$1241,0)),"No encontrado"))</f>
        <v/>
      </c>
      <c r="F673" s="16"/>
      <c r="G673" s="13" t="str">
        <f aca="false">IF(F673="","",IFERROR(INDEX('Plan de Cuentas'!$B$5:$B$1241,MATCH(F673,'Plan de Cuentas'!$A$5:$A$1241,0)),"No encontrado"))</f>
        <v/>
      </c>
      <c r="H673" s="17"/>
      <c r="I673" s="13"/>
    </row>
    <row r="674" customFormat="false" ht="15" hidden="false" customHeight="true" outlineLevel="0" collapsed="false">
      <c r="A674" s="13"/>
      <c r="B674" s="14"/>
      <c r="C674" s="15"/>
      <c r="D674" s="16"/>
      <c r="E674" s="13" t="str">
        <f aca="false">IF(D674="","",IFERROR(INDEX('Plan de Cuentas'!$B$5:$B$1241,MATCH(D674,'Plan de Cuentas'!$A$5:$A$1241,0)),"No encontrado"))</f>
        <v/>
      </c>
      <c r="F674" s="16"/>
      <c r="G674" s="13" t="str">
        <f aca="false">IF(F674="","",IFERROR(INDEX('Plan de Cuentas'!$B$5:$B$1241,MATCH(F674,'Plan de Cuentas'!$A$5:$A$1241,0)),"No encontrado"))</f>
        <v/>
      </c>
      <c r="H674" s="17"/>
      <c r="I674" s="13"/>
    </row>
    <row r="675" customFormat="false" ht="15" hidden="false" customHeight="true" outlineLevel="0" collapsed="false">
      <c r="A675" s="13"/>
      <c r="B675" s="14"/>
      <c r="C675" s="15"/>
      <c r="D675" s="16"/>
      <c r="E675" s="13" t="str">
        <f aca="false">IF(D675="","",IFERROR(INDEX('Plan de Cuentas'!$B$5:$B$1241,MATCH(D675,'Plan de Cuentas'!$A$5:$A$1241,0)),"No encontrado"))</f>
        <v/>
      </c>
      <c r="F675" s="16"/>
      <c r="G675" s="13" t="str">
        <f aca="false">IF(F675="","",IFERROR(INDEX('Plan de Cuentas'!$B$5:$B$1241,MATCH(F675,'Plan de Cuentas'!$A$5:$A$1241,0)),"No encontrado"))</f>
        <v/>
      </c>
      <c r="H675" s="17"/>
      <c r="I675" s="13"/>
    </row>
    <row r="676" customFormat="false" ht="15" hidden="false" customHeight="true" outlineLevel="0" collapsed="false">
      <c r="A676" s="13"/>
      <c r="B676" s="14"/>
      <c r="C676" s="15"/>
      <c r="D676" s="16"/>
      <c r="E676" s="13" t="str">
        <f aca="false">IF(D676="","",IFERROR(INDEX('Plan de Cuentas'!$B$5:$B$1241,MATCH(D676,'Plan de Cuentas'!$A$5:$A$1241,0)),"No encontrado"))</f>
        <v/>
      </c>
      <c r="F676" s="16"/>
      <c r="G676" s="13" t="str">
        <f aca="false">IF(F676="","",IFERROR(INDEX('Plan de Cuentas'!$B$5:$B$1241,MATCH(F676,'Plan de Cuentas'!$A$5:$A$1241,0)),"No encontrado"))</f>
        <v/>
      </c>
      <c r="H676" s="17"/>
      <c r="I676" s="13"/>
    </row>
    <row r="677" customFormat="false" ht="15" hidden="false" customHeight="true" outlineLevel="0" collapsed="false">
      <c r="A677" s="13"/>
      <c r="B677" s="14"/>
      <c r="C677" s="15"/>
      <c r="D677" s="16"/>
      <c r="E677" s="13" t="str">
        <f aca="false">IF(D677="","",IFERROR(INDEX('Plan de Cuentas'!$B$5:$B$1241,MATCH(D677,'Plan de Cuentas'!$A$5:$A$1241,0)),"No encontrado"))</f>
        <v/>
      </c>
      <c r="F677" s="16"/>
      <c r="G677" s="13" t="str">
        <f aca="false">IF(F677="","",IFERROR(INDEX('Plan de Cuentas'!$B$5:$B$1241,MATCH(F677,'Plan de Cuentas'!$A$5:$A$1241,0)),"No encontrado"))</f>
        <v/>
      </c>
      <c r="H677" s="17"/>
      <c r="I677" s="13"/>
    </row>
    <row r="678" customFormat="false" ht="15" hidden="false" customHeight="true" outlineLevel="0" collapsed="false">
      <c r="A678" s="13"/>
      <c r="B678" s="14"/>
      <c r="C678" s="15"/>
      <c r="D678" s="16"/>
      <c r="E678" s="13" t="str">
        <f aca="false">IF(D678="","",IFERROR(INDEX('Plan de Cuentas'!$B$5:$B$1241,MATCH(D678,'Plan de Cuentas'!$A$5:$A$1241,0)),"No encontrado"))</f>
        <v/>
      </c>
      <c r="F678" s="16"/>
      <c r="G678" s="13" t="str">
        <f aca="false">IF(F678="","",IFERROR(INDEX('Plan de Cuentas'!$B$5:$B$1241,MATCH(F678,'Plan de Cuentas'!$A$5:$A$1241,0)),"No encontrado"))</f>
        <v/>
      </c>
      <c r="H678" s="17"/>
      <c r="I678" s="13"/>
    </row>
    <row r="679" customFormat="false" ht="15" hidden="false" customHeight="true" outlineLevel="0" collapsed="false">
      <c r="A679" s="13"/>
      <c r="B679" s="14"/>
      <c r="C679" s="15"/>
      <c r="D679" s="16"/>
      <c r="E679" s="13" t="str">
        <f aca="false">IF(D679="","",IFERROR(INDEX('Plan de Cuentas'!$B$5:$B$1241,MATCH(D679,'Plan de Cuentas'!$A$5:$A$1241,0)),"No encontrado"))</f>
        <v/>
      </c>
      <c r="F679" s="16"/>
      <c r="G679" s="13" t="str">
        <f aca="false">IF(F679="","",IFERROR(INDEX('Plan de Cuentas'!$B$5:$B$1241,MATCH(F679,'Plan de Cuentas'!$A$5:$A$1241,0)),"No encontrado"))</f>
        <v/>
      </c>
      <c r="H679" s="17"/>
      <c r="I679" s="13"/>
    </row>
    <row r="680" customFormat="false" ht="15" hidden="false" customHeight="true" outlineLevel="0" collapsed="false">
      <c r="A680" s="13"/>
      <c r="B680" s="14"/>
      <c r="C680" s="15"/>
      <c r="D680" s="16"/>
      <c r="E680" s="13" t="str">
        <f aca="false">IF(D680="","",IFERROR(INDEX('Plan de Cuentas'!$B$5:$B$1241,MATCH(D680,'Plan de Cuentas'!$A$5:$A$1241,0)),"No encontrado"))</f>
        <v/>
      </c>
      <c r="F680" s="16"/>
      <c r="G680" s="13" t="str">
        <f aca="false">IF(F680="","",IFERROR(INDEX('Plan de Cuentas'!$B$5:$B$1241,MATCH(F680,'Plan de Cuentas'!$A$5:$A$1241,0)),"No encontrado"))</f>
        <v/>
      </c>
      <c r="H680" s="17"/>
      <c r="I680" s="13"/>
    </row>
    <row r="681" customFormat="false" ht="15" hidden="false" customHeight="true" outlineLevel="0" collapsed="false">
      <c r="A681" s="13"/>
      <c r="B681" s="14"/>
      <c r="C681" s="15"/>
      <c r="D681" s="16"/>
      <c r="E681" s="13" t="str">
        <f aca="false">IF(D681="","",IFERROR(INDEX('Plan de Cuentas'!$B$5:$B$1241,MATCH(D681,'Plan de Cuentas'!$A$5:$A$1241,0)),"No encontrado"))</f>
        <v/>
      </c>
      <c r="F681" s="16"/>
      <c r="G681" s="13" t="str">
        <f aca="false">IF(F681="","",IFERROR(INDEX('Plan de Cuentas'!$B$5:$B$1241,MATCH(F681,'Plan de Cuentas'!$A$5:$A$1241,0)),"No encontrado"))</f>
        <v/>
      </c>
      <c r="H681" s="17"/>
      <c r="I681" s="13"/>
    </row>
    <row r="682" customFormat="false" ht="15" hidden="false" customHeight="true" outlineLevel="0" collapsed="false">
      <c r="A682" s="13"/>
      <c r="B682" s="14"/>
      <c r="C682" s="15"/>
      <c r="D682" s="16"/>
      <c r="E682" s="13" t="str">
        <f aca="false">IF(D682="","",IFERROR(INDEX('Plan de Cuentas'!$B$5:$B$1241,MATCH(D682,'Plan de Cuentas'!$A$5:$A$1241,0)),"No encontrado"))</f>
        <v/>
      </c>
      <c r="F682" s="16"/>
      <c r="G682" s="13" t="str">
        <f aca="false">IF(F682="","",IFERROR(INDEX('Plan de Cuentas'!$B$5:$B$1241,MATCH(F682,'Plan de Cuentas'!$A$5:$A$1241,0)),"No encontrado"))</f>
        <v/>
      </c>
      <c r="H682" s="17"/>
      <c r="I682" s="13"/>
    </row>
    <row r="683" customFormat="false" ht="15" hidden="false" customHeight="true" outlineLevel="0" collapsed="false">
      <c r="A683" s="13"/>
      <c r="B683" s="14"/>
      <c r="C683" s="15"/>
      <c r="D683" s="16"/>
      <c r="E683" s="13" t="str">
        <f aca="false">IF(D683="","",IFERROR(INDEX('Plan de Cuentas'!$B$5:$B$1241,MATCH(D683,'Plan de Cuentas'!$A$5:$A$1241,0)),"No encontrado"))</f>
        <v/>
      </c>
      <c r="F683" s="16"/>
      <c r="G683" s="13" t="str">
        <f aca="false">IF(F683="","",IFERROR(INDEX('Plan de Cuentas'!$B$5:$B$1241,MATCH(F683,'Plan de Cuentas'!$A$5:$A$1241,0)),"No encontrado"))</f>
        <v/>
      </c>
      <c r="H683" s="17"/>
      <c r="I683" s="13"/>
    </row>
    <row r="684" customFormat="false" ht="15" hidden="false" customHeight="true" outlineLevel="0" collapsed="false">
      <c r="A684" s="13"/>
      <c r="B684" s="14"/>
      <c r="C684" s="15"/>
      <c r="D684" s="16"/>
      <c r="E684" s="13" t="str">
        <f aca="false">IF(D684="","",IFERROR(INDEX('Plan de Cuentas'!$B$5:$B$1241,MATCH(D684,'Plan de Cuentas'!$A$5:$A$1241,0)),"No encontrado"))</f>
        <v/>
      </c>
      <c r="F684" s="16"/>
      <c r="G684" s="13" t="str">
        <f aca="false">IF(F684="","",IFERROR(INDEX('Plan de Cuentas'!$B$5:$B$1241,MATCH(F684,'Plan de Cuentas'!$A$5:$A$1241,0)),"No encontrado"))</f>
        <v/>
      </c>
      <c r="H684" s="17"/>
      <c r="I684" s="13"/>
    </row>
    <row r="685" customFormat="false" ht="15" hidden="false" customHeight="true" outlineLevel="0" collapsed="false">
      <c r="A685" s="13"/>
      <c r="B685" s="14"/>
      <c r="C685" s="15"/>
      <c r="D685" s="16"/>
      <c r="E685" s="13" t="str">
        <f aca="false">IF(D685="","",IFERROR(INDEX('Plan de Cuentas'!$B$5:$B$1241,MATCH(D685,'Plan de Cuentas'!$A$5:$A$1241,0)),"No encontrado"))</f>
        <v/>
      </c>
      <c r="F685" s="16"/>
      <c r="G685" s="13" t="str">
        <f aca="false">IF(F685="","",IFERROR(INDEX('Plan de Cuentas'!$B$5:$B$1241,MATCH(F685,'Plan de Cuentas'!$A$5:$A$1241,0)),"No encontrado"))</f>
        <v/>
      </c>
      <c r="H685" s="17"/>
      <c r="I685" s="13"/>
    </row>
    <row r="686" customFormat="false" ht="15" hidden="false" customHeight="true" outlineLevel="0" collapsed="false">
      <c r="A686" s="13"/>
      <c r="B686" s="14"/>
      <c r="C686" s="15"/>
      <c r="D686" s="16"/>
      <c r="E686" s="13" t="str">
        <f aca="false">IF(D686="","",IFERROR(INDEX('Plan de Cuentas'!$B$5:$B$1241,MATCH(D686,'Plan de Cuentas'!$A$5:$A$1241,0)),"No encontrado"))</f>
        <v/>
      </c>
      <c r="F686" s="16"/>
      <c r="G686" s="13" t="str">
        <f aca="false">IF(F686="","",IFERROR(INDEX('Plan de Cuentas'!$B$5:$B$1241,MATCH(F686,'Plan de Cuentas'!$A$5:$A$1241,0)),"No encontrado"))</f>
        <v/>
      </c>
      <c r="H686" s="17"/>
      <c r="I686" s="13"/>
    </row>
    <row r="687" customFormat="false" ht="15" hidden="false" customHeight="true" outlineLevel="0" collapsed="false">
      <c r="A687" s="13"/>
      <c r="B687" s="14"/>
      <c r="C687" s="15"/>
      <c r="D687" s="16"/>
      <c r="E687" s="13" t="str">
        <f aca="false">IF(D687="","",IFERROR(INDEX('Plan de Cuentas'!$B$5:$B$1241,MATCH(D687,'Plan de Cuentas'!$A$5:$A$1241,0)),"No encontrado"))</f>
        <v/>
      </c>
      <c r="F687" s="16"/>
      <c r="G687" s="13" t="str">
        <f aca="false">IF(F687="","",IFERROR(INDEX('Plan de Cuentas'!$B$5:$B$1241,MATCH(F687,'Plan de Cuentas'!$A$5:$A$1241,0)),"No encontrado"))</f>
        <v/>
      </c>
      <c r="H687" s="17"/>
      <c r="I687" s="13"/>
    </row>
    <row r="688" customFormat="false" ht="15" hidden="false" customHeight="true" outlineLevel="0" collapsed="false">
      <c r="A688" s="13"/>
      <c r="B688" s="14"/>
      <c r="C688" s="15"/>
      <c r="D688" s="16"/>
      <c r="E688" s="13" t="str">
        <f aca="false">IF(D688="","",IFERROR(INDEX('Plan de Cuentas'!$B$5:$B$1241,MATCH(D688,'Plan de Cuentas'!$A$5:$A$1241,0)),"No encontrado"))</f>
        <v/>
      </c>
      <c r="F688" s="16"/>
      <c r="G688" s="13" t="str">
        <f aca="false">IF(F688="","",IFERROR(INDEX('Plan de Cuentas'!$B$5:$B$1241,MATCH(F688,'Plan de Cuentas'!$A$5:$A$1241,0)),"No encontrado"))</f>
        <v/>
      </c>
      <c r="H688" s="17"/>
      <c r="I688" s="13"/>
    </row>
    <row r="689" customFormat="false" ht="15" hidden="false" customHeight="true" outlineLevel="0" collapsed="false">
      <c r="A689" s="13"/>
      <c r="B689" s="14"/>
      <c r="C689" s="15"/>
      <c r="D689" s="16"/>
      <c r="E689" s="13" t="str">
        <f aca="false">IF(D689="","",IFERROR(INDEX('Plan de Cuentas'!$B$5:$B$1241,MATCH(D689,'Plan de Cuentas'!$A$5:$A$1241,0)),"No encontrado"))</f>
        <v/>
      </c>
      <c r="F689" s="16"/>
      <c r="G689" s="13" t="str">
        <f aca="false">IF(F689="","",IFERROR(INDEX('Plan de Cuentas'!$B$5:$B$1241,MATCH(F689,'Plan de Cuentas'!$A$5:$A$1241,0)),"No encontrado"))</f>
        <v/>
      </c>
      <c r="H689" s="17"/>
      <c r="I689" s="13"/>
    </row>
    <row r="690" customFormat="false" ht="15" hidden="false" customHeight="true" outlineLevel="0" collapsed="false">
      <c r="A690" s="13"/>
      <c r="B690" s="14"/>
      <c r="C690" s="15"/>
      <c r="D690" s="16"/>
      <c r="E690" s="13" t="str">
        <f aca="false">IF(D690="","",IFERROR(INDEX('Plan de Cuentas'!$B$5:$B$1241,MATCH(D690,'Plan de Cuentas'!$A$5:$A$1241,0)),"No encontrado"))</f>
        <v/>
      </c>
      <c r="F690" s="16"/>
      <c r="G690" s="13" t="str">
        <f aca="false">IF(F690="","",IFERROR(INDEX('Plan de Cuentas'!$B$5:$B$1241,MATCH(F690,'Plan de Cuentas'!$A$5:$A$1241,0)),"No encontrado"))</f>
        <v/>
      </c>
      <c r="H690" s="17"/>
      <c r="I690" s="13"/>
    </row>
    <row r="691" customFormat="false" ht="15" hidden="false" customHeight="true" outlineLevel="0" collapsed="false">
      <c r="A691" s="13"/>
      <c r="B691" s="14"/>
      <c r="C691" s="15"/>
      <c r="D691" s="16"/>
      <c r="E691" s="13" t="str">
        <f aca="false">IF(D691="","",IFERROR(INDEX('Plan de Cuentas'!$B$5:$B$1241,MATCH(D691,'Plan de Cuentas'!$A$5:$A$1241,0)),"No encontrado"))</f>
        <v/>
      </c>
      <c r="F691" s="16"/>
      <c r="G691" s="13" t="str">
        <f aca="false">IF(F691="","",IFERROR(INDEX('Plan de Cuentas'!$B$5:$B$1241,MATCH(F691,'Plan de Cuentas'!$A$5:$A$1241,0)),"No encontrado"))</f>
        <v/>
      </c>
      <c r="H691" s="17"/>
      <c r="I691" s="13"/>
    </row>
    <row r="692" customFormat="false" ht="15" hidden="false" customHeight="true" outlineLevel="0" collapsed="false">
      <c r="A692" s="13"/>
      <c r="B692" s="14"/>
      <c r="C692" s="15"/>
      <c r="D692" s="16"/>
      <c r="E692" s="13" t="str">
        <f aca="false">IF(D692="","",IFERROR(INDEX('Plan de Cuentas'!$B$5:$B$1241,MATCH(D692,'Plan de Cuentas'!$A$5:$A$1241,0)),"No encontrado"))</f>
        <v/>
      </c>
      <c r="F692" s="16"/>
      <c r="G692" s="13" t="str">
        <f aca="false">IF(F692="","",IFERROR(INDEX('Plan de Cuentas'!$B$5:$B$1241,MATCH(F692,'Plan de Cuentas'!$A$5:$A$1241,0)),"No encontrado"))</f>
        <v/>
      </c>
      <c r="H692" s="17"/>
      <c r="I692" s="13"/>
    </row>
    <row r="693" customFormat="false" ht="15" hidden="false" customHeight="true" outlineLevel="0" collapsed="false">
      <c r="A693" s="13"/>
      <c r="B693" s="14"/>
      <c r="C693" s="15"/>
      <c r="D693" s="16"/>
      <c r="E693" s="13" t="str">
        <f aca="false">IF(D693="","",IFERROR(INDEX('Plan de Cuentas'!$B$5:$B$1241,MATCH(D693,'Plan de Cuentas'!$A$5:$A$1241,0)),"No encontrado"))</f>
        <v/>
      </c>
      <c r="F693" s="16"/>
      <c r="G693" s="13" t="str">
        <f aca="false">IF(F693="","",IFERROR(INDEX('Plan de Cuentas'!$B$5:$B$1241,MATCH(F693,'Plan de Cuentas'!$A$5:$A$1241,0)),"No encontrado"))</f>
        <v/>
      </c>
      <c r="H693" s="17"/>
      <c r="I693" s="13"/>
    </row>
    <row r="694" customFormat="false" ht="15" hidden="false" customHeight="true" outlineLevel="0" collapsed="false">
      <c r="A694" s="13"/>
      <c r="B694" s="14"/>
      <c r="C694" s="15"/>
      <c r="D694" s="16"/>
      <c r="E694" s="13" t="str">
        <f aca="false">IF(D694="","",IFERROR(INDEX('Plan de Cuentas'!$B$5:$B$1241,MATCH(D694,'Plan de Cuentas'!$A$5:$A$1241,0)),"No encontrado"))</f>
        <v/>
      </c>
      <c r="F694" s="16"/>
      <c r="G694" s="13" t="str">
        <f aca="false">IF(F694="","",IFERROR(INDEX('Plan de Cuentas'!$B$5:$B$1241,MATCH(F694,'Plan de Cuentas'!$A$5:$A$1241,0)),"No encontrado"))</f>
        <v/>
      </c>
      <c r="H694" s="17"/>
      <c r="I694" s="13"/>
    </row>
    <row r="695" customFormat="false" ht="15" hidden="false" customHeight="true" outlineLevel="0" collapsed="false">
      <c r="A695" s="13"/>
      <c r="B695" s="14"/>
      <c r="C695" s="15"/>
      <c r="D695" s="16"/>
      <c r="E695" s="13" t="str">
        <f aca="false">IF(D695="","",IFERROR(INDEX('Plan de Cuentas'!$B$5:$B$1241,MATCH(D695,'Plan de Cuentas'!$A$5:$A$1241,0)),"No encontrado"))</f>
        <v/>
      </c>
      <c r="F695" s="16"/>
      <c r="G695" s="13" t="str">
        <f aca="false">IF(F695="","",IFERROR(INDEX('Plan de Cuentas'!$B$5:$B$1241,MATCH(F695,'Plan de Cuentas'!$A$5:$A$1241,0)),"No encontrado"))</f>
        <v/>
      </c>
      <c r="H695" s="17"/>
      <c r="I695" s="13"/>
    </row>
    <row r="696" customFormat="false" ht="15" hidden="false" customHeight="true" outlineLevel="0" collapsed="false">
      <c r="A696" s="13"/>
      <c r="B696" s="14"/>
      <c r="C696" s="15"/>
      <c r="D696" s="16"/>
      <c r="E696" s="13" t="str">
        <f aca="false">IF(D696="","",IFERROR(INDEX('Plan de Cuentas'!$B$5:$B$1241,MATCH(D696,'Plan de Cuentas'!$A$5:$A$1241,0)),"No encontrado"))</f>
        <v/>
      </c>
      <c r="F696" s="16"/>
      <c r="G696" s="13" t="str">
        <f aca="false">IF(F696="","",IFERROR(INDEX('Plan de Cuentas'!$B$5:$B$1241,MATCH(F696,'Plan de Cuentas'!$A$5:$A$1241,0)),"No encontrado"))</f>
        <v/>
      </c>
      <c r="H696" s="17"/>
      <c r="I696" s="13"/>
    </row>
    <row r="697" customFormat="false" ht="15" hidden="false" customHeight="true" outlineLevel="0" collapsed="false">
      <c r="A697" s="13"/>
      <c r="B697" s="14"/>
      <c r="C697" s="15"/>
      <c r="D697" s="16"/>
      <c r="E697" s="13" t="str">
        <f aca="false">IF(D697="","",IFERROR(INDEX('Plan de Cuentas'!$B$5:$B$1241,MATCH(D697,'Plan de Cuentas'!$A$5:$A$1241,0)),"No encontrado"))</f>
        <v/>
      </c>
      <c r="F697" s="16"/>
      <c r="G697" s="13" t="str">
        <f aca="false">IF(F697="","",IFERROR(INDEX('Plan de Cuentas'!$B$5:$B$1241,MATCH(F697,'Plan de Cuentas'!$A$5:$A$1241,0)),"No encontrado"))</f>
        <v/>
      </c>
      <c r="H697" s="17"/>
      <c r="I697" s="13"/>
    </row>
    <row r="698" customFormat="false" ht="15" hidden="false" customHeight="true" outlineLevel="0" collapsed="false">
      <c r="A698" s="13"/>
      <c r="B698" s="14"/>
      <c r="C698" s="15"/>
      <c r="D698" s="16"/>
      <c r="E698" s="13" t="str">
        <f aca="false">IF(D698="","",IFERROR(INDEX('Plan de Cuentas'!$B$5:$B$1241,MATCH(D698,'Plan de Cuentas'!$A$5:$A$1241,0)),"No encontrado"))</f>
        <v/>
      </c>
      <c r="F698" s="16"/>
      <c r="G698" s="13" t="str">
        <f aca="false">IF(F698="","",IFERROR(INDEX('Plan de Cuentas'!$B$5:$B$1241,MATCH(F698,'Plan de Cuentas'!$A$5:$A$1241,0)),"No encontrado"))</f>
        <v/>
      </c>
      <c r="H698" s="17"/>
      <c r="I698" s="13"/>
    </row>
    <row r="699" customFormat="false" ht="15" hidden="false" customHeight="true" outlineLevel="0" collapsed="false">
      <c r="A699" s="13"/>
      <c r="B699" s="14"/>
      <c r="C699" s="15"/>
      <c r="D699" s="16"/>
      <c r="E699" s="13" t="str">
        <f aca="false">IF(D699="","",IFERROR(INDEX('Plan de Cuentas'!$B$5:$B$1241,MATCH(D699,'Plan de Cuentas'!$A$5:$A$1241,0)),"No encontrado"))</f>
        <v/>
      </c>
      <c r="F699" s="16"/>
      <c r="G699" s="13" t="str">
        <f aca="false">IF(F699="","",IFERROR(INDEX('Plan de Cuentas'!$B$5:$B$1241,MATCH(F699,'Plan de Cuentas'!$A$5:$A$1241,0)),"No encontrado"))</f>
        <v/>
      </c>
      <c r="H699" s="17"/>
      <c r="I699" s="13"/>
    </row>
    <row r="700" customFormat="false" ht="15" hidden="false" customHeight="true" outlineLevel="0" collapsed="false">
      <c r="A700" s="13"/>
      <c r="B700" s="14"/>
      <c r="C700" s="15"/>
      <c r="D700" s="16"/>
      <c r="E700" s="13" t="str">
        <f aca="false">IF(D700="","",IFERROR(INDEX('Plan de Cuentas'!$B$5:$B$1241,MATCH(D700,'Plan de Cuentas'!$A$5:$A$1241,0)),"No encontrado"))</f>
        <v/>
      </c>
      <c r="F700" s="16"/>
      <c r="G700" s="13" t="str">
        <f aca="false">IF(F700="","",IFERROR(INDEX('Plan de Cuentas'!$B$5:$B$1241,MATCH(F700,'Plan de Cuentas'!$A$5:$A$1241,0)),"No encontrado"))</f>
        <v/>
      </c>
      <c r="H700" s="17"/>
      <c r="I700" s="13"/>
    </row>
    <row r="701" customFormat="false" ht="15" hidden="false" customHeight="true" outlineLevel="0" collapsed="false">
      <c r="A701" s="13"/>
      <c r="B701" s="14"/>
      <c r="C701" s="15"/>
      <c r="D701" s="16"/>
      <c r="E701" s="13" t="str">
        <f aca="false">IF(D701="","",IFERROR(INDEX('Plan de Cuentas'!$B$5:$B$1241,MATCH(D701,'Plan de Cuentas'!$A$5:$A$1241,0)),"No encontrado"))</f>
        <v/>
      </c>
      <c r="F701" s="16"/>
      <c r="G701" s="13" t="str">
        <f aca="false">IF(F701="","",IFERROR(INDEX('Plan de Cuentas'!$B$5:$B$1241,MATCH(F701,'Plan de Cuentas'!$A$5:$A$1241,0)),"No encontrado"))</f>
        <v/>
      </c>
      <c r="H701" s="17"/>
      <c r="I701" s="13"/>
    </row>
    <row r="702" customFormat="false" ht="15" hidden="false" customHeight="true" outlineLevel="0" collapsed="false">
      <c r="A702" s="13"/>
      <c r="B702" s="14"/>
      <c r="C702" s="15"/>
      <c r="D702" s="16"/>
      <c r="E702" s="13" t="str">
        <f aca="false">IF(D702="","",IFERROR(INDEX('Plan de Cuentas'!$B$5:$B$1241,MATCH(D702,'Plan de Cuentas'!$A$5:$A$1241,0)),"No encontrado"))</f>
        <v/>
      </c>
      <c r="F702" s="16"/>
      <c r="G702" s="13" t="str">
        <f aca="false">IF(F702="","",IFERROR(INDEX('Plan de Cuentas'!$B$5:$B$1241,MATCH(F702,'Plan de Cuentas'!$A$5:$A$1241,0)),"No encontrado"))</f>
        <v/>
      </c>
      <c r="H702" s="17"/>
      <c r="I702" s="13"/>
    </row>
    <row r="703" customFormat="false" ht="15" hidden="false" customHeight="true" outlineLevel="0" collapsed="false">
      <c r="A703" s="13"/>
      <c r="B703" s="14"/>
      <c r="C703" s="15"/>
      <c r="D703" s="16"/>
      <c r="E703" s="13" t="str">
        <f aca="false">IF(D703="","",IFERROR(INDEX('Plan de Cuentas'!$B$5:$B$1241,MATCH(D703,'Plan de Cuentas'!$A$5:$A$1241,0)),"No encontrado"))</f>
        <v/>
      </c>
      <c r="F703" s="16"/>
      <c r="G703" s="13" t="str">
        <f aca="false">IF(F703="","",IFERROR(INDEX('Plan de Cuentas'!$B$5:$B$1241,MATCH(F703,'Plan de Cuentas'!$A$5:$A$1241,0)),"No encontrado"))</f>
        <v/>
      </c>
      <c r="H703" s="17"/>
      <c r="I703" s="13"/>
    </row>
    <row r="704" customFormat="false" ht="15" hidden="false" customHeight="true" outlineLevel="0" collapsed="false">
      <c r="A704" s="13"/>
      <c r="B704" s="14"/>
      <c r="C704" s="15"/>
      <c r="D704" s="16"/>
      <c r="E704" s="13" t="str">
        <f aca="false">IF(D704="","",IFERROR(INDEX('Plan de Cuentas'!$B$5:$B$1241,MATCH(D704,'Plan de Cuentas'!$A$5:$A$1241,0)),"No encontrado"))</f>
        <v/>
      </c>
      <c r="F704" s="16"/>
      <c r="G704" s="13" t="str">
        <f aca="false">IF(F704="","",IFERROR(INDEX('Plan de Cuentas'!$B$5:$B$1241,MATCH(F704,'Plan de Cuentas'!$A$5:$A$1241,0)),"No encontrado"))</f>
        <v/>
      </c>
      <c r="H704" s="17"/>
      <c r="I704" s="13"/>
    </row>
    <row r="705" customFormat="false" ht="15" hidden="false" customHeight="true" outlineLevel="0" collapsed="false">
      <c r="A705" s="13"/>
      <c r="B705" s="14"/>
      <c r="C705" s="15"/>
      <c r="D705" s="16"/>
      <c r="E705" s="13" t="str">
        <f aca="false">IF(D705="","",IFERROR(INDEX('Plan de Cuentas'!$B$5:$B$1241,MATCH(D705,'Plan de Cuentas'!$A$5:$A$1241,0)),"No encontrado"))</f>
        <v/>
      </c>
      <c r="F705" s="16"/>
      <c r="G705" s="13" t="str">
        <f aca="false">IF(F705="","",IFERROR(INDEX('Plan de Cuentas'!$B$5:$B$1241,MATCH(F705,'Plan de Cuentas'!$A$5:$A$1241,0)),"No encontrado"))</f>
        <v/>
      </c>
      <c r="H705" s="17"/>
      <c r="I705" s="13"/>
    </row>
    <row r="706" customFormat="false" ht="15" hidden="false" customHeight="true" outlineLevel="0" collapsed="false">
      <c r="A706" s="13"/>
      <c r="B706" s="14"/>
      <c r="C706" s="15"/>
      <c r="D706" s="16"/>
      <c r="E706" s="13" t="str">
        <f aca="false">IF(D706="","",IFERROR(INDEX('Plan de Cuentas'!$B$5:$B$1241,MATCH(D706,'Plan de Cuentas'!$A$5:$A$1241,0)),"No encontrado"))</f>
        <v/>
      </c>
      <c r="F706" s="16"/>
      <c r="G706" s="13" t="str">
        <f aca="false">IF(F706="","",IFERROR(INDEX('Plan de Cuentas'!$B$5:$B$1241,MATCH(F706,'Plan de Cuentas'!$A$5:$A$1241,0)),"No encontrado"))</f>
        <v/>
      </c>
      <c r="H706" s="17"/>
      <c r="I706" s="13"/>
    </row>
    <row r="707" customFormat="false" ht="15" hidden="false" customHeight="true" outlineLevel="0" collapsed="false">
      <c r="A707" s="13"/>
      <c r="B707" s="14"/>
      <c r="C707" s="15"/>
      <c r="D707" s="16"/>
      <c r="E707" s="13" t="str">
        <f aca="false">IF(D707="","",IFERROR(INDEX('Plan de Cuentas'!$B$5:$B$1241,MATCH(D707,'Plan de Cuentas'!$A$5:$A$1241,0)),"No encontrado"))</f>
        <v/>
      </c>
      <c r="F707" s="16"/>
      <c r="G707" s="13" t="str">
        <f aca="false">IF(F707="","",IFERROR(INDEX('Plan de Cuentas'!$B$5:$B$1241,MATCH(F707,'Plan de Cuentas'!$A$5:$A$1241,0)),"No encontrado"))</f>
        <v/>
      </c>
      <c r="H707" s="17"/>
      <c r="I707" s="13"/>
    </row>
    <row r="708" customFormat="false" ht="15" hidden="false" customHeight="true" outlineLevel="0" collapsed="false">
      <c r="A708" s="13"/>
      <c r="B708" s="14"/>
      <c r="C708" s="15"/>
      <c r="D708" s="16"/>
      <c r="E708" s="13" t="str">
        <f aca="false">IF(D708="","",IFERROR(INDEX('Plan de Cuentas'!$B$5:$B$1241,MATCH(D708,'Plan de Cuentas'!$A$5:$A$1241,0)),"No encontrado"))</f>
        <v/>
      </c>
      <c r="F708" s="16"/>
      <c r="G708" s="13" t="str">
        <f aca="false">IF(F708="","",IFERROR(INDEX('Plan de Cuentas'!$B$5:$B$1241,MATCH(F708,'Plan de Cuentas'!$A$5:$A$1241,0)),"No encontrado"))</f>
        <v/>
      </c>
      <c r="H708" s="17"/>
      <c r="I708" s="13"/>
    </row>
    <row r="709" customFormat="false" ht="15" hidden="false" customHeight="true" outlineLevel="0" collapsed="false">
      <c r="A709" s="13"/>
      <c r="B709" s="14"/>
      <c r="C709" s="15"/>
      <c r="D709" s="16"/>
      <c r="E709" s="13" t="str">
        <f aca="false">IF(D709="","",IFERROR(INDEX('Plan de Cuentas'!$B$5:$B$1241,MATCH(D709,'Plan de Cuentas'!$A$5:$A$1241,0)),"No encontrado"))</f>
        <v/>
      </c>
      <c r="F709" s="16"/>
      <c r="G709" s="13" t="str">
        <f aca="false">IF(F709="","",IFERROR(INDEX('Plan de Cuentas'!$B$5:$B$1241,MATCH(F709,'Plan de Cuentas'!$A$5:$A$1241,0)),"No encontrado"))</f>
        <v/>
      </c>
      <c r="H709" s="17"/>
      <c r="I709" s="13"/>
    </row>
    <row r="710" customFormat="false" ht="15" hidden="false" customHeight="true" outlineLevel="0" collapsed="false">
      <c r="A710" s="13"/>
      <c r="B710" s="14"/>
      <c r="C710" s="15"/>
      <c r="D710" s="16"/>
      <c r="E710" s="13" t="str">
        <f aca="false">IF(D710="","",IFERROR(INDEX('Plan de Cuentas'!$B$5:$B$1241,MATCH(D710,'Plan de Cuentas'!$A$5:$A$1241,0)),"No encontrado"))</f>
        <v/>
      </c>
      <c r="F710" s="16"/>
      <c r="G710" s="13" t="str">
        <f aca="false">IF(F710="","",IFERROR(INDEX('Plan de Cuentas'!$B$5:$B$1241,MATCH(F710,'Plan de Cuentas'!$A$5:$A$1241,0)),"No encontrado"))</f>
        <v/>
      </c>
      <c r="H710" s="17"/>
      <c r="I710" s="13"/>
    </row>
    <row r="711" customFormat="false" ht="15" hidden="false" customHeight="true" outlineLevel="0" collapsed="false">
      <c r="A711" s="13"/>
      <c r="B711" s="14"/>
      <c r="C711" s="15"/>
      <c r="D711" s="16"/>
      <c r="E711" s="13" t="str">
        <f aca="false">IF(D711="","",IFERROR(INDEX('Plan de Cuentas'!$B$5:$B$1241,MATCH(D711,'Plan de Cuentas'!$A$5:$A$1241,0)),"No encontrado"))</f>
        <v/>
      </c>
      <c r="F711" s="16"/>
      <c r="G711" s="13" t="str">
        <f aca="false">IF(F711="","",IFERROR(INDEX('Plan de Cuentas'!$B$5:$B$1241,MATCH(F711,'Plan de Cuentas'!$A$5:$A$1241,0)),"No encontrado"))</f>
        <v/>
      </c>
      <c r="H711" s="17"/>
      <c r="I711" s="13"/>
    </row>
    <row r="712" customFormat="false" ht="15" hidden="false" customHeight="true" outlineLevel="0" collapsed="false">
      <c r="A712" s="13"/>
      <c r="B712" s="14"/>
      <c r="C712" s="15"/>
      <c r="D712" s="16"/>
      <c r="E712" s="13" t="str">
        <f aca="false">IF(D712="","",IFERROR(INDEX('Plan de Cuentas'!$B$5:$B$1241,MATCH(D712,'Plan de Cuentas'!$A$5:$A$1241,0)),"No encontrado"))</f>
        <v/>
      </c>
      <c r="F712" s="16"/>
      <c r="G712" s="13" t="str">
        <f aca="false">IF(F712="","",IFERROR(INDEX('Plan de Cuentas'!$B$5:$B$1241,MATCH(F712,'Plan de Cuentas'!$A$5:$A$1241,0)),"No encontrado"))</f>
        <v/>
      </c>
      <c r="H712" s="17"/>
      <c r="I712" s="13"/>
    </row>
    <row r="713" customFormat="false" ht="15" hidden="false" customHeight="true" outlineLevel="0" collapsed="false">
      <c r="A713" s="13"/>
      <c r="B713" s="14"/>
      <c r="C713" s="15"/>
      <c r="D713" s="16"/>
      <c r="E713" s="13" t="str">
        <f aca="false">IF(D713="","",IFERROR(INDEX('Plan de Cuentas'!$B$5:$B$1241,MATCH(D713,'Plan de Cuentas'!$A$5:$A$1241,0)),"No encontrado"))</f>
        <v/>
      </c>
      <c r="F713" s="16"/>
      <c r="G713" s="13" t="str">
        <f aca="false">IF(F713="","",IFERROR(INDEX('Plan de Cuentas'!$B$5:$B$1241,MATCH(F713,'Plan de Cuentas'!$A$5:$A$1241,0)),"No encontrado"))</f>
        <v/>
      </c>
      <c r="H713" s="17"/>
      <c r="I713" s="13"/>
    </row>
    <row r="714" customFormat="false" ht="15" hidden="false" customHeight="true" outlineLevel="0" collapsed="false">
      <c r="A714" s="13"/>
      <c r="B714" s="14"/>
      <c r="C714" s="15"/>
      <c r="D714" s="16"/>
      <c r="E714" s="13" t="str">
        <f aca="false">IF(D714="","",IFERROR(INDEX('Plan de Cuentas'!$B$5:$B$1241,MATCH(D714,'Plan de Cuentas'!$A$5:$A$1241,0)),"No encontrado"))</f>
        <v/>
      </c>
      <c r="F714" s="16"/>
      <c r="G714" s="13" t="str">
        <f aca="false">IF(F714="","",IFERROR(INDEX('Plan de Cuentas'!$B$5:$B$1241,MATCH(F714,'Plan de Cuentas'!$A$5:$A$1241,0)),"No encontrado"))</f>
        <v/>
      </c>
      <c r="H714" s="17"/>
      <c r="I714" s="13"/>
    </row>
    <row r="715" customFormat="false" ht="15" hidden="false" customHeight="true" outlineLevel="0" collapsed="false">
      <c r="A715" s="13"/>
      <c r="B715" s="14"/>
      <c r="C715" s="15"/>
      <c r="D715" s="16"/>
      <c r="E715" s="13" t="str">
        <f aca="false">IF(D715="","",IFERROR(INDEX('Plan de Cuentas'!$B$5:$B$1241,MATCH(D715,'Plan de Cuentas'!$A$5:$A$1241,0)),"No encontrado"))</f>
        <v/>
      </c>
      <c r="F715" s="16"/>
      <c r="G715" s="13" t="str">
        <f aca="false">IF(F715="","",IFERROR(INDEX('Plan de Cuentas'!$B$5:$B$1241,MATCH(F715,'Plan de Cuentas'!$A$5:$A$1241,0)),"No encontrado"))</f>
        <v/>
      </c>
      <c r="H715" s="17"/>
      <c r="I715" s="13"/>
    </row>
    <row r="716" customFormat="false" ht="15" hidden="false" customHeight="true" outlineLevel="0" collapsed="false">
      <c r="A716" s="13"/>
      <c r="B716" s="14"/>
      <c r="C716" s="15"/>
      <c r="D716" s="16"/>
      <c r="E716" s="13" t="str">
        <f aca="false">IF(D716="","",IFERROR(INDEX('Plan de Cuentas'!$B$5:$B$1241,MATCH(D716,'Plan de Cuentas'!$A$5:$A$1241,0)),"No encontrado"))</f>
        <v/>
      </c>
      <c r="F716" s="16"/>
      <c r="G716" s="13" t="str">
        <f aca="false">IF(F716="","",IFERROR(INDEX('Plan de Cuentas'!$B$5:$B$1241,MATCH(F716,'Plan de Cuentas'!$A$5:$A$1241,0)),"No encontrado"))</f>
        <v/>
      </c>
      <c r="H716" s="17"/>
      <c r="I716" s="13"/>
    </row>
    <row r="717" customFormat="false" ht="15" hidden="false" customHeight="true" outlineLevel="0" collapsed="false">
      <c r="A717" s="13"/>
      <c r="B717" s="14"/>
      <c r="C717" s="15"/>
      <c r="D717" s="16"/>
      <c r="E717" s="13" t="str">
        <f aca="false">IF(D717="","",IFERROR(INDEX('Plan de Cuentas'!$B$5:$B$1241,MATCH(D717,'Plan de Cuentas'!$A$5:$A$1241,0)),"No encontrado"))</f>
        <v/>
      </c>
      <c r="F717" s="16"/>
      <c r="G717" s="13" t="str">
        <f aca="false">IF(F717="","",IFERROR(INDEX('Plan de Cuentas'!$B$5:$B$1241,MATCH(F717,'Plan de Cuentas'!$A$5:$A$1241,0)),"No encontrado"))</f>
        <v/>
      </c>
      <c r="H717" s="17"/>
      <c r="I717" s="13"/>
    </row>
    <row r="718" customFormat="false" ht="15" hidden="false" customHeight="true" outlineLevel="0" collapsed="false">
      <c r="A718" s="13"/>
      <c r="B718" s="14"/>
      <c r="C718" s="15"/>
      <c r="D718" s="16"/>
      <c r="E718" s="13" t="str">
        <f aca="false">IF(D718="","",IFERROR(INDEX('Plan de Cuentas'!$B$5:$B$1241,MATCH(D718,'Plan de Cuentas'!$A$5:$A$1241,0)),"No encontrado"))</f>
        <v/>
      </c>
      <c r="F718" s="16"/>
      <c r="G718" s="13" t="str">
        <f aca="false">IF(F718="","",IFERROR(INDEX('Plan de Cuentas'!$B$5:$B$1241,MATCH(F718,'Plan de Cuentas'!$A$5:$A$1241,0)),"No encontrado"))</f>
        <v/>
      </c>
      <c r="H718" s="17"/>
      <c r="I718" s="13"/>
    </row>
    <row r="719" customFormat="false" ht="15" hidden="false" customHeight="true" outlineLevel="0" collapsed="false">
      <c r="A719" s="13"/>
      <c r="B719" s="14"/>
      <c r="C719" s="15"/>
      <c r="D719" s="16"/>
      <c r="E719" s="13" t="str">
        <f aca="false">IF(D719="","",IFERROR(INDEX('Plan de Cuentas'!$B$5:$B$1241,MATCH(D719,'Plan de Cuentas'!$A$5:$A$1241,0)),"No encontrado"))</f>
        <v/>
      </c>
      <c r="F719" s="16"/>
      <c r="G719" s="13" t="str">
        <f aca="false">IF(F719="","",IFERROR(INDEX('Plan de Cuentas'!$B$5:$B$1241,MATCH(F719,'Plan de Cuentas'!$A$5:$A$1241,0)),"No encontrado"))</f>
        <v/>
      </c>
      <c r="H719" s="17"/>
      <c r="I719" s="13"/>
    </row>
    <row r="720" customFormat="false" ht="15" hidden="false" customHeight="true" outlineLevel="0" collapsed="false">
      <c r="A720" s="13"/>
      <c r="B720" s="14"/>
      <c r="C720" s="15"/>
      <c r="D720" s="16"/>
      <c r="E720" s="13" t="str">
        <f aca="false">IF(D720="","",IFERROR(INDEX('Plan de Cuentas'!$B$5:$B$1241,MATCH(D720,'Plan de Cuentas'!$A$5:$A$1241,0)),"No encontrado"))</f>
        <v/>
      </c>
      <c r="F720" s="16"/>
      <c r="G720" s="13" t="str">
        <f aca="false">IF(F720="","",IFERROR(INDEX('Plan de Cuentas'!$B$5:$B$1241,MATCH(F720,'Plan de Cuentas'!$A$5:$A$1241,0)),"No encontrado"))</f>
        <v/>
      </c>
      <c r="H720" s="17"/>
      <c r="I720" s="13"/>
    </row>
    <row r="721" customFormat="false" ht="15" hidden="false" customHeight="true" outlineLevel="0" collapsed="false">
      <c r="A721" s="13"/>
      <c r="B721" s="14"/>
      <c r="C721" s="15"/>
      <c r="D721" s="16"/>
      <c r="E721" s="13" t="str">
        <f aca="false">IF(D721="","",IFERROR(INDEX('Plan de Cuentas'!$B$5:$B$1241,MATCH(D721,'Plan de Cuentas'!$A$5:$A$1241,0)),"No encontrado"))</f>
        <v/>
      </c>
      <c r="F721" s="16"/>
      <c r="G721" s="13" t="str">
        <f aca="false">IF(F721="","",IFERROR(INDEX('Plan de Cuentas'!$B$5:$B$1241,MATCH(F721,'Plan de Cuentas'!$A$5:$A$1241,0)),"No encontrado"))</f>
        <v/>
      </c>
      <c r="H721" s="17"/>
      <c r="I721" s="13"/>
    </row>
    <row r="722" customFormat="false" ht="15" hidden="false" customHeight="true" outlineLevel="0" collapsed="false">
      <c r="A722" s="13"/>
      <c r="B722" s="14"/>
      <c r="C722" s="15"/>
      <c r="D722" s="16"/>
      <c r="E722" s="13" t="str">
        <f aca="false">IF(D722="","",IFERROR(INDEX('Plan de Cuentas'!$B$5:$B$1241,MATCH(D722,'Plan de Cuentas'!$A$5:$A$1241,0)),"No encontrado"))</f>
        <v/>
      </c>
      <c r="F722" s="16"/>
      <c r="G722" s="13" t="str">
        <f aca="false">IF(F722="","",IFERROR(INDEX('Plan de Cuentas'!$B$5:$B$1241,MATCH(F722,'Plan de Cuentas'!$A$5:$A$1241,0)),"No encontrado"))</f>
        <v/>
      </c>
      <c r="H722" s="17"/>
      <c r="I722" s="13"/>
    </row>
    <row r="723" customFormat="false" ht="15" hidden="false" customHeight="true" outlineLevel="0" collapsed="false">
      <c r="A723" s="13"/>
      <c r="B723" s="14"/>
      <c r="C723" s="15"/>
      <c r="D723" s="16"/>
      <c r="E723" s="13" t="str">
        <f aca="false">IF(D723="","",IFERROR(INDEX('Plan de Cuentas'!$B$5:$B$1241,MATCH(D723,'Plan de Cuentas'!$A$5:$A$1241,0)),"No encontrado"))</f>
        <v/>
      </c>
      <c r="F723" s="16"/>
      <c r="G723" s="13" t="str">
        <f aca="false">IF(F723="","",IFERROR(INDEX('Plan de Cuentas'!$B$5:$B$1241,MATCH(F723,'Plan de Cuentas'!$A$5:$A$1241,0)),"No encontrado"))</f>
        <v/>
      </c>
      <c r="H723" s="17"/>
      <c r="I723" s="13"/>
    </row>
    <row r="724" customFormat="false" ht="15" hidden="false" customHeight="true" outlineLevel="0" collapsed="false">
      <c r="A724" s="13"/>
      <c r="B724" s="14"/>
      <c r="C724" s="15"/>
      <c r="D724" s="16"/>
      <c r="E724" s="13" t="str">
        <f aca="false">IF(D724="","",IFERROR(INDEX('Plan de Cuentas'!$B$5:$B$1241,MATCH(D724,'Plan de Cuentas'!$A$5:$A$1241,0)),"No encontrado"))</f>
        <v/>
      </c>
      <c r="F724" s="16"/>
      <c r="G724" s="13" t="str">
        <f aca="false">IF(F724="","",IFERROR(INDEX('Plan de Cuentas'!$B$5:$B$1241,MATCH(F724,'Plan de Cuentas'!$A$5:$A$1241,0)),"No encontrado"))</f>
        <v/>
      </c>
      <c r="H724" s="17"/>
      <c r="I724" s="13"/>
    </row>
    <row r="725" customFormat="false" ht="15" hidden="false" customHeight="true" outlineLevel="0" collapsed="false">
      <c r="A725" s="13"/>
      <c r="B725" s="14"/>
      <c r="C725" s="15"/>
      <c r="D725" s="16"/>
      <c r="E725" s="13" t="str">
        <f aca="false">IF(D725="","",IFERROR(INDEX('Plan de Cuentas'!$B$5:$B$1241,MATCH(D725,'Plan de Cuentas'!$A$5:$A$1241,0)),"No encontrado"))</f>
        <v/>
      </c>
      <c r="F725" s="16"/>
      <c r="G725" s="13" t="str">
        <f aca="false">IF(F725="","",IFERROR(INDEX('Plan de Cuentas'!$B$5:$B$1241,MATCH(F725,'Plan de Cuentas'!$A$5:$A$1241,0)),"No encontrado"))</f>
        <v/>
      </c>
      <c r="H725" s="17"/>
      <c r="I725" s="13"/>
    </row>
    <row r="726" customFormat="false" ht="15" hidden="false" customHeight="true" outlineLevel="0" collapsed="false">
      <c r="A726" s="13"/>
      <c r="B726" s="14"/>
      <c r="C726" s="15"/>
      <c r="D726" s="16"/>
      <c r="E726" s="13" t="str">
        <f aca="false">IF(D726="","",IFERROR(INDEX('Plan de Cuentas'!$B$5:$B$1241,MATCH(D726,'Plan de Cuentas'!$A$5:$A$1241,0)),"No encontrado"))</f>
        <v/>
      </c>
      <c r="F726" s="16"/>
      <c r="G726" s="13" t="str">
        <f aca="false">IF(F726="","",IFERROR(INDEX('Plan de Cuentas'!$B$5:$B$1241,MATCH(F726,'Plan de Cuentas'!$A$5:$A$1241,0)),"No encontrado"))</f>
        <v/>
      </c>
      <c r="H726" s="17"/>
      <c r="I726" s="13"/>
    </row>
    <row r="727" customFormat="false" ht="15" hidden="false" customHeight="true" outlineLevel="0" collapsed="false">
      <c r="A727" s="13"/>
      <c r="B727" s="14"/>
      <c r="C727" s="15"/>
      <c r="D727" s="16"/>
      <c r="E727" s="13" t="str">
        <f aca="false">IF(D727="","",IFERROR(INDEX('Plan de Cuentas'!$B$5:$B$1241,MATCH(D727,'Plan de Cuentas'!$A$5:$A$1241,0)),"No encontrado"))</f>
        <v/>
      </c>
      <c r="F727" s="16"/>
      <c r="G727" s="13" t="str">
        <f aca="false">IF(F727="","",IFERROR(INDEX('Plan de Cuentas'!$B$5:$B$1241,MATCH(F727,'Plan de Cuentas'!$A$5:$A$1241,0)),"No encontrado"))</f>
        <v/>
      </c>
      <c r="H727" s="17"/>
      <c r="I727" s="13"/>
    </row>
    <row r="728" customFormat="false" ht="15" hidden="false" customHeight="true" outlineLevel="0" collapsed="false">
      <c r="A728" s="13"/>
      <c r="B728" s="14"/>
      <c r="C728" s="15"/>
      <c r="D728" s="16"/>
      <c r="E728" s="13" t="str">
        <f aca="false">IF(D728="","",IFERROR(INDEX('Plan de Cuentas'!$B$5:$B$1241,MATCH(D728,'Plan de Cuentas'!$A$5:$A$1241,0)),"No encontrado"))</f>
        <v/>
      </c>
      <c r="F728" s="16"/>
      <c r="G728" s="13" t="str">
        <f aca="false">IF(F728="","",IFERROR(INDEX('Plan de Cuentas'!$B$5:$B$1241,MATCH(F728,'Plan de Cuentas'!$A$5:$A$1241,0)),"No encontrado"))</f>
        <v/>
      </c>
      <c r="H728" s="17"/>
      <c r="I728" s="13"/>
    </row>
    <row r="729" customFormat="false" ht="15" hidden="false" customHeight="true" outlineLevel="0" collapsed="false">
      <c r="A729" s="13"/>
      <c r="B729" s="14"/>
      <c r="C729" s="15"/>
      <c r="D729" s="16"/>
      <c r="E729" s="13" t="str">
        <f aca="false">IF(D729="","",IFERROR(INDEX('Plan de Cuentas'!$B$5:$B$1241,MATCH(D729,'Plan de Cuentas'!$A$5:$A$1241,0)),"No encontrado"))</f>
        <v/>
      </c>
      <c r="F729" s="16"/>
      <c r="G729" s="13" t="str">
        <f aca="false">IF(F729="","",IFERROR(INDEX('Plan de Cuentas'!$B$5:$B$1241,MATCH(F729,'Plan de Cuentas'!$A$5:$A$1241,0)),"No encontrado"))</f>
        <v/>
      </c>
      <c r="H729" s="17"/>
      <c r="I729" s="13"/>
    </row>
    <row r="730" customFormat="false" ht="15" hidden="false" customHeight="true" outlineLevel="0" collapsed="false">
      <c r="A730" s="13"/>
      <c r="B730" s="14"/>
      <c r="C730" s="15"/>
      <c r="D730" s="16"/>
      <c r="E730" s="13" t="str">
        <f aca="false">IF(D730="","",IFERROR(INDEX('Plan de Cuentas'!$B$5:$B$1241,MATCH(D730,'Plan de Cuentas'!$A$5:$A$1241,0)),"No encontrado"))</f>
        <v/>
      </c>
      <c r="F730" s="16"/>
      <c r="G730" s="13" t="str">
        <f aca="false">IF(F730="","",IFERROR(INDEX('Plan de Cuentas'!$B$5:$B$1241,MATCH(F730,'Plan de Cuentas'!$A$5:$A$1241,0)),"No encontrado"))</f>
        <v/>
      </c>
      <c r="H730" s="17"/>
      <c r="I730" s="13"/>
    </row>
    <row r="731" customFormat="false" ht="15" hidden="false" customHeight="true" outlineLevel="0" collapsed="false">
      <c r="A731" s="13"/>
      <c r="B731" s="14"/>
      <c r="C731" s="15"/>
      <c r="D731" s="16"/>
      <c r="E731" s="13" t="str">
        <f aca="false">IF(D731="","",IFERROR(INDEX('Plan de Cuentas'!$B$5:$B$1241,MATCH(D731,'Plan de Cuentas'!$A$5:$A$1241,0)),"No encontrado"))</f>
        <v/>
      </c>
      <c r="F731" s="16"/>
      <c r="G731" s="13" t="str">
        <f aca="false">IF(F731="","",IFERROR(INDEX('Plan de Cuentas'!$B$5:$B$1241,MATCH(F731,'Plan de Cuentas'!$A$5:$A$1241,0)),"No encontrado"))</f>
        <v/>
      </c>
      <c r="H731" s="17"/>
      <c r="I731" s="13"/>
    </row>
    <row r="732" customFormat="false" ht="15" hidden="false" customHeight="true" outlineLevel="0" collapsed="false">
      <c r="A732" s="13"/>
      <c r="B732" s="14"/>
      <c r="C732" s="15"/>
      <c r="D732" s="16"/>
      <c r="E732" s="13" t="str">
        <f aca="false">IF(D732="","",IFERROR(INDEX('Plan de Cuentas'!$B$5:$B$1241,MATCH(D732,'Plan de Cuentas'!$A$5:$A$1241,0)),"No encontrado"))</f>
        <v/>
      </c>
      <c r="F732" s="16"/>
      <c r="G732" s="13" t="str">
        <f aca="false">IF(F732="","",IFERROR(INDEX('Plan de Cuentas'!$B$5:$B$1241,MATCH(F732,'Plan de Cuentas'!$A$5:$A$1241,0)),"No encontrado"))</f>
        <v/>
      </c>
      <c r="H732" s="17"/>
      <c r="I732" s="13"/>
    </row>
    <row r="733" customFormat="false" ht="15" hidden="false" customHeight="true" outlineLevel="0" collapsed="false">
      <c r="A733" s="13"/>
      <c r="B733" s="14"/>
      <c r="C733" s="15"/>
      <c r="D733" s="16"/>
      <c r="E733" s="13" t="str">
        <f aca="false">IF(D733="","",IFERROR(INDEX('Plan de Cuentas'!$B$5:$B$1241,MATCH(D733,'Plan de Cuentas'!$A$5:$A$1241,0)),"No encontrado"))</f>
        <v/>
      </c>
      <c r="F733" s="16"/>
      <c r="G733" s="13" t="str">
        <f aca="false">IF(F733="","",IFERROR(INDEX('Plan de Cuentas'!$B$5:$B$1241,MATCH(F733,'Plan de Cuentas'!$A$5:$A$1241,0)),"No encontrado"))</f>
        <v/>
      </c>
      <c r="H733" s="17"/>
      <c r="I733" s="13"/>
    </row>
    <row r="734" customFormat="false" ht="15" hidden="false" customHeight="true" outlineLevel="0" collapsed="false">
      <c r="A734" s="13"/>
      <c r="B734" s="14"/>
      <c r="C734" s="15"/>
      <c r="D734" s="16"/>
      <c r="E734" s="13" t="str">
        <f aca="false">IF(D734="","",IFERROR(INDEX('Plan de Cuentas'!$B$5:$B$1241,MATCH(D734,'Plan de Cuentas'!$A$5:$A$1241,0)),"No encontrado"))</f>
        <v/>
      </c>
      <c r="F734" s="16"/>
      <c r="G734" s="13" t="str">
        <f aca="false">IF(F734="","",IFERROR(INDEX('Plan de Cuentas'!$B$5:$B$1241,MATCH(F734,'Plan de Cuentas'!$A$5:$A$1241,0)),"No encontrado"))</f>
        <v/>
      </c>
      <c r="H734" s="17"/>
      <c r="I734" s="13"/>
    </row>
    <row r="735" customFormat="false" ht="15" hidden="false" customHeight="true" outlineLevel="0" collapsed="false">
      <c r="A735" s="13"/>
      <c r="B735" s="14"/>
      <c r="C735" s="15"/>
      <c r="D735" s="16"/>
      <c r="E735" s="13" t="str">
        <f aca="false">IF(D735="","",IFERROR(INDEX('Plan de Cuentas'!$B$5:$B$1241,MATCH(D735,'Plan de Cuentas'!$A$5:$A$1241,0)),"No encontrado"))</f>
        <v/>
      </c>
      <c r="F735" s="16"/>
      <c r="G735" s="13" t="str">
        <f aca="false">IF(F735="","",IFERROR(INDEX('Plan de Cuentas'!$B$5:$B$1241,MATCH(F735,'Plan de Cuentas'!$A$5:$A$1241,0)),"No encontrado"))</f>
        <v/>
      </c>
      <c r="H735" s="17"/>
      <c r="I735" s="13"/>
    </row>
    <row r="736" customFormat="false" ht="15" hidden="false" customHeight="true" outlineLevel="0" collapsed="false">
      <c r="A736" s="13"/>
      <c r="B736" s="14"/>
      <c r="C736" s="15"/>
      <c r="D736" s="16"/>
      <c r="E736" s="13" t="str">
        <f aca="false">IF(D736="","",IFERROR(INDEX('Plan de Cuentas'!$B$5:$B$1241,MATCH(D736,'Plan de Cuentas'!$A$5:$A$1241,0)),"No encontrado"))</f>
        <v/>
      </c>
      <c r="F736" s="16"/>
      <c r="G736" s="13" t="str">
        <f aca="false">IF(F736="","",IFERROR(INDEX('Plan de Cuentas'!$B$5:$B$1241,MATCH(F736,'Plan de Cuentas'!$A$5:$A$1241,0)),"No encontrado"))</f>
        <v/>
      </c>
      <c r="H736" s="17"/>
      <c r="I736" s="13"/>
    </row>
    <row r="737" customFormat="false" ht="15" hidden="false" customHeight="true" outlineLevel="0" collapsed="false">
      <c r="A737" s="13"/>
      <c r="B737" s="14"/>
      <c r="C737" s="15"/>
      <c r="D737" s="16"/>
      <c r="E737" s="13" t="str">
        <f aca="false">IF(D737="","",IFERROR(INDEX('Plan de Cuentas'!$B$5:$B$1241,MATCH(D737,'Plan de Cuentas'!$A$5:$A$1241,0)),"No encontrado"))</f>
        <v/>
      </c>
      <c r="F737" s="16"/>
      <c r="G737" s="13" t="str">
        <f aca="false">IF(F737="","",IFERROR(INDEX('Plan de Cuentas'!$B$5:$B$1241,MATCH(F737,'Plan de Cuentas'!$A$5:$A$1241,0)),"No encontrado"))</f>
        <v/>
      </c>
      <c r="H737" s="17"/>
      <c r="I737" s="13"/>
    </row>
    <row r="738" customFormat="false" ht="15" hidden="false" customHeight="true" outlineLevel="0" collapsed="false">
      <c r="A738" s="13"/>
      <c r="B738" s="14"/>
      <c r="C738" s="15"/>
      <c r="D738" s="16"/>
      <c r="E738" s="13" t="str">
        <f aca="false">IF(D738="","",IFERROR(INDEX('Plan de Cuentas'!$B$5:$B$1241,MATCH(D738,'Plan de Cuentas'!$A$5:$A$1241,0)),"No encontrado"))</f>
        <v/>
      </c>
      <c r="F738" s="16"/>
      <c r="G738" s="13" t="str">
        <f aca="false">IF(F738="","",IFERROR(INDEX('Plan de Cuentas'!$B$5:$B$1241,MATCH(F738,'Plan de Cuentas'!$A$5:$A$1241,0)),"No encontrado"))</f>
        <v/>
      </c>
      <c r="H738" s="17"/>
      <c r="I738" s="13"/>
    </row>
    <row r="739" customFormat="false" ht="15" hidden="false" customHeight="true" outlineLevel="0" collapsed="false">
      <c r="A739" s="13"/>
      <c r="B739" s="14"/>
      <c r="C739" s="15"/>
      <c r="D739" s="16"/>
      <c r="E739" s="13" t="str">
        <f aca="false">IF(D739="","",IFERROR(INDEX('Plan de Cuentas'!$B$5:$B$1241,MATCH(D739,'Plan de Cuentas'!$A$5:$A$1241,0)),"No encontrado"))</f>
        <v/>
      </c>
      <c r="F739" s="16"/>
      <c r="G739" s="13" t="str">
        <f aca="false">IF(F739="","",IFERROR(INDEX('Plan de Cuentas'!$B$5:$B$1241,MATCH(F739,'Plan de Cuentas'!$A$5:$A$1241,0)),"No encontrado"))</f>
        <v/>
      </c>
      <c r="H739" s="17"/>
      <c r="I739" s="13"/>
    </row>
    <row r="740" customFormat="false" ht="15" hidden="false" customHeight="true" outlineLevel="0" collapsed="false">
      <c r="A740" s="13"/>
      <c r="B740" s="14"/>
      <c r="C740" s="15"/>
      <c r="D740" s="16"/>
      <c r="E740" s="13" t="str">
        <f aca="false">IF(D740="","",IFERROR(INDEX('Plan de Cuentas'!$B$5:$B$1241,MATCH(D740,'Plan de Cuentas'!$A$5:$A$1241,0)),"No encontrado"))</f>
        <v/>
      </c>
      <c r="F740" s="16"/>
      <c r="G740" s="13" t="str">
        <f aca="false">IF(F740="","",IFERROR(INDEX('Plan de Cuentas'!$B$5:$B$1241,MATCH(F740,'Plan de Cuentas'!$A$5:$A$1241,0)),"No encontrado"))</f>
        <v/>
      </c>
      <c r="H740" s="17"/>
      <c r="I740" s="13"/>
    </row>
    <row r="741" customFormat="false" ht="15" hidden="false" customHeight="true" outlineLevel="0" collapsed="false">
      <c r="A741" s="13"/>
      <c r="B741" s="14"/>
      <c r="C741" s="15"/>
      <c r="D741" s="16"/>
      <c r="E741" s="13" t="str">
        <f aca="false">IF(D741="","",IFERROR(INDEX('Plan de Cuentas'!$B$5:$B$1241,MATCH(D741,'Plan de Cuentas'!$A$5:$A$1241,0)),"No encontrado"))</f>
        <v/>
      </c>
      <c r="F741" s="16"/>
      <c r="G741" s="13" t="str">
        <f aca="false">IF(F741="","",IFERROR(INDEX('Plan de Cuentas'!$B$5:$B$1241,MATCH(F741,'Plan de Cuentas'!$A$5:$A$1241,0)),"No encontrado"))</f>
        <v/>
      </c>
      <c r="H741" s="17"/>
      <c r="I741" s="13"/>
    </row>
    <row r="742" customFormat="false" ht="15" hidden="false" customHeight="true" outlineLevel="0" collapsed="false">
      <c r="A742" s="13"/>
      <c r="B742" s="14"/>
      <c r="C742" s="15"/>
      <c r="D742" s="16"/>
      <c r="E742" s="13" t="str">
        <f aca="false">IF(D742="","",IFERROR(INDEX('Plan de Cuentas'!$B$5:$B$1241,MATCH(D742,'Plan de Cuentas'!$A$5:$A$1241,0)),"No encontrado"))</f>
        <v/>
      </c>
      <c r="F742" s="16"/>
      <c r="G742" s="13" t="str">
        <f aca="false">IF(F742="","",IFERROR(INDEX('Plan de Cuentas'!$B$5:$B$1241,MATCH(F742,'Plan de Cuentas'!$A$5:$A$1241,0)),"No encontrado"))</f>
        <v/>
      </c>
      <c r="H742" s="17"/>
      <c r="I742" s="13"/>
    </row>
    <row r="743" customFormat="false" ht="15" hidden="false" customHeight="true" outlineLevel="0" collapsed="false">
      <c r="A743" s="13"/>
      <c r="B743" s="14"/>
      <c r="C743" s="15"/>
      <c r="D743" s="16"/>
      <c r="E743" s="13" t="str">
        <f aca="false">IF(D743="","",IFERROR(INDEX('Plan de Cuentas'!$B$5:$B$1241,MATCH(D743,'Plan de Cuentas'!$A$5:$A$1241,0)),"No encontrado"))</f>
        <v/>
      </c>
      <c r="F743" s="16"/>
      <c r="G743" s="13" t="str">
        <f aca="false">IF(F743="","",IFERROR(INDEX('Plan de Cuentas'!$B$5:$B$1241,MATCH(F743,'Plan de Cuentas'!$A$5:$A$1241,0)),"No encontrado"))</f>
        <v/>
      </c>
      <c r="H743" s="17"/>
      <c r="I743" s="13"/>
    </row>
    <row r="744" customFormat="false" ht="15" hidden="false" customHeight="true" outlineLevel="0" collapsed="false">
      <c r="A744" s="13"/>
      <c r="B744" s="14"/>
      <c r="C744" s="15"/>
      <c r="D744" s="16"/>
      <c r="E744" s="13" t="str">
        <f aca="false">IF(D744="","",IFERROR(INDEX('Plan de Cuentas'!$B$5:$B$1241,MATCH(D744,'Plan de Cuentas'!$A$5:$A$1241,0)),"No encontrado"))</f>
        <v/>
      </c>
      <c r="F744" s="16"/>
      <c r="G744" s="13" t="str">
        <f aca="false">IF(F744="","",IFERROR(INDEX('Plan de Cuentas'!$B$5:$B$1241,MATCH(F744,'Plan de Cuentas'!$A$5:$A$1241,0)),"No encontrado"))</f>
        <v/>
      </c>
      <c r="H744" s="17"/>
      <c r="I744" s="13"/>
    </row>
    <row r="745" customFormat="false" ht="15" hidden="false" customHeight="true" outlineLevel="0" collapsed="false">
      <c r="A745" s="13"/>
      <c r="B745" s="14"/>
      <c r="C745" s="15"/>
      <c r="D745" s="16"/>
      <c r="E745" s="13" t="str">
        <f aca="false">IF(D745="","",IFERROR(INDEX('Plan de Cuentas'!$B$5:$B$1241,MATCH(D745,'Plan de Cuentas'!$A$5:$A$1241,0)),"No encontrado"))</f>
        <v/>
      </c>
      <c r="F745" s="16"/>
      <c r="G745" s="13" t="str">
        <f aca="false">IF(F745="","",IFERROR(INDEX('Plan de Cuentas'!$B$5:$B$1241,MATCH(F745,'Plan de Cuentas'!$A$5:$A$1241,0)),"No encontrado"))</f>
        <v/>
      </c>
      <c r="H745" s="17"/>
      <c r="I745" s="13"/>
    </row>
    <row r="746" customFormat="false" ht="15" hidden="false" customHeight="true" outlineLevel="0" collapsed="false">
      <c r="A746" s="13"/>
      <c r="B746" s="14"/>
      <c r="C746" s="15"/>
      <c r="D746" s="16"/>
      <c r="E746" s="13" t="str">
        <f aca="false">IF(D746="","",IFERROR(INDEX('Plan de Cuentas'!$B$5:$B$1241,MATCH(D746,'Plan de Cuentas'!$A$5:$A$1241,0)),"No encontrado"))</f>
        <v/>
      </c>
      <c r="F746" s="16"/>
      <c r="G746" s="13" t="str">
        <f aca="false">IF(F746="","",IFERROR(INDEX('Plan de Cuentas'!$B$5:$B$1241,MATCH(F746,'Plan de Cuentas'!$A$5:$A$1241,0)),"No encontrado"))</f>
        <v/>
      </c>
      <c r="H746" s="17"/>
      <c r="I746" s="13"/>
    </row>
    <row r="747" customFormat="false" ht="15" hidden="false" customHeight="true" outlineLevel="0" collapsed="false">
      <c r="A747" s="13"/>
      <c r="B747" s="14"/>
      <c r="C747" s="15"/>
      <c r="D747" s="16"/>
      <c r="E747" s="13" t="str">
        <f aca="false">IF(D747="","",IFERROR(INDEX('Plan de Cuentas'!$B$5:$B$1241,MATCH(D747,'Plan de Cuentas'!$A$5:$A$1241,0)),"No encontrado"))</f>
        <v/>
      </c>
      <c r="F747" s="16"/>
      <c r="G747" s="13" t="str">
        <f aca="false">IF(F747="","",IFERROR(INDEX('Plan de Cuentas'!$B$5:$B$1241,MATCH(F747,'Plan de Cuentas'!$A$5:$A$1241,0)),"No encontrado"))</f>
        <v/>
      </c>
      <c r="H747" s="17"/>
      <c r="I747" s="13"/>
    </row>
    <row r="748" customFormat="false" ht="15" hidden="false" customHeight="true" outlineLevel="0" collapsed="false">
      <c r="A748" s="13"/>
      <c r="B748" s="14"/>
      <c r="C748" s="15"/>
      <c r="D748" s="16"/>
      <c r="E748" s="13" t="str">
        <f aca="false">IF(D748="","",IFERROR(INDEX('Plan de Cuentas'!$B$5:$B$1241,MATCH(D748,'Plan de Cuentas'!$A$5:$A$1241,0)),"No encontrado"))</f>
        <v/>
      </c>
      <c r="F748" s="16"/>
      <c r="G748" s="13" t="str">
        <f aca="false">IF(F748="","",IFERROR(INDEX('Plan de Cuentas'!$B$5:$B$1241,MATCH(F748,'Plan de Cuentas'!$A$5:$A$1241,0)),"No encontrado"))</f>
        <v/>
      </c>
      <c r="H748" s="17"/>
      <c r="I748" s="13"/>
    </row>
    <row r="749" customFormat="false" ht="15" hidden="false" customHeight="true" outlineLevel="0" collapsed="false">
      <c r="A749" s="13"/>
      <c r="B749" s="14"/>
      <c r="C749" s="15"/>
      <c r="D749" s="16"/>
      <c r="E749" s="13" t="str">
        <f aca="false">IF(D749="","",IFERROR(INDEX('Plan de Cuentas'!$B$5:$B$1241,MATCH(D749,'Plan de Cuentas'!$A$5:$A$1241,0)),"No encontrado"))</f>
        <v/>
      </c>
      <c r="F749" s="16"/>
      <c r="G749" s="13" t="str">
        <f aca="false">IF(F749="","",IFERROR(INDEX('Plan de Cuentas'!$B$5:$B$1241,MATCH(F749,'Plan de Cuentas'!$A$5:$A$1241,0)),"No encontrado"))</f>
        <v/>
      </c>
      <c r="H749" s="17"/>
      <c r="I749" s="13"/>
    </row>
    <row r="750" customFormat="false" ht="15" hidden="false" customHeight="true" outlineLevel="0" collapsed="false">
      <c r="A750" s="13"/>
      <c r="B750" s="14"/>
      <c r="C750" s="15"/>
      <c r="D750" s="16"/>
      <c r="E750" s="13" t="str">
        <f aca="false">IF(D750="","",IFERROR(INDEX('Plan de Cuentas'!$B$5:$B$1241,MATCH(D750,'Plan de Cuentas'!$A$5:$A$1241,0)),"No encontrado"))</f>
        <v/>
      </c>
      <c r="F750" s="16"/>
      <c r="G750" s="13" t="str">
        <f aca="false">IF(F750="","",IFERROR(INDEX('Plan de Cuentas'!$B$5:$B$1241,MATCH(F750,'Plan de Cuentas'!$A$5:$A$1241,0)),"No encontrado"))</f>
        <v/>
      </c>
      <c r="H750" s="17"/>
      <c r="I750" s="13"/>
    </row>
    <row r="751" customFormat="false" ht="15" hidden="false" customHeight="true" outlineLevel="0" collapsed="false">
      <c r="A751" s="13"/>
      <c r="B751" s="14"/>
      <c r="C751" s="15"/>
      <c r="D751" s="16"/>
      <c r="E751" s="13" t="str">
        <f aca="false">IF(D751="","",IFERROR(INDEX('Plan de Cuentas'!$B$5:$B$1241,MATCH(D751,'Plan de Cuentas'!$A$5:$A$1241,0)),"No encontrado"))</f>
        <v/>
      </c>
      <c r="F751" s="16"/>
      <c r="G751" s="13" t="str">
        <f aca="false">IF(F751="","",IFERROR(INDEX('Plan de Cuentas'!$B$5:$B$1241,MATCH(F751,'Plan de Cuentas'!$A$5:$A$1241,0)),"No encontrado"))</f>
        <v/>
      </c>
      <c r="H751" s="17"/>
      <c r="I751" s="13"/>
    </row>
    <row r="752" customFormat="false" ht="15" hidden="false" customHeight="true" outlineLevel="0" collapsed="false">
      <c r="A752" s="13"/>
      <c r="B752" s="14"/>
      <c r="C752" s="15"/>
      <c r="D752" s="16"/>
      <c r="E752" s="13" t="str">
        <f aca="false">IF(D752="","",IFERROR(INDEX('Plan de Cuentas'!$B$5:$B$1241,MATCH(D752,'Plan de Cuentas'!$A$5:$A$1241,0)),"No encontrado"))</f>
        <v/>
      </c>
      <c r="F752" s="16"/>
      <c r="G752" s="13" t="str">
        <f aca="false">IF(F752="","",IFERROR(INDEX('Plan de Cuentas'!$B$5:$B$1241,MATCH(F752,'Plan de Cuentas'!$A$5:$A$1241,0)),"No encontrado"))</f>
        <v/>
      </c>
      <c r="H752" s="17"/>
      <c r="I752" s="13"/>
    </row>
    <row r="753" customFormat="false" ht="15" hidden="false" customHeight="true" outlineLevel="0" collapsed="false">
      <c r="A753" s="13"/>
      <c r="B753" s="14"/>
      <c r="C753" s="15"/>
      <c r="D753" s="16"/>
      <c r="E753" s="13" t="str">
        <f aca="false">IF(D753="","",IFERROR(INDEX('Plan de Cuentas'!$B$5:$B$1241,MATCH(D753,'Plan de Cuentas'!$A$5:$A$1241,0)),"No encontrado"))</f>
        <v/>
      </c>
      <c r="F753" s="16"/>
      <c r="G753" s="13" t="str">
        <f aca="false">IF(F753="","",IFERROR(INDEX('Plan de Cuentas'!$B$5:$B$1241,MATCH(F753,'Plan de Cuentas'!$A$5:$A$1241,0)),"No encontrado"))</f>
        <v/>
      </c>
      <c r="H753" s="17"/>
      <c r="I753" s="13"/>
    </row>
    <row r="754" customFormat="false" ht="15" hidden="false" customHeight="true" outlineLevel="0" collapsed="false">
      <c r="A754" s="13"/>
      <c r="B754" s="14"/>
      <c r="C754" s="15"/>
      <c r="D754" s="16"/>
      <c r="E754" s="13" t="str">
        <f aca="false">IF(D754="","",IFERROR(INDEX('Plan de Cuentas'!$B$5:$B$1241,MATCH(D754,'Plan de Cuentas'!$A$5:$A$1241,0)),"No encontrado"))</f>
        <v/>
      </c>
      <c r="F754" s="16"/>
      <c r="G754" s="13" t="str">
        <f aca="false">IF(F754="","",IFERROR(INDEX('Plan de Cuentas'!$B$5:$B$1241,MATCH(F754,'Plan de Cuentas'!$A$5:$A$1241,0)),"No encontrado"))</f>
        <v/>
      </c>
      <c r="H754" s="17"/>
      <c r="I754" s="13"/>
    </row>
    <row r="755" customFormat="false" ht="15" hidden="false" customHeight="true" outlineLevel="0" collapsed="false">
      <c r="A755" s="13"/>
      <c r="B755" s="14"/>
      <c r="C755" s="15"/>
      <c r="D755" s="16"/>
      <c r="E755" s="13" t="str">
        <f aca="false">IF(D755="","",IFERROR(INDEX('Plan de Cuentas'!$B$5:$B$1241,MATCH(D755,'Plan de Cuentas'!$A$5:$A$1241,0)),"No encontrado"))</f>
        <v/>
      </c>
      <c r="F755" s="16"/>
      <c r="G755" s="13" t="str">
        <f aca="false">IF(F755="","",IFERROR(INDEX('Plan de Cuentas'!$B$5:$B$1241,MATCH(F755,'Plan de Cuentas'!$A$5:$A$1241,0)),"No encontrado"))</f>
        <v/>
      </c>
      <c r="H755" s="17"/>
      <c r="I755" s="13"/>
    </row>
    <row r="756" customFormat="false" ht="15" hidden="false" customHeight="true" outlineLevel="0" collapsed="false">
      <c r="A756" s="13"/>
      <c r="B756" s="14"/>
      <c r="C756" s="15"/>
      <c r="D756" s="16"/>
      <c r="E756" s="13" t="str">
        <f aca="false">IF(D756="","",IFERROR(INDEX('Plan de Cuentas'!$B$5:$B$1241,MATCH(D756,'Plan de Cuentas'!$A$5:$A$1241,0)),"No encontrado"))</f>
        <v/>
      </c>
      <c r="F756" s="16"/>
      <c r="G756" s="13" t="str">
        <f aca="false">IF(F756="","",IFERROR(INDEX('Plan de Cuentas'!$B$5:$B$1241,MATCH(F756,'Plan de Cuentas'!$A$5:$A$1241,0)),"No encontrado"))</f>
        <v/>
      </c>
      <c r="H756" s="17"/>
      <c r="I756" s="13"/>
    </row>
    <row r="757" customFormat="false" ht="15" hidden="false" customHeight="true" outlineLevel="0" collapsed="false">
      <c r="A757" s="13"/>
      <c r="B757" s="14"/>
      <c r="C757" s="15"/>
      <c r="D757" s="16"/>
      <c r="E757" s="13" t="str">
        <f aca="false">IF(D757="","",IFERROR(INDEX('Plan de Cuentas'!$B$5:$B$1241,MATCH(D757,'Plan de Cuentas'!$A$5:$A$1241,0)),"No encontrado"))</f>
        <v/>
      </c>
      <c r="F757" s="16"/>
      <c r="G757" s="13" t="str">
        <f aca="false">IF(F757="","",IFERROR(INDEX('Plan de Cuentas'!$B$5:$B$1241,MATCH(F757,'Plan de Cuentas'!$A$5:$A$1241,0)),"No encontrado"))</f>
        <v/>
      </c>
      <c r="H757" s="17"/>
      <c r="I757" s="13"/>
    </row>
    <row r="758" customFormat="false" ht="15" hidden="false" customHeight="true" outlineLevel="0" collapsed="false">
      <c r="A758" s="13"/>
      <c r="B758" s="14"/>
      <c r="C758" s="15"/>
      <c r="D758" s="16"/>
      <c r="E758" s="13" t="str">
        <f aca="false">IF(D758="","",IFERROR(INDEX('Plan de Cuentas'!$B$5:$B$1241,MATCH(D758,'Plan de Cuentas'!$A$5:$A$1241,0)),"No encontrado"))</f>
        <v/>
      </c>
      <c r="F758" s="16"/>
      <c r="G758" s="13" t="str">
        <f aca="false">IF(F758="","",IFERROR(INDEX('Plan de Cuentas'!$B$5:$B$1241,MATCH(F758,'Plan de Cuentas'!$A$5:$A$1241,0)),"No encontrado"))</f>
        <v/>
      </c>
      <c r="H758" s="17"/>
      <c r="I758" s="13"/>
    </row>
    <row r="759" customFormat="false" ht="15" hidden="false" customHeight="true" outlineLevel="0" collapsed="false">
      <c r="A759" s="13"/>
      <c r="B759" s="14"/>
      <c r="C759" s="15"/>
      <c r="D759" s="16"/>
      <c r="E759" s="13" t="str">
        <f aca="false">IF(D759="","",IFERROR(INDEX('Plan de Cuentas'!$B$5:$B$1241,MATCH(D759,'Plan de Cuentas'!$A$5:$A$1241,0)),"No encontrado"))</f>
        <v/>
      </c>
      <c r="F759" s="16"/>
      <c r="G759" s="13" t="str">
        <f aca="false">IF(F759="","",IFERROR(INDEX('Plan de Cuentas'!$B$5:$B$1241,MATCH(F759,'Plan de Cuentas'!$A$5:$A$1241,0)),"No encontrado"))</f>
        <v/>
      </c>
      <c r="H759" s="17"/>
      <c r="I759" s="13"/>
    </row>
    <row r="760" customFormat="false" ht="15" hidden="false" customHeight="true" outlineLevel="0" collapsed="false">
      <c r="A760" s="13"/>
      <c r="B760" s="14"/>
      <c r="C760" s="15"/>
      <c r="D760" s="16"/>
      <c r="E760" s="13" t="str">
        <f aca="false">IF(D760="","",IFERROR(INDEX('Plan de Cuentas'!$B$5:$B$1241,MATCH(D760,'Plan de Cuentas'!$A$5:$A$1241,0)),"No encontrado"))</f>
        <v/>
      </c>
      <c r="F760" s="16"/>
      <c r="G760" s="13" t="str">
        <f aca="false">IF(F760="","",IFERROR(INDEX('Plan de Cuentas'!$B$5:$B$1241,MATCH(F760,'Plan de Cuentas'!$A$5:$A$1241,0)),"No encontrado"))</f>
        <v/>
      </c>
      <c r="H760" s="17"/>
      <c r="I760" s="13"/>
    </row>
    <row r="761" customFormat="false" ht="15" hidden="false" customHeight="true" outlineLevel="0" collapsed="false">
      <c r="A761" s="13"/>
      <c r="B761" s="14"/>
      <c r="C761" s="15"/>
      <c r="D761" s="16"/>
      <c r="E761" s="13" t="str">
        <f aca="false">IF(D761="","",IFERROR(INDEX('Plan de Cuentas'!$B$5:$B$1241,MATCH(D761,'Plan de Cuentas'!$A$5:$A$1241,0)),"No encontrado"))</f>
        <v/>
      </c>
      <c r="F761" s="16"/>
      <c r="G761" s="13" t="str">
        <f aca="false">IF(F761="","",IFERROR(INDEX('Plan de Cuentas'!$B$5:$B$1241,MATCH(F761,'Plan de Cuentas'!$A$5:$A$1241,0)),"No encontrado"))</f>
        <v/>
      </c>
      <c r="H761" s="17"/>
      <c r="I761" s="13"/>
    </row>
    <row r="762" customFormat="false" ht="15" hidden="false" customHeight="true" outlineLevel="0" collapsed="false">
      <c r="A762" s="13"/>
      <c r="B762" s="14"/>
      <c r="C762" s="15"/>
      <c r="D762" s="16"/>
      <c r="E762" s="13" t="str">
        <f aca="false">IF(D762="","",IFERROR(INDEX('Plan de Cuentas'!$B$5:$B$1241,MATCH(D762,'Plan de Cuentas'!$A$5:$A$1241,0)),"No encontrado"))</f>
        <v/>
      </c>
      <c r="F762" s="16"/>
      <c r="G762" s="13" t="str">
        <f aca="false">IF(F762="","",IFERROR(INDEX('Plan de Cuentas'!$B$5:$B$1241,MATCH(F762,'Plan de Cuentas'!$A$5:$A$1241,0)),"No encontrado"))</f>
        <v/>
      </c>
      <c r="H762" s="17"/>
      <c r="I762" s="13"/>
    </row>
    <row r="763" customFormat="false" ht="15" hidden="false" customHeight="true" outlineLevel="0" collapsed="false">
      <c r="A763" s="13"/>
      <c r="B763" s="14"/>
      <c r="C763" s="15"/>
      <c r="D763" s="16"/>
      <c r="E763" s="13" t="str">
        <f aca="false">IF(D763="","",IFERROR(INDEX('Plan de Cuentas'!$B$5:$B$1241,MATCH(D763,'Plan de Cuentas'!$A$5:$A$1241,0)),"No encontrado"))</f>
        <v/>
      </c>
      <c r="F763" s="16"/>
      <c r="G763" s="13" t="str">
        <f aca="false">IF(F763="","",IFERROR(INDEX('Plan de Cuentas'!$B$5:$B$1241,MATCH(F763,'Plan de Cuentas'!$A$5:$A$1241,0)),"No encontrado"))</f>
        <v/>
      </c>
      <c r="H763" s="17"/>
      <c r="I763" s="13"/>
    </row>
    <row r="764" customFormat="false" ht="15" hidden="false" customHeight="true" outlineLevel="0" collapsed="false">
      <c r="A764" s="13"/>
      <c r="B764" s="14"/>
      <c r="C764" s="15"/>
      <c r="D764" s="16"/>
      <c r="E764" s="13" t="str">
        <f aca="false">IF(D764="","",IFERROR(INDEX('Plan de Cuentas'!$B$5:$B$1241,MATCH(D764,'Plan de Cuentas'!$A$5:$A$1241,0)),"No encontrado"))</f>
        <v/>
      </c>
      <c r="F764" s="16"/>
      <c r="G764" s="13" t="str">
        <f aca="false">IF(F764="","",IFERROR(INDEX('Plan de Cuentas'!$B$5:$B$1241,MATCH(F764,'Plan de Cuentas'!$A$5:$A$1241,0)),"No encontrado"))</f>
        <v/>
      </c>
      <c r="H764" s="17"/>
      <c r="I764" s="13"/>
    </row>
    <row r="765" customFormat="false" ht="15" hidden="false" customHeight="true" outlineLevel="0" collapsed="false">
      <c r="A765" s="13"/>
      <c r="B765" s="14"/>
      <c r="C765" s="15"/>
      <c r="D765" s="16"/>
      <c r="E765" s="13" t="str">
        <f aca="false">IF(D765="","",IFERROR(INDEX('Plan de Cuentas'!$B$5:$B$1241,MATCH(D765,'Plan de Cuentas'!$A$5:$A$1241,0)),"No encontrado"))</f>
        <v/>
      </c>
      <c r="F765" s="16"/>
      <c r="G765" s="13" t="str">
        <f aca="false">IF(F765="","",IFERROR(INDEX('Plan de Cuentas'!$B$5:$B$1241,MATCH(F765,'Plan de Cuentas'!$A$5:$A$1241,0)),"No encontrado"))</f>
        <v/>
      </c>
      <c r="H765" s="17"/>
      <c r="I765" s="13"/>
    </row>
    <row r="766" customFormat="false" ht="15" hidden="false" customHeight="true" outlineLevel="0" collapsed="false">
      <c r="A766" s="13"/>
      <c r="B766" s="14"/>
      <c r="C766" s="15"/>
      <c r="D766" s="16"/>
      <c r="E766" s="13" t="str">
        <f aca="false">IF(D766="","",IFERROR(INDEX('Plan de Cuentas'!$B$5:$B$1241,MATCH(D766,'Plan de Cuentas'!$A$5:$A$1241,0)),"No encontrado"))</f>
        <v/>
      </c>
      <c r="F766" s="16"/>
      <c r="G766" s="13" t="str">
        <f aca="false">IF(F766="","",IFERROR(INDEX('Plan de Cuentas'!$B$5:$B$1241,MATCH(F766,'Plan de Cuentas'!$A$5:$A$1241,0)),"No encontrado"))</f>
        <v/>
      </c>
      <c r="H766" s="17"/>
      <c r="I766" s="13"/>
    </row>
    <row r="767" customFormat="false" ht="15" hidden="false" customHeight="true" outlineLevel="0" collapsed="false">
      <c r="A767" s="13"/>
      <c r="B767" s="14"/>
      <c r="C767" s="15"/>
      <c r="D767" s="16"/>
      <c r="E767" s="13" t="str">
        <f aca="false">IF(D767="","",IFERROR(INDEX('Plan de Cuentas'!$B$5:$B$1241,MATCH(D767,'Plan de Cuentas'!$A$5:$A$1241,0)),"No encontrado"))</f>
        <v/>
      </c>
      <c r="F767" s="16"/>
      <c r="G767" s="13" t="str">
        <f aca="false">IF(F767="","",IFERROR(INDEX('Plan de Cuentas'!$B$5:$B$1241,MATCH(F767,'Plan de Cuentas'!$A$5:$A$1241,0)),"No encontrado"))</f>
        <v/>
      </c>
      <c r="H767" s="17"/>
      <c r="I767" s="13"/>
    </row>
    <row r="768" customFormat="false" ht="15" hidden="false" customHeight="true" outlineLevel="0" collapsed="false">
      <c r="A768" s="13"/>
      <c r="B768" s="14"/>
      <c r="C768" s="15"/>
      <c r="D768" s="16"/>
      <c r="E768" s="13" t="str">
        <f aca="false">IF(D768="","",IFERROR(INDEX('Plan de Cuentas'!$B$5:$B$1241,MATCH(D768,'Plan de Cuentas'!$A$5:$A$1241,0)),"No encontrado"))</f>
        <v/>
      </c>
      <c r="F768" s="16"/>
      <c r="G768" s="13" t="str">
        <f aca="false">IF(F768="","",IFERROR(INDEX('Plan de Cuentas'!$B$5:$B$1241,MATCH(F768,'Plan de Cuentas'!$A$5:$A$1241,0)),"No encontrado"))</f>
        <v/>
      </c>
      <c r="H768" s="17"/>
      <c r="I768" s="13"/>
    </row>
    <row r="769" customFormat="false" ht="15" hidden="false" customHeight="true" outlineLevel="0" collapsed="false">
      <c r="A769" s="13"/>
      <c r="B769" s="14"/>
      <c r="C769" s="15"/>
      <c r="D769" s="16"/>
      <c r="E769" s="13" t="str">
        <f aca="false">IF(D769="","",IFERROR(INDEX('Plan de Cuentas'!$B$5:$B$1241,MATCH(D769,'Plan de Cuentas'!$A$5:$A$1241,0)),"No encontrado"))</f>
        <v/>
      </c>
      <c r="F769" s="16"/>
      <c r="G769" s="13" t="str">
        <f aca="false">IF(F769="","",IFERROR(INDEX('Plan de Cuentas'!$B$5:$B$1241,MATCH(F769,'Plan de Cuentas'!$A$5:$A$1241,0)),"No encontrado"))</f>
        <v/>
      </c>
      <c r="H769" s="17"/>
      <c r="I769" s="13"/>
    </row>
    <row r="770" customFormat="false" ht="15" hidden="false" customHeight="true" outlineLevel="0" collapsed="false">
      <c r="A770" s="13"/>
      <c r="B770" s="14"/>
      <c r="C770" s="15"/>
      <c r="D770" s="16"/>
      <c r="E770" s="13" t="str">
        <f aca="false">IF(D770="","",IFERROR(INDEX('Plan de Cuentas'!$B$5:$B$1241,MATCH(D770,'Plan de Cuentas'!$A$5:$A$1241,0)),"No encontrado"))</f>
        <v/>
      </c>
      <c r="F770" s="16"/>
      <c r="G770" s="13" t="str">
        <f aca="false">IF(F770="","",IFERROR(INDEX('Plan de Cuentas'!$B$5:$B$1241,MATCH(F770,'Plan de Cuentas'!$A$5:$A$1241,0)),"No encontrado"))</f>
        <v/>
      </c>
      <c r="H770" s="17"/>
      <c r="I770" s="13"/>
    </row>
    <row r="771" customFormat="false" ht="15" hidden="false" customHeight="true" outlineLevel="0" collapsed="false">
      <c r="A771" s="13"/>
      <c r="B771" s="14"/>
      <c r="C771" s="15"/>
      <c r="D771" s="16"/>
      <c r="E771" s="13" t="str">
        <f aca="false">IF(D771="","",IFERROR(INDEX('Plan de Cuentas'!$B$5:$B$1241,MATCH(D771,'Plan de Cuentas'!$A$5:$A$1241,0)),"No encontrado"))</f>
        <v/>
      </c>
      <c r="F771" s="16"/>
      <c r="G771" s="13" t="str">
        <f aca="false">IF(F771="","",IFERROR(INDEX('Plan de Cuentas'!$B$5:$B$1241,MATCH(F771,'Plan de Cuentas'!$A$5:$A$1241,0)),"No encontrado"))</f>
        <v/>
      </c>
      <c r="H771" s="17"/>
      <c r="I771" s="13"/>
    </row>
    <row r="772" customFormat="false" ht="15" hidden="false" customHeight="true" outlineLevel="0" collapsed="false">
      <c r="A772" s="13"/>
      <c r="B772" s="14"/>
      <c r="C772" s="15"/>
      <c r="D772" s="16"/>
      <c r="E772" s="13" t="str">
        <f aca="false">IF(D772="","",IFERROR(INDEX('Plan de Cuentas'!$B$5:$B$1241,MATCH(D772,'Plan de Cuentas'!$A$5:$A$1241,0)),"No encontrado"))</f>
        <v/>
      </c>
      <c r="F772" s="16"/>
      <c r="G772" s="13" t="str">
        <f aca="false">IF(F772="","",IFERROR(INDEX('Plan de Cuentas'!$B$5:$B$1241,MATCH(F772,'Plan de Cuentas'!$A$5:$A$1241,0)),"No encontrado"))</f>
        <v/>
      </c>
      <c r="H772" s="17"/>
      <c r="I772" s="13"/>
    </row>
    <row r="773" customFormat="false" ht="15" hidden="false" customHeight="true" outlineLevel="0" collapsed="false">
      <c r="A773" s="13"/>
      <c r="B773" s="14"/>
      <c r="C773" s="15"/>
      <c r="D773" s="16"/>
      <c r="E773" s="13" t="str">
        <f aca="false">IF(D773="","",IFERROR(INDEX('Plan de Cuentas'!$B$5:$B$1241,MATCH(D773,'Plan de Cuentas'!$A$5:$A$1241,0)),"No encontrado"))</f>
        <v/>
      </c>
      <c r="F773" s="16"/>
      <c r="G773" s="13" t="str">
        <f aca="false">IF(F773="","",IFERROR(INDEX('Plan de Cuentas'!$B$5:$B$1241,MATCH(F773,'Plan de Cuentas'!$A$5:$A$1241,0)),"No encontrado"))</f>
        <v/>
      </c>
      <c r="H773" s="17"/>
      <c r="I773" s="13"/>
    </row>
    <row r="774" customFormat="false" ht="15" hidden="false" customHeight="true" outlineLevel="0" collapsed="false">
      <c r="A774" s="13"/>
      <c r="B774" s="14"/>
      <c r="C774" s="15"/>
      <c r="D774" s="16"/>
      <c r="E774" s="13" t="str">
        <f aca="false">IF(D774="","",IFERROR(INDEX('Plan de Cuentas'!$B$5:$B$1241,MATCH(D774,'Plan de Cuentas'!$A$5:$A$1241,0)),"No encontrado"))</f>
        <v/>
      </c>
      <c r="F774" s="16"/>
      <c r="G774" s="13" t="str">
        <f aca="false">IF(F774="","",IFERROR(INDEX('Plan de Cuentas'!$B$5:$B$1241,MATCH(F774,'Plan de Cuentas'!$A$5:$A$1241,0)),"No encontrado"))</f>
        <v/>
      </c>
      <c r="H774" s="17"/>
      <c r="I774" s="13"/>
    </row>
    <row r="775" customFormat="false" ht="15" hidden="false" customHeight="true" outlineLevel="0" collapsed="false">
      <c r="A775" s="13"/>
      <c r="B775" s="14"/>
      <c r="C775" s="15"/>
      <c r="D775" s="16"/>
      <c r="E775" s="13" t="str">
        <f aca="false">IF(D775="","",IFERROR(INDEX('Plan de Cuentas'!$B$5:$B$1241,MATCH(D775,'Plan de Cuentas'!$A$5:$A$1241,0)),"No encontrado"))</f>
        <v/>
      </c>
      <c r="F775" s="16"/>
      <c r="G775" s="13" t="str">
        <f aca="false">IF(F775="","",IFERROR(INDEX('Plan de Cuentas'!$B$5:$B$1241,MATCH(F775,'Plan de Cuentas'!$A$5:$A$1241,0)),"No encontrado"))</f>
        <v/>
      </c>
      <c r="H775" s="17"/>
      <c r="I775" s="13"/>
    </row>
    <row r="776" customFormat="false" ht="15" hidden="false" customHeight="true" outlineLevel="0" collapsed="false">
      <c r="A776" s="13"/>
      <c r="B776" s="14"/>
      <c r="C776" s="15"/>
      <c r="D776" s="16"/>
      <c r="E776" s="13" t="str">
        <f aca="false">IF(D776="","",IFERROR(INDEX('Plan de Cuentas'!$B$5:$B$1241,MATCH(D776,'Plan de Cuentas'!$A$5:$A$1241,0)),"No encontrado"))</f>
        <v/>
      </c>
      <c r="F776" s="16"/>
      <c r="G776" s="13" t="str">
        <f aca="false">IF(F776="","",IFERROR(INDEX('Plan de Cuentas'!$B$5:$B$1241,MATCH(F776,'Plan de Cuentas'!$A$5:$A$1241,0)),"No encontrado"))</f>
        <v/>
      </c>
      <c r="H776" s="17"/>
      <c r="I776" s="13"/>
    </row>
    <row r="777" customFormat="false" ht="15" hidden="false" customHeight="true" outlineLevel="0" collapsed="false">
      <c r="A777" s="13"/>
      <c r="B777" s="14"/>
      <c r="C777" s="15"/>
      <c r="D777" s="16"/>
      <c r="E777" s="13" t="str">
        <f aca="false">IF(D777="","",IFERROR(INDEX('Plan de Cuentas'!$B$5:$B$1241,MATCH(D777,'Plan de Cuentas'!$A$5:$A$1241,0)),"No encontrado"))</f>
        <v/>
      </c>
      <c r="F777" s="16"/>
      <c r="G777" s="13" t="str">
        <f aca="false">IF(F777="","",IFERROR(INDEX('Plan de Cuentas'!$B$5:$B$1241,MATCH(F777,'Plan de Cuentas'!$A$5:$A$1241,0)),"No encontrado"))</f>
        <v/>
      </c>
      <c r="H777" s="17"/>
      <c r="I777" s="13"/>
    </row>
    <row r="778" customFormat="false" ht="15" hidden="false" customHeight="true" outlineLevel="0" collapsed="false">
      <c r="A778" s="13"/>
      <c r="B778" s="14"/>
      <c r="C778" s="15"/>
      <c r="D778" s="16"/>
      <c r="E778" s="13" t="str">
        <f aca="false">IF(D778="","",IFERROR(INDEX('Plan de Cuentas'!$B$5:$B$1241,MATCH(D778,'Plan de Cuentas'!$A$5:$A$1241,0)),"No encontrado"))</f>
        <v/>
      </c>
      <c r="F778" s="16"/>
      <c r="G778" s="13" t="str">
        <f aca="false">IF(F778="","",IFERROR(INDEX('Plan de Cuentas'!$B$5:$B$1241,MATCH(F778,'Plan de Cuentas'!$A$5:$A$1241,0)),"No encontrado"))</f>
        <v/>
      </c>
      <c r="H778" s="17"/>
      <c r="I778" s="13"/>
    </row>
    <row r="779" customFormat="false" ht="15" hidden="false" customHeight="true" outlineLevel="0" collapsed="false">
      <c r="A779" s="13"/>
      <c r="B779" s="14"/>
      <c r="C779" s="15"/>
      <c r="D779" s="16"/>
      <c r="E779" s="13" t="str">
        <f aca="false">IF(D779="","",IFERROR(INDEX('Plan de Cuentas'!$B$5:$B$1241,MATCH(D779,'Plan de Cuentas'!$A$5:$A$1241,0)),"No encontrado"))</f>
        <v/>
      </c>
      <c r="F779" s="16"/>
      <c r="G779" s="13" t="str">
        <f aca="false">IF(F779="","",IFERROR(INDEX('Plan de Cuentas'!$B$5:$B$1241,MATCH(F779,'Plan de Cuentas'!$A$5:$A$1241,0)),"No encontrado"))</f>
        <v/>
      </c>
      <c r="H779" s="17"/>
      <c r="I779" s="13"/>
    </row>
    <row r="780" customFormat="false" ht="15" hidden="false" customHeight="true" outlineLevel="0" collapsed="false">
      <c r="A780" s="13"/>
      <c r="B780" s="14"/>
      <c r="C780" s="15"/>
      <c r="D780" s="16"/>
      <c r="E780" s="13" t="str">
        <f aca="false">IF(D780="","",IFERROR(INDEX('Plan de Cuentas'!$B$5:$B$1241,MATCH(D780,'Plan de Cuentas'!$A$5:$A$1241,0)),"No encontrado"))</f>
        <v/>
      </c>
      <c r="F780" s="16"/>
      <c r="G780" s="13" t="str">
        <f aca="false">IF(F780="","",IFERROR(INDEX('Plan de Cuentas'!$B$5:$B$1241,MATCH(F780,'Plan de Cuentas'!$A$5:$A$1241,0)),"No encontrado"))</f>
        <v/>
      </c>
      <c r="H780" s="17"/>
      <c r="I780" s="13"/>
    </row>
    <row r="781" customFormat="false" ht="15" hidden="false" customHeight="true" outlineLevel="0" collapsed="false">
      <c r="A781" s="13"/>
      <c r="B781" s="14"/>
      <c r="C781" s="15"/>
      <c r="D781" s="16"/>
      <c r="E781" s="13" t="str">
        <f aca="false">IF(D781="","",IFERROR(INDEX('Plan de Cuentas'!$B$5:$B$1241,MATCH(D781,'Plan de Cuentas'!$A$5:$A$1241,0)),"No encontrado"))</f>
        <v/>
      </c>
      <c r="F781" s="16"/>
      <c r="G781" s="13" t="str">
        <f aca="false">IF(F781="","",IFERROR(INDEX('Plan de Cuentas'!$B$5:$B$1241,MATCH(F781,'Plan de Cuentas'!$A$5:$A$1241,0)),"No encontrado"))</f>
        <v/>
      </c>
      <c r="H781" s="17"/>
      <c r="I781" s="13"/>
    </row>
    <row r="782" customFormat="false" ht="15" hidden="false" customHeight="true" outlineLevel="0" collapsed="false">
      <c r="A782" s="13"/>
      <c r="B782" s="14"/>
      <c r="C782" s="15"/>
      <c r="D782" s="16"/>
      <c r="E782" s="13" t="str">
        <f aca="false">IF(D782="","",IFERROR(INDEX('Plan de Cuentas'!$B$5:$B$1241,MATCH(D782,'Plan de Cuentas'!$A$5:$A$1241,0)),"No encontrado"))</f>
        <v/>
      </c>
      <c r="F782" s="16"/>
      <c r="G782" s="13" t="str">
        <f aca="false">IF(F782="","",IFERROR(INDEX('Plan de Cuentas'!$B$5:$B$1241,MATCH(F782,'Plan de Cuentas'!$A$5:$A$1241,0)),"No encontrado"))</f>
        <v/>
      </c>
      <c r="H782" s="17"/>
      <c r="I782" s="13"/>
    </row>
    <row r="783" customFormat="false" ht="15" hidden="false" customHeight="true" outlineLevel="0" collapsed="false">
      <c r="A783" s="13"/>
      <c r="B783" s="14"/>
      <c r="C783" s="15"/>
      <c r="D783" s="16"/>
      <c r="E783" s="13" t="str">
        <f aca="false">IF(D783="","",IFERROR(INDEX('Plan de Cuentas'!$B$5:$B$1241,MATCH(D783,'Plan de Cuentas'!$A$5:$A$1241,0)),"No encontrado"))</f>
        <v/>
      </c>
      <c r="F783" s="16"/>
      <c r="G783" s="13" t="str">
        <f aca="false">IF(F783="","",IFERROR(INDEX('Plan de Cuentas'!$B$5:$B$1241,MATCH(F783,'Plan de Cuentas'!$A$5:$A$1241,0)),"No encontrado"))</f>
        <v/>
      </c>
      <c r="H783" s="17"/>
      <c r="I783" s="13"/>
    </row>
    <row r="784" customFormat="false" ht="15" hidden="false" customHeight="true" outlineLevel="0" collapsed="false">
      <c r="A784" s="13"/>
      <c r="B784" s="14"/>
      <c r="C784" s="15"/>
      <c r="D784" s="16"/>
      <c r="E784" s="13" t="str">
        <f aca="false">IF(D784="","",IFERROR(INDEX('Plan de Cuentas'!$B$5:$B$1241,MATCH(D784,'Plan de Cuentas'!$A$5:$A$1241,0)),"No encontrado"))</f>
        <v/>
      </c>
      <c r="F784" s="16"/>
      <c r="G784" s="13" t="str">
        <f aca="false">IF(F784="","",IFERROR(INDEX('Plan de Cuentas'!$B$5:$B$1241,MATCH(F784,'Plan de Cuentas'!$A$5:$A$1241,0)),"No encontrado"))</f>
        <v/>
      </c>
      <c r="H784" s="17"/>
      <c r="I784" s="13"/>
    </row>
    <row r="785" customFormat="false" ht="15" hidden="false" customHeight="true" outlineLevel="0" collapsed="false">
      <c r="A785" s="13"/>
      <c r="B785" s="14"/>
      <c r="C785" s="15"/>
      <c r="D785" s="16"/>
      <c r="E785" s="13" t="str">
        <f aca="false">IF(D785="","",IFERROR(INDEX('Plan de Cuentas'!$B$5:$B$1241,MATCH(D785,'Plan de Cuentas'!$A$5:$A$1241,0)),"No encontrado"))</f>
        <v/>
      </c>
      <c r="F785" s="16"/>
      <c r="G785" s="13" t="str">
        <f aca="false">IF(F785="","",IFERROR(INDEX('Plan de Cuentas'!$B$5:$B$1241,MATCH(F785,'Plan de Cuentas'!$A$5:$A$1241,0)),"No encontrado"))</f>
        <v/>
      </c>
      <c r="H785" s="17"/>
      <c r="I785" s="13"/>
    </row>
    <row r="786" customFormat="false" ht="15" hidden="false" customHeight="true" outlineLevel="0" collapsed="false">
      <c r="A786" s="13"/>
      <c r="B786" s="14"/>
      <c r="C786" s="15"/>
      <c r="D786" s="16"/>
      <c r="E786" s="13" t="str">
        <f aca="false">IF(D786="","",IFERROR(INDEX('Plan de Cuentas'!$B$5:$B$1241,MATCH(D786,'Plan de Cuentas'!$A$5:$A$1241,0)),"No encontrado"))</f>
        <v/>
      </c>
      <c r="F786" s="16"/>
      <c r="G786" s="13" t="str">
        <f aca="false">IF(F786="","",IFERROR(INDEX('Plan de Cuentas'!$B$5:$B$1241,MATCH(F786,'Plan de Cuentas'!$A$5:$A$1241,0)),"No encontrado"))</f>
        <v/>
      </c>
      <c r="H786" s="17"/>
      <c r="I786" s="13"/>
    </row>
    <row r="787" customFormat="false" ht="15" hidden="false" customHeight="true" outlineLevel="0" collapsed="false">
      <c r="A787" s="13"/>
      <c r="B787" s="14"/>
      <c r="C787" s="15"/>
      <c r="D787" s="16"/>
      <c r="E787" s="13" t="str">
        <f aca="false">IF(D787="","",IFERROR(INDEX('Plan de Cuentas'!$B$5:$B$1241,MATCH(D787,'Plan de Cuentas'!$A$5:$A$1241,0)),"No encontrado"))</f>
        <v/>
      </c>
      <c r="F787" s="16"/>
      <c r="G787" s="13" t="str">
        <f aca="false">IF(F787="","",IFERROR(INDEX('Plan de Cuentas'!$B$5:$B$1241,MATCH(F787,'Plan de Cuentas'!$A$5:$A$1241,0)),"No encontrado"))</f>
        <v/>
      </c>
      <c r="H787" s="17"/>
      <c r="I787" s="13"/>
    </row>
    <row r="788" customFormat="false" ht="15" hidden="false" customHeight="true" outlineLevel="0" collapsed="false">
      <c r="A788" s="13"/>
      <c r="B788" s="14"/>
      <c r="C788" s="15"/>
      <c r="D788" s="16"/>
      <c r="E788" s="13" t="str">
        <f aca="false">IF(D788="","",IFERROR(INDEX('Plan de Cuentas'!$B$5:$B$1241,MATCH(D788,'Plan de Cuentas'!$A$5:$A$1241,0)),"No encontrado"))</f>
        <v/>
      </c>
      <c r="F788" s="16"/>
      <c r="G788" s="13" t="str">
        <f aca="false">IF(F788="","",IFERROR(INDEX('Plan de Cuentas'!$B$5:$B$1241,MATCH(F788,'Plan de Cuentas'!$A$5:$A$1241,0)),"No encontrado"))</f>
        <v/>
      </c>
      <c r="H788" s="17"/>
      <c r="I788" s="13"/>
    </row>
    <row r="789" customFormat="false" ht="15" hidden="false" customHeight="true" outlineLevel="0" collapsed="false">
      <c r="A789" s="13"/>
      <c r="B789" s="14"/>
      <c r="C789" s="15"/>
      <c r="D789" s="16"/>
      <c r="E789" s="13" t="str">
        <f aca="false">IF(D789="","",IFERROR(INDEX('Plan de Cuentas'!$B$5:$B$1241,MATCH(D789,'Plan de Cuentas'!$A$5:$A$1241,0)),"No encontrado"))</f>
        <v/>
      </c>
      <c r="F789" s="16"/>
      <c r="G789" s="13" t="str">
        <f aca="false">IF(F789="","",IFERROR(INDEX('Plan de Cuentas'!$B$5:$B$1241,MATCH(F789,'Plan de Cuentas'!$A$5:$A$1241,0)),"No encontrado"))</f>
        <v/>
      </c>
      <c r="H789" s="17"/>
      <c r="I789" s="13"/>
    </row>
    <row r="790" customFormat="false" ht="15" hidden="false" customHeight="true" outlineLevel="0" collapsed="false">
      <c r="A790" s="13"/>
      <c r="B790" s="14"/>
      <c r="C790" s="15"/>
      <c r="D790" s="16"/>
      <c r="E790" s="13" t="str">
        <f aca="false">IF(D790="","",IFERROR(INDEX('Plan de Cuentas'!$B$5:$B$1241,MATCH(D790,'Plan de Cuentas'!$A$5:$A$1241,0)),"No encontrado"))</f>
        <v/>
      </c>
      <c r="F790" s="16"/>
      <c r="G790" s="13" t="str">
        <f aca="false">IF(F790="","",IFERROR(INDEX('Plan de Cuentas'!$B$5:$B$1241,MATCH(F790,'Plan de Cuentas'!$A$5:$A$1241,0)),"No encontrado"))</f>
        <v/>
      </c>
      <c r="H790" s="17"/>
      <c r="I790" s="13"/>
    </row>
    <row r="791" customFormat="false" ht="15" hidden="false" customHeight="true" outlineLevel="0" collapsed="false">
      <c r="A791" s="13"/>
      <c r="B791" s="14"/>
      <c r="C791" s="15"/>
      <c r="D791" s="16"/>
      <c r="E791" s="13" t="str">
        <f aca="false">IF(D791="","",IFERROR(INDEX('Plan de Cuentas'!$B$5:$B$1241,MATCH(D791,'Plan de Cuentas'!$A$5:$A$1241,0)),"No encontrado"))</f>
        <v/>
      </c>
      <c r="F791" s="16"/>
      <c r="G791" s="13" t="str">
        <f aca="false">IF(F791="","",IFERROR(INDEX('Plan de Cuentas'!$B$5:$B$1241,MATCH(F791,'Plan de Cuentas'!$A$5:$A$1241,0)),"No encontrado"))</f>
        <v/>
      </c>
      <c r="H791" s="17"/>
      <c r="I791" s="13"/>
    </row>
    <row r="792" customFormat="false" ht="15" hidden="false" customHeight="true" outlineLevel="0" collapsed="false">
      <c r="A792" s="13"/>
      <c r="B792" s="14"/>
      <c r="C792" s="15"/>
      <c r="D792" s="16"/>
      <c r="E792" s="13" t="str">
        <f aca="false">IF(D792="","",IFERROR(INDEX('Plan de Cuentas'!$B$5:$B$1241,MATCH(D792,'Plan de Cuentas'!$A$5:$A$1241,0)),"No encontrado"))</f>
        <v/>
      </c>
      <c r="F792" s="16"/>
      <c r="G792" s="13" t="str">
        <f aca="false">IF(F792="","",IFERROR(INDEX('Plan de Cuentas'!$B$5:$B$1241,MATCH(F792,'Plan de Cuentas'!$A$5:$A$1241,0)),"No encontrado"))</f>
        <v/>
      </c>
      <c r="H792" s="17"/>
      <c r="I792" s="13"/>
    </row>
    <row r="793" customFormat="false" ht="15" hidden="false" customHeight="true" outlineLevel="0" collapsed="false">
      <c r="A793" s="13"/>
      <c r="B793" s="14"/>
      <c r="C793" s="15"/>
      <c r="D793" s="16"/>
      <c r="E793" s="13" t="str">
        <f aca="false">IF(D793="","",IFERROR(INDEX('Plan de Cuentas'!$B$5:$B$1241,MATCH(D793,'Plan de Cuentas'!$A$5:$A$1241,0)),"No encontrado"))</f>
        <v/>
      </c>
      <c r="F793" s="16"/>
      <c r="G793" s="13" t="str">
        <f aca="false">IF(F793="","",IFERROR(INDEX('Plan de Cuentas'!$B$5:$B$1241,MATCH(F793,'Plan de Cuentas'!$A$5:$A$1241,0)),"No encontrado"))</f>
        <v/>
      </c>
      <c r="H793" s="17"/>
      <c r="I793" s="13"/>
    </row>
    <row r="794" customFormat="false" ht="15" hidden="false" customHeight="true" outlineLevel="0" collapsed="false">
      <c r="A794" s="13"/>
      <c r="B794" s="14"/>
      <c r="C794" s="15"/>
      <c r="D794" s="16"/>
      <c r="E794" s="13" t="str">
        <f aca="false">IF(D794="","",IFERROR(INDEX('Plan de Cuentas'!$B$5:$B$1241,MATCH(D794,'Plan de Cuentas'!$A$5:$A$1241,0)),"No encontrado"))</f>
        <v/>
      </c>
      <c r="F794" s="16"/>
      <c r="G794" s="13" t="str">
        <f aca="false">IF(F794="","",IFERROR(INDEX('Plan de Cuentas'!$B$5:$B$1241,MATCH(F794,'Plan de Cuentas'!$A$5:$A$1241,0)),"No encontrado"))</f>
        <v/>
      </c>
      <c r="H794" s="17"/>
      <c r="I794" s="13"/>
    </row>
    <row r="795" customFormat="false" ht="15" hidden="false" customHeight="true" outlineLevel="0" collapsed="false">
      <c r="A795" s="13"/>
      <c r="B795" s="14"/>
      <c r="C795" s="15"/>
      <c r="D795" s="16"/>
      <c r="E795" s="13" t="str">
        <f aca="false">IF(D795="","",IFERROR(INDEX('Plan de Cuentas'!$B$5:$B$1241,MATCH(D795,'Plan de Cuentas'!$A$5:$A$1241,0)),"No encontrado"))</f>
        <v/>
      </c>
      <c r="F795" s="16"/>
      <c r="G795" s="13" t="str">
        <f aca="false">IF(F795="","",IFERROR(INDEX('Plan de Cuentas'!$B$5:$B$1241,MATCH(F795,'Plan de Cuentas'!$A$5:$A$1241,0)),"No encontrado"))</f>
        <v/>
      </c>
      <c r="H795" s="17"/>
      <c r="I795" s="13"/>
    </row>
    <row r="796" customFormat="false" ht="15" hidden="false" customHeight="true" outlineLevel="0" collapsed="false">
      <c r="A796" s="13"/>
      <c r="B796" s="14"/>
      <c r="C796" s="15"/>
      <c r="D796" s="16"/>
      <c r="E796" s="13" t="str">
        <f aca="false">IF(D796="","",IFERROR(INDEX('Plan de Cuentas'!$B$5:$B$1241,MATCH(D796,'Plan de Cuentas'!$A$5:$A$1241,0)),"No encontrado"))</f>
        <v/>
      </c>
      <c r="F796" s="16"/>
      <c r="G796" s="13" t="str">
        <f aca="false">IF(F796="","",IFERROR(INDEX('Plan de Cuentas'!$B$5:$B$1241,MATCH(F796,'Plan de Cuentas'!$A$5:$A$1241,0)),"No encontrado"))</f>
        <v/>
      </c>
      <c r="H796" s="17"/>
      <c r="I796" s="13"/>
    </row>
    <row r="797" customFormat="false" ht="15" hidden="false" customHeight="true" outlineLevel="0" collapsed="false">
      <c r="A797" s="13"/>
      <c r="B797" s="14"/>
      <c r="C797" s="15"/>
      <c r="D797" s="16"/>
      <c r="E797" s="13" t="str">
        <f aca="false">IF(D797="","",IFERROR(INDEX('Plan de Cuentas'!$B$5:$B$1241,MATCH(D797,'Plan de Cuentas'!$A$5:$A$1241,0)),"No encontrado"))</f>
        <v/>
      </c>
      <c r="F797" s="16"/>
      <c r="G797" s="13" t="str">
        <f aca="false">IF(F797="","",IFERROR(INDEX('Plan de Cuentas'!$B$5:$B$1241,MATCH(F797,'Plan de Cuentas'!$A$5:$A$1241,0)),"No encontrado"))</f>
        <v/>
      </c>
      <c r="H797" s="17"/>
      <c r="I797" s="13"/>
    </row>
    <row r="798" customFormat="false" ht="15" hidden="false" customHeight="true" outlineLevel="0" collapsed="false">
      <c r="A798" s="13"/>
      <c r="B798" s="14"/>
      <c r="C798" s="15"/>
      <c r="D798" s="16"/>
      <c r="E798" s="13" t="str">
        <f aca="false">IF(D798="","",IFERROR(INDEX('Plan de Cuentas'!$B$5:$B$1241,MATCH(D798,'Plan de Cuentas'!$A$5:$A$1241,0)),"No encontrado"))</f>
        <v/>
      </c>
      <c r="F798" s="16"/>
      <c r="G798" s="13" t="str">
        <f aca="false">IF(F798="","",IFERROR(INDEX('Plan de Cuentas'!$B$5:$B$1241,MATCH(F798,'Plan de Cuentas'!$A$5:$A$1241,0)),"No encontrado"))</f>
        <v/>
      </c>
      <c r="H798" s="17"/>
      <c r="I798" s="13"/>
    </row>
    <row r="799" customFormat="false" ht="15" hidden="false" customHeight="true" outlineLevel="0" collapsed="false">
      <c r="A799" s="13"/>
      <c r="B799" s="14"/>
      <c r="C799" s="15"/>
      <c r="D799" s="16"/>
      <c r="E799" s="13" t="str">
        <f aca="false">IF(D799="","",IFERROR(INDEX('Plan de Cuentas'!$B$5:$B$1241,MATCH(D799,'Plan de Cuentas'!$A$5:$A$1241,0)),"No encontrado"))</f>
        <v/>
      </c>
      <c r="F799" s="16"/>
      <c r="G799" s="13" t="str">
        <f aca="false">IF(F799="","",IFERROR(INDEX('Plan de Cuentas'!$B$5:$B$1241,MATCH(F799,'Plan de Cuentas'!$A$5:$A$1241,0)),"No encontrado"))</f>
        <v/>
      </c>
      <c r="H799" s="17"/>
      <c r="I799" s="13"/>
    </row>
    <row r="800" customFormat="false" ht="15" hidden="false" customHeight="true" outlineLevel="0" collapsed="false">
      <c r="A800" s="13"/>
      <c r="B800" s="14"/>
      <c r="C800" s="15"/>
      <c r="D800" s="16"/>
      <c r="E800" s="13" t="str">
        <f aca="false">IF(D800="","",IFERROR(INDEX('Plan de Cuentas'!$B$5:$B$1241,MATCH(D800,'Plan de Cuentas'!$A$5:$A$1241,0)),"No encontrado"))</f>
        <v/>
      </c>
      <c r="F800" s="16"/>
      <c r="G800" s="13" t="str">
        <f aca="false">IF(F800="","",IFERROR(INDEX('Plan de Cuentas'!$B$5:$B$1241,MATCH(F800,'Plan de Cuentas'!$A$5:$A$1241,0)),"No encontrado"))</f>
        <v/>
      </c>
      <c r="H800" s="17"/>
      <c r="I800" s="13"/>
    </row>
    <row r="801" customFormat="false" ht="15" hidden="false" customHeight="true" outlineLevel="0" collapsed="false">
      <c r="A801" s="13"/>
      <c r="B801" s="14"/>
      <c r="C801" s="15"/>
      <c r="D801" s="16"/>
      <c r="E801" s="13" t="str">
        <f aca="false">IF(D801="","",IFERROR(INDEX('Plan de Cuentas'!$B$5:$B$1241,MATCH(D801,'Plan de Cuentas'!$A$5:$A$1241,0)),"No encontrado"))</f>
        <v/>
      </c>
      <c r="F801" s="16"/>
      <c r="G801" s="13" t="str">
        <f aca="false">IF(F801="","",IFERROR(INDEX('Plan de Cuentas'!$B$5:$B$1241,MATCH(F801,'Plan de Cuentas'!$A$5:$A$1241,0)),"No encontrado"))</f>
        <v/>
      </c>
      <c r="H801" s="17"/>
      <c r="I801" s="13"/>
    </row>
    <row r="802" customFormat="false" ht="15" hidden="false" customHeight="true" outlineLevel="0" collapsed="false">
      <c r="A802" s="13"/>
      <c r="B802" s="14"/>
      <c r="C802" s="15"/>
      <c r="D802" s="16"/>
      <c r="E802" s="13" t="str">
        <f aca="false">IF(D802="","",IFERROR(INDEX('Plan de Cuentas'!$B$5:$B$1241,MATCH(D802,'Plan de Cuentas'!$A$5:$A$1241,0)),"No encontrado"))</f>
        <v/>
      </c>
      <c r="F802" s="16"/>
      <c r="G802" s="13" t="str">
        <f aca="false">IF(F802="","",IFERROR(INDEX('Plan de Cuentas'!$B$5:$B$1241,MATCH(F802,'Plan de Cuentas'!$A$5:$A$1241,0)),"No encontrado"))</f>
        <v/>
      </c>
      <c r="H802" s="17"/>
      <c r="I802" s="13"/>
    </row>
    <row r="803" customFormat="false" ht="15" hidden="false" customHeight="true" outlineLevel="0" collapsed="false">
      <c r="A803" s="13"/>
      <c r="B803" s="14"/>
      <c r="C803" s="15"/>
      <c r="D803" s="16"/>
      <c r="E803" s="13" t="str">
        <f aca="false">IF(D803="","",IFERROR(INDEX('Plan de Cuentas'!$B$5:$B$1241,MATCH(D803,'Plan de Cuentas'!$A$5:$A$1241,0)),"No encontrado"))</f>
        <v/>
      </c>
      <c r="F803" s="16"/>
      <c r="G803" s="13" t="str">
        <f aca="false">IF(F803="","",IFERROR(INDEX('Plan de Cuentas'!$B$5:$B$1241,MATCH(F803,'Plan de Cuentas'!$A$5:$A$1241,0)),"No encontrado"))</f>
        <v/>
      </c>
      <c r="H803" s="17"/>
      <c r="I803" s="13"/>
    </row>
    <row r="804" customFormat="false" ht="15" hidden="false" customHeight="true" outlineLevel="0" collapsed="false">
      <c r="A804" s="13"/>
      <c r="B804" s="14"/>
      <c r="C804" s="15"/>
      <c r="D804" s="16"/>
      <c r="E804" s="13" t="str">
        <f aca="false">IF(D804="","",IFERROR(INDEX('Plan de Cuentas'!$B$5:$B$1241,MATCH(D804,'Plan de Cuentas'!$A$5:$A$1241,0)),"No encontrado"))</f>
        <v/>
      </c>
      <c r="F804" s="16"/>
      <c r="G804" s="13" t="str">
        <f aca="false">IF(F804="","",IFERROR(INDEX('Plan de Cuentas'!$B$5:$B$1241,MATCH(F804,'Plan de Cuentas'!$A$5:$A$1241,0)),"No encontrado"))</f>
        <v/>
      </c>
      <c r="H804" s="17"/>
      <c r="I804" s="13"/>
    </row>
    <row r="805" customFormat="false" ht="15" hidden="false" customHeight="true" outlineLevel="0" collapsed="false">
      <c r="A805" s="13"/>
      <c r="B805" s="14"/>
      <c r="C805" s="15"/>
      <c r="D805" s="16"/>
      <c r="E805" s="13" t="str">
        <f aca="false">IF(D805="","",IFERROR(INDEX('Plan de Cuentas'!$B$5:$B$1241,MATCH(D805,'Plan de Cuentas'!$A$5:$A$1241,0)),"No encontrado"))</f>
        <v/>
      </c>
      <c r="F805" s="16"/>
      <c r="G805" s="13" t="str">
        <f aca="false">IF(F805="","",IFERROR(INDEX('Plan de Cuentas'!$B$5:$B$1241,MATCH(F805,'Plan de Cuentas'!$A$5:$A$1241,0)),"No encontrado"))</f>
        <v/>
      </c>
      <c r="H805" s="17"/>
      <c r="I805" s="13"/>
    </row>
    <row r="806" customFormat="false" ht="15" hidden="false" customHeight="true" outlineLevel="0" collapsed="false">
      <c r="A806" s="13"/>
      <c r="B806" s="14"/>
      <c r="C806" s="15"/>
      <c r="D806" s="16"/>
      <c r="E806" s="13" t="str">
        <f aca="false">IF(D806="","",IFERROR(INDEX('Plan de Cuentas'!$B$5:$B$1241,MATCH(D806,'Plan de Cuentas'!$A$5:$A$1241,0)),"No encontrado"))</f>
        <v/>
      </c>
      <c r="F806" s="16"/>
      <c r="G806" s="13" t="str">
        <f aca="false">IF(F806="","",IFERROR(INDEX('Plan de Cuentas'!$B$5:$B$1241,MATCH(F806,'Plan de Cuentas'!$A$5:$A$1241,0)),"No encontrado"))</f>
        <v/>
      </c>
      <c r="H806" s="17"/>
      <c r="I806" s="13"/>
    </row>
    <row r="807" customFormat="false" ht="15" hidden="false" customHeight="true" outlineLevel="0" collapsed="false">
      <c r="A807" s="13"/>
      <c r="B807" s="14"/>
      <c r="C807" s="15"/>
      <c r="D807" s="16"/>
      <c r="E807" s="13" t="str">
        <f aca="false">IF(D807="","",IFERROR(INDEX('Plan de Cuentas'!$B$5:$B$1241,MATCH(D807,'Plan de Cuentas'!$A$5:$A$1241,0)),"No encontrado"))</f>
        <v/>
      </c>
      <c r="F807" s="16"/>
      <c r="G807" s="13" t="str">
        <f aca="false">IF(F807="","",IFERROR(INDEX('Plan de Cuentas'!$B$5:$B$1241,MATCH(F807,'Plan de Cuentas'!$A$5:$A$1241,0)),"No encontrado"))</f>
        <v/>
      </c>
      <c r="H807" s="17"/>
      <c r="I807" s="13"/>
    </row>
    <row r="808" customFormat="false" ht="15" hidden="false" customHeight="true" outlineLevel="0" collapsed="false">
      <c r="A808" s="13"/>
      <c r="B808" s="14"/>
      <c r="C808" s="15"/>
      <c r="D808" s="16"/>
      <c r="E808" s="13" t="str">
        <f aca="false">IF(D808="","",IFERROR(INDEX('Plan de Cuentas'!$B$5:$B$1241,MATCH(D808,'Plan de Cuentas'!$A$5:$A$1241,0)),"No encontrado"))</f>
        <v/>
      </c>
      <c r="F808" s="16"/>
      <c r="G808" s="13" t="str">
        <f aca="false">IF(F808="","",IFERROR(INDEX('Plan de Cuentas'!$B$5:$B$1241,MATCH(F808,'Plan de Cuentas'!$A$5:$A$1241,0)),"No encontrado"))</f>
        <v/>
      </c>
      <c r="H808" s="17"/>
      <c r="I808" s="13"/>
    </row>
    <row r="809" customFormat="false" ht="15" hidden="false" customHeight="true" outlineLevel="0" collapsed="false">
      <c r="A809" s="13"/>
      <c r="B809" s="14"/>
      <c r="C809" s="15"/>
      <c r="D809" s="16"/>
      <c r="E809" s="13" t="str">
        <f aca="false">IF(D809="","",IFERROR(INDEX('Plan de Cuentas'!$B$5:$B$1241,MATCH(D809,'Plan de Cuentas'!$A$5:$A$1241,0)),"No encontrado"))</f>
        <v/>
      </c>
      <c r="F809" s="16"/>
      <c r="G809" s="13" t="str">
        <f aca="false">IF(F809="","",IFERROR(INDEX('Plan de Cuentas'!$B$5:$B$1241,MATCH(F809,'Plan de Cuentas'!$A$5:$A$1241,0)),"No encontrado"))</f>
        <v/>
      </c>
      <c r="H809" s="17"/>
      <c r="I809" s="13"/>
    </row>
    <row r="810" customFormat="false" ht="15" hidden="false" customHeight="true" outlineLevel="0" collapsed="false">
      <c r="A810" s="13"/>
      <c r="B810" s="14"/>
      <c r="C810" s="15"/>
      <c r="D810" s="16"/>
      <c r="E810" s="13" t="str">
        <f aca="false">IF(D810="","",IFERROR(INDEX('Plan de Cuentas'!$B$5:$B$1241,MATCH(D810,'Plan de Cuentas'!$A$5:$A$1241,0)),"No encontrado"))</f>
        <v/>
      </c>
      <c r="F810" s="16"/>
      <c r="G810" s="13" t="str">
        <f aca="false">IF(F810="","",IFERROR(INDEX('Plan de Cuentas'!$B$5:$B$1241,MATCH(F810,'Plan de Cuentas'!$A$5:$A$1241,0)),"No encontrado"))</f>
        <v/>
      </c>
      <c r="H810" s="17"/>
      <c r="I810" s="13"/>
    </row>
    <row r="811" customFormat="false" ht="15" hidden="false" customHeight="true" outlineLevel="0" collapsed="false">
      <c r="A811" s="13"/>
      <c r="B811" s="14"/>
      <c r="C811" s="15"/>
      <c r="D811" s="16"/>
      <c r="E811" s="13" t="str">
        <f aca="false">IF(D811="","",IFERROR(INDEX('Plan de Cuentas'!$B$5:$B$1241,MATCH(D811,'Plan de Cuentas'!$A$5:$A$1241,0)),"No encontrado"))</f>
        <v/>
      </c>
      <c r="F811" s="16"/>
      <c r="G811" s="13" t="str">
        <f aca="false">IF(F811="","",IFERROR(INDEX('Plan de Cuentas'!$B$5:$B$1241,MATCH(F811,'Plan de Cuentas'!$A$5:$A$1241,0)),"No encontrado"))</f>
        <v/>
      </c>
      <c r="H811" s="17"/>
      <c r="I811" s="13"/>
    </row>
    <row r="812" customFormat="false" ht="15" hidden="false" customHeight="true" outlineLevel="0" collapsed="false">
      <c r="A812" s="13"/>
      <c r="B812" s="14"/>
      <c r="C812" s="15"/>
      <c r="D812" s="16"/>
      <c r="E812" s="13" t="str">
        <f aca="false">IF(D812="","",IFERROR(INDEX('Plan de Cuentas'!$B$5:$B$1241,MATCH(D812,'Plan de Cuentas'!$A$5:$A$1241,0)),"No encontrado"))</f>
        <v/>
      </c>
      <c r="F812" s="16"/>
      <c r="G812" s="13" t="str">
        <f aca="false">IF(F812="","",IFERROR(INDEX('Plan de Cuentas'!$B$5:$B$1241,MATCH(F812,'Plan de Cuentas'!$A$5:$A$1241,0)),"No encontrado"))</f>
        <v/>
      </c>
      <c r="H812" s="17"/>
      <c r="I812" s="13"/>
    </row>
    <row r="813" customFormat="false" ht="15" hidden="false" customHeight="true" outlineLevel="0" collapsed="false">
      <c r="A813" s="13"/>
      <c r="B813" s="14"/>
      <c r="C813" s="15"/>
      <c r="D813" s="16"/>
      <c r="E813" s="13" t="str">
        <f aca="false">IF(D813="","",IFERROR(INDEX('Plan de Cuentas'!$B$5:$B$1241,MATCH(D813,'Plan de Cuentas'!$A$5:$A$1241,0)),"No encontrado"))</f>
        <v/>
      </c>
      <c r="F813" s="16"/>
      <c r="G813" s="13" t="str">
        <f aca="false">IF(F813="","",IFERROR(INDEX('Plan de Cuentas'!$B$5:$B$1241,MATCH(F813,'Plan de Cuentas'!$A$5:$A$1241,0)),"No encontrado"))</f>
        <v/>
      </c>
      <c r="H813" s="17"/>
      <c r="I813" s="13"/>
    </row>
    <row r="814" customFormat="false" ht="15" hidden="false" customHeight="true" outlineLevel="0" collapsed="false">
      <c r="A814" s="13"/>
      <c r="B814" s="14"/>
      <c r="C814" s="15"/>
      <c r="D814" s="16"/>
      <c r="E814" s="13" t="str">
        <f aca="false">IF(D814="","",IFERROR(INDEX('Plan de Cuentas'!$B$5:$B$1241,MATCH(D814,'Plan de Cuentas'!$A$5:$A$1241,0)),"No encontrado"))</f>
        <v/>
      </c>
      <c r="F814" s="16"/>
      <c r="G814" s="13" t="str">
        <f aca="false">IF(F814="","",IFERROR(INDEX('Plan de Cuentas'!$B$5:$B$1241,MATCH(F814,'Plan de Cuentas'!$A$5:$A$1241,0)),"No encontrado"))</f>
        <v/>
      </c>
      <c r="H814" s="17"/>
      <c r="I814" s="13"/>
    </row>
    <row r="815" customFormat="false" ht="15" hidden="false" customHeight="true" outlineLevel="0" collapsed="false">
      <c r="A815" s="13"/>
      <c r="B815" s="14"/>
      <c r="C815" s="15"/>
      <c r="D815" s="16"/>
      <c r="E815" s="13" t="str">
        <f aca="false">IF(D815="","",IFERROR(INDEX('Plan de Cuentas'!$B$5:$B$1241,MATCH(D815,'Plan de Cuentas'!$A$5:$A$1241,0)),"No encontrado"))</f>
        <v/>
      </c>
      <c r="F815" s="16"/>
      <c r="G815" s="13" t="str">
        <f aca="false">IF(F815="","",IFERROR(INDEX('Plan de Cuentas'!$B$5:$B$1241,MATCH(F815,'Plan de Cuentas'!$A$5:$A$1241,0)),"No encontrado"))</f>
        <v/>
      </c>
      <c r="H815" s="17"/>
      <c r="I815" s="13"/>
    </row>
    <row r="816" customFormat="false" ht="15" hidden="false" customHeight="true" outlineLevel="0" collapsed="false">
      <c r="A816" s="13"/>
      <c r="B816" s="14"/>
      <c r="C816" s="15"/>
      <c r="D816" s="16"/>
      <c r="E816" s="13" t="str">
        <f aca="false">IF(D816="","",IFERROR(INDEX('Plan de Cuentas'!$B$5:$B$1241,MATCH(D816,'Plan de Cuentas'!$A$5:$A$1241,0)),"No encontrado"))</f>
        <v/>
      </c>
      <c r="F816" s="16"/>
      <c r="G816" s="13" t="str">
        <f aca="false">IF(F816="","",IFERROR(INDEX('Plan de Cuentas'!$B$5:$B$1241,MATCH(F816,'Plan de Cuentas'!$A$5:$A$1241,0)),"No encontrado"))</f>
        <v/>
      </c>
      <c r="H816" s="17"/>
      <c r="I816" s="13"/>
    </row>
    <row r="817" customFormat="false" ht="15" hidden="false" customHeight="true" outlineLevel="0" collapsed="false">
      <c r="A817" s="13"/>
      <c r="B817" s="14"/>
      <c r="C817" s="15"/>
      <c r="D817" s="16"/>
      <c r="E817" s="13" t="str">
        <f aca="false">IF(D817="","",IFERROR(INDEX('Plan de Cuentas'!$B$5:$B$1241,MATCH(D817,'Plan de Cuentas'!$A$5:$A$1241,0)),"No encontrado"))</f>
        <v/>
      </c>
      <c r="F817" s="16"/>
      <c r="G817" s="13" t="str">
        <f aca="false">IF(F817="","",IFERROR(INDEX('Plan de Cuentas'!$B$5:$B$1241,MATCH(F817,'Plan de Cuentas'!$A$5:$A$1241,0)),"No encontrado"))</f>
        <v/>
      </c>
      <c r="H817" s="17"/>
      <c r="I817" s="13"/>
    </row>
    <row r="818" customFormat="false" ht="15" hidden="false" customHeight="true" outlineLevel="0" collapsed="false">
      <c r="A818" s="13"/>
      <c r="B818" s="14"/>
      <c r="C818" s="15"/>
      <c r="D818" s="16"/>
      <c r="E818" s="13" t="str">
        <f aca="false">IF(D818="","",IFERROR(INDEX('Plan de Cuentas'!$B$5:$B$1241,MATCH(D818,'Plan de Cuentas'!$A$5:$A$1241,0)),"No encontrado"))</f>
        <v/>
      </c>
      <c r="F818" s="16"/>
      <c r="G818" s="13" t="str">
        <f aca="false">IF(F818="","",IFERROR(INDEX('Plan de Cuentas'!$B$5:$B$1241,MATCH(F818,'Plan de Cuentas'!$A$5:$A$1241,0)),"No encontrado"))</f>
        <v/>
      </c>
      <c r="H818" s="17"/>
      <c r="I818" s="13"/>
    </row>
    <row r="819" customFormat="false" ht="15" hidden="false" customHeight="true" outlineLevel="0" collapsed="false">
      <c r="A819" s="13"/>
      <c r="B819" s="14"/>
      <c r="C819" s="15"/>
      <c r="D819" s="16"/>
      <c r="E819" s="13" t="str">
        <f aca="false">IF(D819="","",IFERROR(INDEX('Plan de Cuentas'!$B$5:$B$1241,MATCH(D819,'Plan de Cuentas'!$A$5:$A$1241,0)),"No encontrado"))</f>
        <v/>
      </c>
      <c r="F819" s="16"/>
      <c r="G819" s="13" t="str">
        <f aca="false">IF(F819="","",IFERROR(INDEX('Plan de Cuentas'!$B$5:$B$1241,MATCH(F819,'Plan de Cuentas'!$A$5:$A$1241,0)),"No encontrado"))</f>
        <v/>
      </c>
      <c r="H819" s="17"/>
      <c r="I819" s="13"/>
    </row>
    <row r="820" customFormat="false" ht="15" hidden="false" customHeight="true" outlineLevel="0" collapsed="false">
      <c r="A820" s="13"/>
      <c r="B820" s="14"/>
      <c r="C820" s="15"/>
      <c r="D820" s="16"/>
      <c r="E820" s="13" t="str">
        <f aca="false">IF(D820="","",IFERROR(INDEX('Plan de Cuentas'!$B$5:$B$1241,MATCH(D820,'Plan de Cuentas'!$A$5:$A$1241,0)),"No encontrado"))</f>
        <v/>
      </c>
      <c r="F820" s="16"/>
      <c r="G820" s="13" t="str">
        <f aca="false">IF(F820="","",IFERROR(INDEX('Plan de Cuentas'!$B$5:$B$1241,MATCH(F820,'Plan de Cuentas'!$A$5:$A$1241,0)),"No encontrado"))</f>
        <v/>
      </c>
      <c r="H820" s="17"/>
      <c r="I820" s="13"/>
    </row>
    <row r="821" customFormat="false" ht="15" hidden="false" customHeight="true" outlineLevel="0" collapsed="false">
      <c r="A821" s="13"/>
      <c r="B821" s="14"/>
      <c r="C821" s="15"/>
      <c r="D821" s="16"/>
      <c r="E821" s="13" t="str">
        <f aca="false">IF(D821="","",IFERROR(INDEX('Plan de Cuentas'!$B$5:$B$1241,MATCH(D821,'Plan de Cuentas'!$A$5:$A$1241,0)),"No encontrado"))</f>
        <v/>
      </c>
      <c r="F821" s="16"/>
      <c r="G821" s="13" t="str">
        <f aca="false">IF(F821="","",IFERROR(INDEX('Plan de Cuentas'!$B$5:$B$1241,MATCH(F821,'Plan de Cuentas'!$A$5:$A$1241,0)),"No encontrado"))</f>
        <v/>
      </c>
      <c r="H821" s="17"/>
      <c r="I821" s="13"/>
    </row>
    <row r="822" customFormat="false" ht="15" hidden="false" customHeight="true" outlineLevel="0" collapsed="false">
      <c r="A822" s="13"/>
      <c r="B822" s="14"/>
      <c r="C822" s="15"/>
      <c r="D822" s="16"/>
      <c r="E822" s="13" t="str">
        <f aca="false">IF(D822="","",IFERROR(INDEX('Plan de Cuentas'!$B$5:$B$1241,MATCH(D822,'Plan de Cuentas'!$A$5:$A$1241,0)),"No encontrado"))</f>
        <v/>
      </c>
      <c r="F822" s="16"/>
      <c r="G822" s="13" t="str">
        <f aca="false">IF(F822="","",IFERROR(INDEX('Plan de Cuentas'!$B$5:$B$1241,MATCH(F822,'Plan de Cuentas'!$A$5:$A$1241,0)),"No encontrado"))</f>
        <v/>
      </c>
      <c r="H822" s="17"/>
      <c r="I822" s="13"/>
    </row>
    <row r="823" customFormat="false" ht="15" hidden="false" customHeight="true" outlineLevel="0" collapsed="false">
      <c r="A823" s="13"/>
      <c r="B823" s="14"/>
      <c r="C823" s="15"/>
      <c r="D823" s="16"/>
      <c r="E823" s="13" t="str">
        <f aca="false">IF(D823="","",IFERROR(INDEX('Plan de Cuentas'!$B$5:$B$1241,MATCH(D823,'Plan de Cuentas'!$A$5:$A$1241,0)),"No encontrado"))</f>
        <v/>
      </c>
      <c r="F823" s="16"/>
      <c r="G823" s="13" t="str">
        <f aca="false">IF(F823="","",IFERROR(INDEX('Plan de Cuentas'!$B$5:$B$1241,MATCH(F823,'Plan de Cuentas'!$A$5:$A$1241,0)),"No encontrado"))</f>
        <v/>
      </c>
      <c r="H823" s="17"/>
      <c r="I823" s="13"/>
    </row>
    <row r="824" customFormat="false" ht="15" hidden="false" customHeight="true" outlineLevel="0" collapsed="false">
      <c r="A824" s="13"/>
      <c r="B824" s="14"/>
      <c r="C824" s="15"/>
      <c r="D824" s="16"/>
      <c r="E824" s="13" t="str">
        <f aca="false">IF(D824="","",IFERROR(INDEX('Plan de Cuentas'!$B$5:$B$1241,MATCH(D824,'Plan de Cuentas'!$A$5:$A$1241,0)),"No encontrado"))</f>
        <v/>
      </c>
      <c r="F824" s="16"/>
      <c r="G824" s="13" t="str">
        <f aca="false">IF(F824="","",IFERROR(INDEX('Plan de Cuentas'!$B$5:$B$1241,MATCH(F824,'Plan de Cuentas'!$A$5:$A$1241,0)),"No encontrado"))</f>
        <v/>
      </c>
      <c r="H824" s="17"/>
      <c r="I824" s="13"/>
    </row>
    <row r="825" customFormat="false" ht="15" hidden="false" customHeight="true" outlineLevel="0" collapsed="false">
      <c r="A825" s="13"/>
      <c r="B825" s="14"/>
      <c r="C825" s="15"/>
      <c r="D825" s="16"/>
      <c r="E825" s="13" t="str">
        <f aca="false">IF(D825="","",IFERROR(INDEX('Plan de Cuentas'!$B$5:$B$1241,MATCH(D825,'Plan de Cuentas'!$A$5:$A$1241,0)),"No encontrado"))</f>
        <v/>
      </c>
      <c r="F825" s="16"/>
      <c r="G825" s="13" t="str">
        <f aca="false">IF(F825="","",IFERROR(INDEX('Plan de Cuentas'!$B$5:$B$1241,MATCH(F825,'Plan de Cuentas'!$A$5:$A$1241,0)),"No encontrado"))</f>
        <v/>
      </c>
      <c r="H825" s="17"/>
      <c r="I825" s="13"/>
    </row>
    <row r="826" customFormat="false" ht="15" hidden="false" customHeight="true" outlineLevel="0" collapsed="false">
      <c r="A826" s="13"/>
      <c r="B826" s="14"/>
      <c r="C826" s="15"/>
      <c r="D826" s="16"/>
      <c r="E826" s="13" t="str">
        <f aca="false">IF(D826="","",IFERROR(INDEX('Plan de Cuentas'!$B$5:$B$1241,MATCH(D826,'Plan de Cuentas'!$A$5:$A$1241,0)),"No encontrado"))</f>
        <v/>
      </c>
      <c r="F826" s="16"/>
      <c r="G826" s="13" t="str">
        <f aca="false">IF(F826="","",IFERROR(INDEX('Plan de Cuentas'!$B$5:$B$1241,MATCH(F826,'Plan de Cuentas'!$A$5:$A$1241,0)),"No encontrado"))</f>
        <v/>
      </c>
      <c r="H826" s="17"/>
      <c r="I826" s="13"/>
    </row>
    <row r="827" customFormat="false" ht="15" hidden="false" customHeight="true" outlineLevel="0" collapsed="false">
      <c r="A827" s="13"/>
      <c r="B827" s="14"/>
      <c r="C827" s="15"/>
      <c r="D827" s="16"/>
      <c r="E827" s="13" t="str">
        <f aca="false">IF(D827="","",IFERROR(INDEX('Plan de Cuentas'!$B$5:$B$1241,MATCH(D827,'Plan de Cuentas'!$A$5:$A$1241,0)),"No encontrado"))</f>
        <v/>
      </c>
      <c r="F827" s="16"/>
      <c r="G827" s="13" t="str">
        <f aca="false">IF(F827="","",IFERROR(INDEX('Plan de Cuentas'!$B$5:$B$1241,MATCH(F827,'Plan de Cuentas'!$A$5:$A$1241,0)),"No encontrado"))</f>
        <v/>
      </c>
      <c r="H827" s="17"/>
      <c r="I827" s="13"/>
    </row>
    <row r="828" customFormat="false" ht="15" hidden="false" customHeight="true" outlineLevel="0" collapsed="false">
      <c r="A828" s="13"/>
      <c r="B828" s="14"/>
      <c r="C828" s="15"/>
      <c r="D828" s="16"/>
      <c r="E828" s="13" t="str">
        <f aca="false">IF(D828="","",IFERROR(INDEX('Plan de Cuentas'!$B$5:$B$1241,MATCH(D828,'Plan de Cuentas'!$A$5:$A$1241,0)),"No encontrado"))</f>
        <v/>
      </c>
      <c r="F828" s="16"/>
      <c r="G828" s="13" t="str">
        <f aca="false">IF(F828="","",IFERROR(INDEX('Plan de Cuentas'!$B$5:$B$1241,MATCH(F828,'Plan de Cuentas'!$A$5:$A$1241,0)),"No encontrado"))</f>
        <v/>
      </c>
      <c r="H828" s="17"/>
      <c r="I828" s="13"/>
    </row>
    <row r="829" customFormat="false" ht="15" hidden="false" customHeight="true" outlineLevel="0" collapsed="false">
      <c r="A829" s="13"/>
      <c r="B829" s="14"/>
      <c r="C829" s="15"/>
      <c r="D829" s="16"/>
      <c r="E829" s="13" t="str">
        <f aca="false">IF(D829="","",IFERROR(INDEX('Plan de Cuentas'!$B$5:$B$1241,MATCH(D829,'Plan de Cuentas'!$A$5:$A$1241,0)),"No encontrado"))</f>
        <v/>
      </c>
      <c r="F829" s="16"/>
      <c r="G829" s="13" t="str">
        <f aca="false">IF(F829="","",IFERROR(INDEX('Plan de Cuentas'!$B$5:$B$1241,MATCH(F829,'Plan de Cuentas'!$A$5:$A$1241,0)),"No encontrado"))</f>
        <v/>
      </c>
      <c r="H829" s="17"/>
      <c r="I829" s="13"/>
    </row>
    <row r="830" customFormat="false" ht="15" hidden="false" customHeight="true" outlineLevel="0" collapsed="false">
      <c r="A830" s="13"/>
      <c r="B830" s="14"/>
      <c r="C830" s="15"/>
      <c r="D830" s="16"/>
      <c r="E830" s="13" t="str">
        <f aca="false">IF(D830="","",IFERROR(INDEX('Plan de Cuentas'!$B$5:$B$1241,MATCH(D830,'Plan de Cuentas'!$A$5:$A$1241,0)),"No encontrado"))</f>
        <v/>
      </c>
      <c r="F830" s="16"/>
      <c r="G830" s="13" t="str">
        <f aca="false">IF(F830="","",IFERROR(INDEX('Plan de Cuentas'!$B$5:$B$1241,MATCH(F830,'Plan de Cuentas'!$A$5:$A$1241,0)),"No encontrado"))</f>
        <v/>
      </c>
      <c r="H830" s="17"/>
      <c r="I830" s="13"/>
    </row>
    <row r="831" customFormat="false" ht="15" hidden="false" customHeight="true" outlineLevel="0" collapsed="false">
      <c r="A831" s="13"/>
      <c r="B831" s="14"/>
      <c r="C831" s="15"/>
      <c r="D831" s="16"/>
      <c r="E831" s="13" t="str">
        <f aca="false">IF(D831="","",IFERROR(INDEX('Plan de Cuentas'!$B$5:$B$1241,MATCH(D831,'Plan de Cuentas'!$A$5:$A$1241,0)),"No encontrado"))</f>
        <v/>
      </c>
      <c r="F831" s="16"/>
      <c r="G831" s="13" t="str">
        <f aca="false">IF(F831="","",IFERROR(INDEX('Plan de Cuentas'!$B$5:$B$1241,MATCH(F831,'Plan de Cuentas'!$A$5:$A$1241,0)),"No encontrado"))</f>
        <v/>
      </c>
      <c r="H831" s="17"/>
      <c r="I831" s="13"/>
    </row>
    <row r="832" customFormat="false" ht="15" hidden="false" customHeight="true" outlineLevel="0" collapsed="false">
      <c r="A832" s="13"/>
      <c r="B832" s="14"/>
      <c r="C832" s="15"/>
      <c r="D832" s="16"/>
      <c r="E832" s="13" t="str">
        <f aca="false">IF(D832="","",IFERROR(INDEX('Plan de Cuentas'!$B$5:$B$1241,MATCH(D832,'Plan de Cuentas'!$A$5:$A$1241,0)),"No encontrado"))</f>
        <v/>
      </c>
      <c r="F832" s="16"/>
      <c r="G832" s="13" t="str">
        <f aca="false">IF(F832="","",IFERROR(INDEX('Plan de Cuentas'!$B$5:$B$1241,MATCH(F832,'Plan de Cuentas'!$A$5:$A$1241,0)),"No encontrado"))</f>
        <v/>
      </c>
      <c r="H832" s="17"/>
      <c r="I832" s="13"/>
    </row>
    <row r="833" customFormat="false" ht="15" hidden="false" customHeight="true" outlineLevel="0" collapsed="false">
      <c r="A833" s="13"/>
      <c r="B833" s="14"/>
      <c r="C833" s="15"/>
      <c r="D833" s="16"/>
      <c r="E833" s="13" t="str">
        <f aca="false">IF(D833="","",IFERROR(INDEX('Plan de Cuentas'!$B$5:$B$1241,MATCH(D833,'Plan de Cuentas'!$A$5:$A$1241,0)),"No encontrado"))</f>
        <v/>
      </c>
      <c r="F833" s="16"/>
      <c r="G833" s="13" t="str">
        <f aca="false">IF(F833="","",IFERROR(INDEX('Plan de Cuentas'!$B$5:$B$1241,MATCH(F833,'Plan de Cuentas'!$A$5:$A$1241,0)),"No encontrado"))</f>
        <v/>
      </c>
      <c r="H833" s="17"/>
      <c r="I833" s="13"/>
    </row>
    <row r="834" customFormat="false" ht="15" hidden="false" customHeight="true" outlineLevel="0" collapsed="false">
      <c r="A834" s="13"/>
      <c r="B834" s="14"/>
      <c r="C834" s="15"/>
      <c r="D834" s="16"/>
      <c r="E834" s="13" t="str">
        <f aca="false">IF(D834="","",IFERROR(INDEX('Plan de Cuentas'!$B$5:$B$1241,MATCH(D834,'Plan de Cuentas'!$A$5:$A$1241,0)),"No encontrado"))</f>
        <v/>
      </c>
      <c r="F834" s="16"/>
      <c r="G834" s="13" t="str">
        <f aca="false">IF(F834="","",IFERROR(INDEX('Plan de Cuentas'!$B$5:$B$1241,MATCH(F834,'Plan de Cuentas'!$A$5:$A$1241,0)),"No encontrado"))</f>
        <v/>
      </c>
      <c r="H834" s="17"/>
      <c r="I834" s="13"/>
    </row>
    <row r="835" customFormat="false" ht="15" hidden="false" customHeight="true" outlineLevel="0" collapsed="false">
      <c r="A835" s="13"/>
      <c r="B835" s="14"/>
      <c r="C835" s="15"/>
      <c r="D835" s="16"/>
      <c r="E835" s="13" t="str">
        <f aca="false">IF(D835="","",IFERROR(INDEX('Plan de Cuentas'!$B$5:$B$1241,MATCH(D835,'Plan de Cuentas'!$A$5:$A$1241,0)),"No encontrado"))</f>
        <v/>
      </c>
      <c r="F835" s="16"/>
      <c r="G835" s="13" t="str">
        <f aca="false">IF(F835="","",IFERROR(INDEX('Plan de Cuentas'!$B$5:$B$1241,MATCH(F835,'Plan de Cuentas'!$A$5:$A$1241,0)),"No encontrado"))</f>
        <v/>
      </c>
      <c r="H835" s="17"/>
      <c r="I835" s="13"/>
    </row>
    <row r="836" customFormat="false" ht="15" hidden="false" customHeight="true" outlineLevel="0" collapsed="false">
      <c r="A836" s="13"/>
      <c r="B836" s="14"/>
      <c r="C836" s="15"/>
      <c r="D836" s="16"/>
      <c r="E836" s="13" t="str">
        <f aca="false">IF(D836="","",IFERROR(INDEX('Plan de Cuentas'!$B$5:$B$1241,MATCH(D836,'Plan de Cuentas'!$A$5:$A$1241,0)),"No encontrado"))</f>
        <v/>
      </c>
      <c r="F836" s="16"/>
      <c r="G836" s="13" t="str">
        <f aca="false">IF(F836="","",IFERROR(INDEX('Plan de Cuentas'!$B$5:$B$1241,MATCH(F836,'Plan de Cuentas'!$A$5:$A$1241,0)),"No encontrado"))</f>
        <v/>
      </c>
      <c r="H836" s="17"/>
      <c r="I836" s="13"/>
    </row>
    <row r="837" customFormat="false" ht="15" hidden="false" customHeight="true" outlineLevel="0" collapsed="false">
      <c r="A837" s="13"/>
      <c r="B837" s="14"/>
      <c r="C837" s="15"/>
      <c r="D837" s="16"/>
      <c r="E837" s="13" t="str">
        <f aca="false">IF(D837="","",IFERROR(INDEX('Plan de Cuentas'!$B$5:$B$1241,MATCH(D837,'Plan de Cuentas'!$A$5:$A$1241,0)),"No encontrado"))</f>
        <v/>
      </c>
      <c r="F837" s="16"/>
      <c r="G837" s="13" t="str">
        <f aca="false">IF(F837="","",IFERROR(INDEX('Plan de Cuentas'!$B$5:$B$1241,MATCH(F837,'Plan de Cuentas'!$A$5:$A$1241,0)),"No encontrado"))</f>
        <v/>
      </c>
      <c r="H837" s="17"/>
      <c r="I837" s="13"/>
    </row>
    <row r="838" customFormat="false" ht="15" hidden="false" customHeight="true" outlineLevel="0" collapsed="false">
      <c r="A838" s="13"/>
      <c r="B838" s="14"/>
      <c r="C838" s="15"/>
      <c r="D838" s="16"/>
      <c r="E838" s="13" t="str">
        <f aca="false">IF(D838="","",IFERROR(INDEX('Plan de Cuentas'!$B$5:$B$1241,MATCH(D838,'Plan de Cuentas'!$A$5:$A$1241,0)),"No encontrado"))</f>
        <v/>
      </c>
      <c r="F838" s="16"/>
      <c r="G838" s="13" t="str">
        <f aca="false">IF(F838="","",IFERROR(INDEX('Plan de Cuentas'!$B$5:$B$1241,MATCH(F838,'Plan de Cuentas'!$A$5:$A$1241,0)),"No encontrado"))</f>
        <v/>
      </c>
      <c r="H838" s="17"/>
      <c r="I838" s="13"/>
    </row>
    <row r="839" customFormat="false" ht="15" hidden="false" customHeight="true" outlineLevel="0" collapsed="false">
      <c r="A839" s="13"/>
      <c r="B839" s="14"/>
      <c r="C839" s="15"/>
      <c r="D839" s="16"/>
      <c r="E839" s="13" t="str">
        <f aca="false">IF(D839="","",IFERROR(INDEX('Plan de Cuentas'!$B$5:$B$1241,MATCH(D839,'Plan de Cuentas'!$A$5:$A$1241,0)),"No encontrado"))</f>
        <v/>
      </c>
      <c r="F839" s="16"/>
      <c r="G839" s="13" t="str">
        <f aca="false">IF(F839="","",IFERROR(INDEX('Plan de Cuentas'!$B$5:$B$1241,MATCH(F839,'Plan de Cuentas'!$A$5:$A$1241,0)),"No encontrado"))</f>
        <v/>
      </c>
      <c r="H839" s="17"/>
      <c r="I839" s="13"/>
    </row>
    <row r="840" customFormat="false" ht="15" hidden="false" customHeight="true" outlineLevel="0" collapsed="false">
      <c r="A840" s="13"/>
      <c r="B840" s="14"/>
      <c r="C840" s="15"/>
      <c r="D840" s="16"/>
      <c r="E840" s="13" t="str">
        <f aca="false">IF(D840="","",IFERROR(INDEX('Plan de Cuentas'!$B$5:$B$1241,MATCH(D840,'Plan de Cuentas'!$A$5:$A$1241,0)),"No encontrado"))</f>
        <v/>
      </c>
      <c r="F840" s="16"/>
      <c r="G840" s="13" t="str">
        <f aca="false">IF(F840="","",IFERROR(INDEX('Plan de Cuentas'!$B$5:$B$1241,MATCH(F840,'Plan de Cuentas'!$A$5:$A$1241,0)),"No encontrado"))</f>
        <v/>
      </c>
      <c r="H840" s="17"/>
      <c r="I840" s="13"/>
    </row>
    <row r="841" customFormat="false" ht="15" hidden="false" customHeight="true" outlineLevel="0" collapsed="false">
      <c r="A841" s="13"/>
      <c r="B841" s="14"/>
      <c r="C841" s="15"/>
      <c r="D841" s="16"/>
      <c r="E841" s="13" t="str">
        <f aca="false">IF(D841="","",IFERROR(INDEX('Plan de Cuentas'!$B$5:$B$1241,MATCH(D841,'Plan de Cuentas'!$A$5:$A$1241,0)),"No encontrado"))</f>
        <v/>
      </c>
      <c r="F841" s="16"/>
      <c r="G841" s="13" t="str">
        <f aca="false">IF(F841="","",IFERROR(INDEX('Plan de Cuentas'!$B$5:$B$1241,MATCH(F841,'Plan de Cuentas'!$A$5:$A$1241,0)),"No encontrado"))</f>
        <v/>
      </c>
      <c r="H841" s="17"/>
      <c r="I841" s="13"/>
    </row>
    <row r="842" customFormat="false" ht="15" hidden="false" customHeight="true" outlineLevel="0" collapsed="false">
      <c r="A842" s="13"/>
      <c r="B842" s="14"/>
      <c r="C842" s="15"/>
      <c r="D842" s="16"/>
      <c r="E842" s="13" t="str">
        <f aca="false">IF(D842="","",IFERROR(INDEX('Plan de Cuentas'!$B$5:$B$1241,MATCH(D842,'Plan de Cuentas'!$A$5:$A$1241,0)),"No encontrado"))</f>
        <v/>
      </c>
      <c r="F842" s="16"/>
      <c r="G842" s="13" t="str">
        <f aca="false">IF(F842="","",IFERROR(INDEX('Plan de Cuentas'!$B$5:$B$1241,MATCH(F842,'Plan de Cuentas'!$A$5:$A$1241,0)),"No encontrado"))</f>
        <v/>
      </c>
      <c r="H842" s="17"/>
      <c r="I842" s="13"/>
    </row>
    <row r="843" customFormat="false" ht="15" hidden="false" customHeight="true" outlineLevel="0" collapsed="false">
      <c r="A843" s="13"/>
      <c r="B843" s="14"/>
      <c r="C843" s="15"/>
      <c r="D843" s="16"/>
      <c r="E843" s="13" t="str">
        <f aca="false">IF(D843="","",IFERROR(INDEX('Plan de Cuentas'!$B$5:$B$1241,MATCH(D843,'Plan de Cuentas'!$A$5:$A$1241,0)),"No encontrado"))</f>
        <v/>
      </c>
      <c r="F843" s="16"/>
      <c r="G843" s="13" t="str">
        <f aca="false">IF(F843="","",IFERROR(INDEX('Plan de Cuentas'!$B$5:$B$1241,MATCH(F843,'Plan de Cuentas'!$A$5:$A$1241,0)),"No encontrado"))</f>
        <v/>
      </c>
      <c r="H843" s="17"/>
      <c r="I843" s="13"/>
    </row>
    <row r="844" customFormat="false" ht="15" hidden="false" customHeight="true" outlineLevel="0" collapsed="false">
      <c r="A844" s="13"/>
      <c r="B844" s="14"/>
      <c r="C844" s="15"/>
      <c r="D844" s="16"/>
      <c r="E844" s="13" t="str">
        <f aca="false">IF(D844="","",IFERROR(INDEX('Plan de Cuentas'!$B$5:$B$1241,MATCH(D844,'Plan de Cuentas'!$A$5:$A$1241,0)),"No encontrado"))</f>
        <v/>
      </c>
      <c r="F844" s="16"/>
      <c r="G844" s="13" t="str">
        <f aca="false">IF(F844="","",IFERROR(INDEX('Plan de Cuentas'!$B$5:$B$1241,MATCH(F844,'Plan de Cuentas'!$A$5:$A$1241,0)),"No encontrado"))</f>
        <v/>
      </c>
      <c r="H844" s="17"/>
      <c r="I844" s="13"/>
    </row>
    <row r="845" customFormat="false" ht="15" hidden="false" customHeight="true" outlineLevel="0" collapsed="false">
      <c r="A845" s="13"/>
      <c r="B845" s="14"/>
      <c r="C845" s="15"/>
      <c r="D845" s="16"/>
      <c r="E845" s="13" t="str">
        <f aca="false">IF(D845="","",IFERROR(INDEX('Plan de Cuentas'!$B$5:$B$1241,MATCH(D845,'Plan de Cuentas'!$A$5:$A$1241,0)),"No encontrado"))</f>
        <v/>
      </c>
      <c r="F845" s="16"/>
      <c r="G845" s="13" t="str">
        <f aca="false">IF(F845="","",IFERROR(INDEX('Plan de Cuentas'!$B$5:$B$1241,MATCH(F845,'Plan de Cuentas'!$A$5:$A$1241,0)),"No encontrado"))</f>
        <v/>
      </c>
      <c r="H845" s="17"/>
      <c r="I845" s="13"/>
    </row>
    <row r="846" customFormat="false" ht="15" hidden="false" customHeight="true" outlineLevel="0" collapsed="false">
      <c r="A846" s="13"/>
      <c r="B846" s="14"/>
      <c r="C846" s="15"/>
      <c r="D846" s="16"/>
      <c r="E846" s="13" t="str">
        <f aca="false">IF(D846="","",IFERROR(INDEX('Plan de Cuentas'!$B$5:$B$1241,MATCH(D846,'Plan de Cuentas'!$A$5:$A$1241,0)),"No encontrado"))</f>
        <v/>
      </c>
      <c r="F846" s="16"/>
      <c r="G846" s="13" t="str">
        <f aca="false">IF(F846="","",IFERROR(INDEX('Plan de Cuentas'!$B$5:$B$1241,MATCH(F846,'Plan de Cuentas'!$A$5:$A$1241,0)),"No encontrado"))</f>
        <v/>
      </c>
      <c r="H846" s="17"/>
      <c r="I846" s="13"/>
    </row>
    <row r="847" customFormat="false" ht="15" hidden="false" customHeight="true" outlineLevel="0" collapsed="false">
      <c r="A847" s="13"/>
      <c r="B847" s="14"/>
      <c r="C847" s="15"/>
      <c r="D847" s="16"/>
      <c r="E847" s="13" t="str">
        <f aca="false">IF(D847="","",IFERROR(INDEX('Plan de Cuentas'!$B$5:$B$1241,MATCH(D847,'Plan de Cuentas'!$A$5:$A$1241,0)),"No encontrado"))</f>
        <v/>
      </c>
      <c r="F847" s="16"/>
      <c r="G847" s="13" t="str">
        <f aca="false">IF(F847="","",IFERROR(INDEX('Plan de Cuentas'!$B$5:$B$1241,MATCH(F847,'Plan de Cuentas'!$A$5:$A$1241,0)),"No encontrado"))</f>
        <v/>
      </c>
      <c r="H847" s="17"/>
      <c r="I847" s="13"/>
    </row>
    <row r="848" customFormat="false" ht="15" hidden="false" customHeight="true" outlineLevel="0" collapsed="false">
      <c r="A848" s="13"/>
      <c r="B848" s="14"/>
      <c r="C848" s="15"/>
      <c r="D848" s="16"/>
      <c r="E848" s="13" t="str">
        <f aca="false">IF(D848="","",IFERROR(INDEX('Plan de Cuentas'!$B$5:$B$1241,MATCH(D848,'Plan de Cuentas'!$A$5:$A$1241,0)),"No encontrado"))</f>
        <v/>
      </c>
      <c r="F848" s="16"/>
      <c r="G848" s="13" t="str">
        <f aca="false">IF(F848="","",IFERROR(INDEX('Plan de Cuentas'!$B$5:$B$1241,MATCH(F848,'Plan de Cuentas'!$A$5:$A$1241,0)),"No encontrado"))</f>
        <v/>
      </c>
      <c r="H848" s="17"/>
      <c r="I848" s="13"/>
    </row>
    <row r="849" customFormat="false" ht="15" hidden="false" customHeight="true" outlineLevel="0" collapsed="false">
      <c r="A849" s="13"/>
      <c r="B849" s="14"/>
      <c r="C849" s="15"/>
      <c r="D849" s="16"/>
      <c r="E849" s="13" t="str">
        <f aca="false">IF(D849="","",IFERROR(INDEX('Plan de Cuentas'!$B$5:$B$1241,MATCH(D849,'Plan de Cuentas'!$A$5:$A$1241,0)),"No encontrado"))</f>
        <v/>
      </c>
      <c r="F849" s="16"/>
      <c r="G849" s="13" t="str">
        <f aca="false">IF(F849="","",IFERROR(INDEX('Plan de Cuentas'!$B$5:$B$1241,MATCH(F849,'Plan de Cuentas'!$A$5:$A$1241,0)),"No encontrado"))</f>
        <v/>
      </c>
      <c r="H849" s="17"/>
      <c r="I849" s="13"/>
    </row>
    <row r="850" customFormat="false" ht="15" hidden="false" customHeight="true" outlineLevel="0" collapsed="false">
      <c r="A850" s="13"/>
      <c r="B850" s="14"/>
      <c r="C850" s="15"/>
      <c r="D850" s="16"/>
      <c r="E850" s="13" t="str">
        <f aca="false">IF(D850="","",IFERROR(INDEX('Plan de Cuentas'!$B$5:$B$1241,MATCH(D850,'Plan de Cuentas'!$A$5:$A$1241,0)),"No encontrado"))</f>
        <v/>
      </c>
      <c r="F850" s="16"/>
      <c r="G850" s="13" t="str">
        <f aca="false">IF(F850="","",IFERROR(INDEX('Plan de Cuentas'!$B$5:$B$1241,MATCH(F850,'Plan de Cuentas'!$A$5:$A$1241,0)),"No encontrado"))</f>
        <v/>
      </c>
      <c r="H850" s="17"/>
      <c r="I850" s="13"/>
    </row>
    <row r="851" customFormat="false" ht="15" hidden="false" customHeight="true" outlineLevel="0" collapsed="false">
      <c r="A851" s="13"/>
      <c r="B851" s="14"/>
      <c r="C851" s="15"/>
      <c r="D851" s="16"/>
      <c r="E851" s="13" t="str">
        <f aca="false">IF(D851="","",IFERROR(INDEX('Plan de Cuentas'!$B$5:$B$1241,MATCH(D851,'Plan de Cuentas'!$A$5:$A$1241,0)),"No encontrado"))</f>
        <v/>
      </c>
      <c r="F851" s="16"/>
      <c r="G851" s="13" t="str">
        <f aca="false">IF(F851="","",IFERROR(INDEX('Plan de Cuentas'!$B$5:$B$1241,MATCH(F851,'Plan de Cuentas'!$A$5:$A$1241,0)),"No encontrado"))</f>
        <v/>
      </c>
      <c r="H851" s="17"/>
      <c r="I851" s="13"/>
    </row>
    <row r="852" customFormat="false" ht="15" hidden="false" customHeight="true" outlineLevel="0" collapsed="false">
      <c r="A852" s="13"/>
      <c r="B852" s="14"/>
      <c r="C852" s="15"/>
      <c r="D852" s="16"/>
      <c r="E852" s="13" t="str">
        <f aca="false">IF(D852="","",IFERROR(INDEX('Plan de Cuentas'!$B$5:$B$1241,MATCH(D852,'Plan de Cuentas'!$A$5:$A$1241,0)),"No encontrado"))</f>
        <v/>
      </c>
      <c r="F852" s="16"/>
      <c r="G852" s="13" t="str">
        <f aca="false">IF(F852="","",IFERROR(INDEX('Plan de Cuentas'!$B$5:$B$1241,MATCH(F852,'Plan de Cuentas'!$A$5:$A$1241,0)),"No encontrado"))</f>
        <v/>
      </c>
      <c r="H852" s="17"/>
      <c r="I852" s="13"/>
    </row>
    <row r="853" customFormat="false" ht="15" hidden="false" customHeight="true" outlineLevel="0" collapsed="false">
      <c r="A853" s="13"/>
      <c r="B853" s="14"/>
      <c r="C853" s="15"/>
      <c r="D853" s="16"/>
      <c r="E853" s="13" t="str">
        <f aca="false">IF(D853="","",IFERROR(INDEX('Plan de Cuentas'!$B$5:$B$1241,MATCH(D853,'Plan de Cuentas'!$A$5:$A$1241,0)),"No encontrado"))</f>
        <v/>
      </c>
      <c r="F853" s="16"/>
      <c r="G853" s="13" t="str">
        <f aca="false">IF(F853="","",IFERROR(INDEX('Plan de Cuentas'!$B$5:$B$1241,MATCH(F853,'Plan de Cuentas'!$A$5:$A$1241,0)),"No encontrado"))</f>
        <v/>
      </c>
      <c r="H853" s="17"/>
      <c r="I853" s="13"/>
    </row>
    <row r="854" customFormat="false" ht="15" hidden="false" customHeight="true" outlineLevel="0" collapsed="false">
      <c r="A854" s="13"/>
      <c r="B854" s="14"/>
      <c r="C854" s="15"/>
      <c r="D854" s="16"/>
      <c r="E854" s="13" t="str">
        <f aca="false">IF(D854="","",IFERROR(INDEX('Plan de Cuentas'!$B$5:$B$1241,MATCH(D854,'Plan de Cuentas'!$A$5:$A$1241,0)),"No encontrado"))</f>
        <v/>
      </c>
      <c r="F854" s="16"/>
      <c r="G854" s="13" t="str">
        <f aca="false">IF(F854="","",IFERROR(INDEX('Plan de Cuentas'!$B$5:$B$1241,MATCH(F854,'Plan de Cuentas'!$A$5:$A$1241,0)),"No encontrado"))</f>
        <v/>
      </c>
      <c r="H854" s="17"/>
      <c r="I854" s="13"/>
    </row>
    <row r="855" customFormat="false" ht="15" hidden="false" customHeight="true" outlineLevel="0" collapsed="false">
      <c r="A855" s="13"/>
      <c r="B855" s="14"/>
      <c r="C855" s="15"/>
      <c r="D855" s="16"/>
      <c r="E855" s="13" t="str">
        <f aca="false">IF(D855="","",IFERROR(INDEX('Plan de Cuentas'!$B$5:$B$1241,MATCH(D855,'Plan de Cuentas'!$A$5:$A$1241,0)),"No encontrado"))</f>
        <v/>
      </c>
      <c r="F855" s="16"/>
      <c r="G855" s="13" t="str">
        <f aca="false">IF(F855="","",IFERROR(INDEX('Plan de Cuentas'!$B$5:$B$1241,MATCH(F855,'Plan de Cuentas'!$A$5:$A$1241,0)),"No encontrado"))</f>
        <v/>
      </c>
      <c r="H855" s="17"/>
      <c r="I855" s="13"/>
    </row>
    <row r="856" customFormat="false" ht="15" hidden="false" customHeight="true" outlineLevel="0" collapsed="false">
      <c r="A856" s="13"/>
      <c r="B856" s="14"/>
      <c r="C856" s="15"/>
      <c r="D856" s="16"/>
      <c r="E856" s="13" t="str">
        <f aca="false">IF(D856="","",IFERROR(INDEX('Plan de Cuentas'!$B$5:$B$1241,MATCH(D856,'Plan de Cuentas'!$A$5:$A$1241,0)),"No encontrado"))</f>
        <v/>
      </c>
      <c r="F856" s="16"/>
      <c r="G856" s="13" t="str">
        <f aca="false">IF(F856="","",IFERROR(INDEX('Plan de Cuentas'!$B$5:$B$1241,MATCH(F856,'Plan de Cuentas'!$A$5:$A$1241,0)),"No encontrado"))</f>
        <v/>
      </c>
      <c r="H856" s="17"/>
      <c r="I856" s="13"/>
    </row>
    <row r="857" customFormat="false" ht="15" hidden="false" customHeight="true" outlineLevel="0" collapsed="false">
      <c r="A857" s="13"/>
      <c r="B857" s="14"/>
      <c r="C857" s="15"/>
      <c r="D857" s="16"/>
      <c r="E857" s="13" t="str">
        <f aca="false">IF(D857="","",IFERROR(INDEX('Plan de Cuentas'!$B$5:$B$1241,MATCH(D857,'Plan de Cuentas'!$A$5:$A$1241,0)),"No encontrado"))</f>
        <v/>
      </c>
      <c r="F857" s="16"/>
      <c r="G857" s="13" t="str">
        <f aca="false">IF(F857="","",IFERROR(INDEX('Plan de Cuentas'!$B$5:$B$1241,MATCH(F857,'Plan de Cuentas'!$A$5:$A$1241,0)),"No encontrado"))</f>
        <v/>
      </c>
      <c r="H857" s="17"/>
      <c r="I857" s="13"/>
    </row>
    <row r="858" customFormat="false" ht="15" hidden="false" customHeight="true" outlineLevel="0" collapsed="false">
      <c r="A858" s="13"/>
      <c r="B858" s="14"/>
      <c r="C858" s="15"/>
      <c r="D858" s="16"/>
      <c r="E858" s="13" t="str">
        <f aca="false">IF(D858="","",IFERROR(INDEX('Plan de Cuentas'!$B$5:$B$1241,MATCH(D858,'Plan de Cuentas'!$A$5:$A$1241,0)),"No encontrado"))</f>
        <v/>
      </c>
      <c r="F858" s="16"/>
      <c r="G858" s="13" t="str">
        <f aca="false">IF(F858="","",IFERROR(INDEX('Plan de Cuentas'!$B$5:$B$1241,MATCH(F858,'Plan de Cuentas'!$A$5:$A$1241,0)),"No encontrado"))</f>
        <v/>
      </c>
      <c r="H858" s="17"/>
      <c r="I858" s="13"/>
    </row>
    <row r="859" customFormat="false" ht="15" hidden="false" customHeight="true" outlineLevel="0" collapsed="false">
      <c r="A859" s="13"/>
      <c r="B859" s="14"/>
      <c r="C859" s="15"/>
      <c r="D859" s="16"/>
      <c r="E859" s="13" t="str">
        <f aca="false">IF(D859="","",IFERROR(INDEX('Plan de Cuentas'!$B$5:$B$1241,MATCH(D859,'Plan de Cuentas'!$A$5:$A$1241,0)),"No encontrado"))</f>
        <v/>
      </c>
      <c r="F859" s="16"/>
      <c r="G859" s="13" t="str">
        <f aca="false">IF(F859="","",IFERROR(INDEX('Plan de Cuentas'!$B$5:$B$1241,MATCH(F859,'Plan de Cuentas'!$A$5:$A$1241,0)),"No encontrado"))</f>
        <v/>
      </c>
      <c r="H859" s="17"/>
      <c r="I859" s="13"/>
    </row>
    <row r="860" customFormat="false" ht="15" hidden="false" customHeight="true" outlineLevel="0" collapsed="false">
      <c r="A860" s="13"/>
      <c r="B860" s="14"/>
      <c r="C860" s="15"/>
      <c r="D860" s="16"/>
      <c r="E860" s="13" t="str">
        <f aca="false">IF(D860="","",IFERROR(INDEX('Plan de Cuentas'!$B$5:$B$1241,MATCH(D860,'Plan de Cuentas'!$A$5:$A$1241,0)),"No encontrado"))</f>
        <v/>
      </c>
      <c r="F860" s="16"/>
      <c r="G860" s="13" t="str">
        <f aca="false">IF(F860="","",IFERROR(INDEX('Plan de Cuentas'!$B$5:$B$1241,MATCH(F860,'Plan de Cuentas'!$A$5:$A$1241,0)),"No encontrado"))</f>
        <v/>
      </c>
      <c r="H860" s="17"/>
      <c r="I860" s="13"/>
    </row>
    <row r="861" customFormat="false" ht="15" hidden="false" customHeight="true" outlineLevel="0" collapsed="false">
      <c r="A861" s="13"/>
      <c r="B861" s="14"/>
      <c r="C861" s="15"/>
      <c r="D861" s="16"/>
      <c r="E861" s="13" t="str">
        <f aca="false">IF(D861="","",IFERROR(INDEX('Plan de Cuentas'!$B$5:$B$1241,MATCH(D861,'Plan de Cuentas'!$A$5:$A$1241,0)),"No encontrado"))</f>
        <v/>
      </c>
      <c r="F861" s="16"/>
      <c r="G861" s="13" t="str">
        <f aca="false">IF(F861="","",IFERROR(INDEX('Plan de Cuentas'!$B$5:$B$1241,MATCH(F861,'Plan de Cuentas'!$A$5:$A$1241,0)),"No encontrado"))</f>
        <v/>
      </c>
      <c r="H861" s="17"/>
      <c r="I861" s="13"/>
    </row>
    <row r="862" customFormat="false" ht="15" hidden="false" customHeight="true" outlineLevel="0" collapsed="false">
      <c r="A862" s="13"/>
      <c r="B862" s="14"/>
      <c r="C862" s="15"/>
      <c r="D862" s="16"/>
      <c r="E862" s="13" t="str">
        <f aca="false">IF(D862="","",IFERROR(INDEX('Plan de Cuentas'!$B$5:$B$1241,MATCH(D862,'Plan de Cuentas'!$A$5:$A$1241,0)),"No encontrado"))</f>
        <v/>
      </c>
      <c r="F862" s="16"/>
      <c r="G862" s="13" t="str">
        <f aca="false">IF(F862="","",IFERROR(INDEX('Plan de Cuentas'!$B$5:$B$1241,MATCH(F862,'Plan de Cuentas'!$A$5:$A$1241,0)),"No encontrado"))</f>
        <v/>
      </c>
      <c r="H862" s="17"/>
      <c r="I862" s="13"/>
    </row>
    <row r="863" customFormat="false" ht="15" hidden="false" customHeight="true" outlineLevel="0" collapsed="false">
      <c r="A863" s="13"/>
      <c r="B863" s="14"/>
      <c r="C863" s="15"/>
      <c r="D863" s="16"/>
      <c r="E863" s="13" t="str">
        <f aca="false">IF(D863="","",IFERROR(INDEX('Plan de Cuentas'!$B$5:$B$1241,MATCH(D863,'Plan de Cuentas'!$A$5:$A$1241,0)),"No encontrado"))</f>
        <v/>
      </c>
      <c r="F863" s="16"/>
      <c r="G863" s="13" t="str">
        <f aca="false">IF(F863="","",IFERROR(INDEX('Plan de Cuentas'!$B$5:$B$1241,MATCH(F863,'Plan de Cuentas'!$A$5:$A$1241,0)),"No encontrado"))</f>
        <v/>
      </c>
      <c r="H863" s="17"/>
      <c r="I863" s="13"/>
    </row>
    <row r="864" customFormat="false" ht="15" hidden="false" customHeight="true" outlineLevel="0" collapsed="false">
      <c r="A864" s="13"/>
      <c r="B864" s="14"/>
      <c r="C864" s="15"/>
      <c r="D864" s="16"/>
      <c r="E864" s="13" t="str">
        <f aca="false">IF(D864="","",IFERROR(INDEX('Plan de Cuentas'!$B$5:$B$1241,MATCH(D864,'Plan de Cuentas'!$A$5:$A$1241,0)),"No encontrado"))</f>
        <v/>
      </c>
      <c r="F864" s="16"/>
      <c r="G864" s="13" t="str">
        <f aca="false">IF(F864="","",IFERROR(INDEX('Plan de Cuentas'!$B$5:$B$1241,MATCH(F864,'Plan de Cuentas'!$A$5:$A$1241,0)),"No encontrado"))</f>
        <v/>
      </c>
      <c r="H864" s="17"/>
      <c r="I864" s="13"/>
    </row>
    <row r="865" customFormat="false" ht="15" hidden="false" customHeight="true" outlineLevel="0" collapsed="false">
      <c r="A865" s="13"/>
      <c r="B865" s="14"/>
      <c r="C865" s="15"/>
      <c r="D865" s="16"/>
      <c r="E865" s="13" t="str">
        <f aca="false">IF(D865="","",IFERROR(INDEX('Plan de Cuentas'!$B$5:$B$1241,MATCH(D865,'Plan de Cuentas'!$A$5:$A$1241,0)),"No encontrado"))</f>
        <v/>
      </c>
      <c r="F865" s="16"/>
      <c r="G865" s="13" t="str">
        <f aca="false">IF(F865="","",IFERROR(INDEX('Plan de Cuentas'!$B$5:$B$1241,MATCH(F865,'Plan de Cuentas'!$A$5:$A$1241,0)),"No encontrado"))</f>
        <v/>
      </c>
      <c r="H865" s="17"/>
      <c r="I865" s="13"/>
    </row>
    <row r="866" customFormat="false" ht="15" hidden="false" customHeight="true" outlineLevel="0" collapsed="false">
      <c r="A866" s="13"/>
      <c r="B866" s="14"/>
      <c r="C866" s="15"/>
      <c r="D866" s="16"/>
      <c r="E866" s="13" t="str">
        <f aca="false">IF(D866="","",IFERROR(INDEX('Plan de Cuentas'!$B$5:$B$1241,MATCH(D866,'Plan de Cuentas'!$A$5:$A$1241,0)),"No encontrado"))</f>
        <v/>
      </c>
      <c r="F866" s="16"/>
      <c r="G866" s="13" t="str">
        <f aca="false">IF(F866="","",IFERROR(INDEX('Plan de Cuentas'!$B$5:$B$1241,MATCH(F866,'Plan de Cuentas'!$A$5:$A$1241,0)),"No encontrado"))</f>
        <v/>
      </c>
      <c r="H866" s="17"/>
      <c r="I866" s="13"/>
    </row>
    <row r="867" customFormat="false" ht="15" hidden="false" customHeight="true" outlineLevel="0" collapsed="false">
      <c r="A867" s="13"/>
      <c r="B867" s="14"/>
      <c r="C867" s="15"/>
      <c r="D867" s="16"/>
      <c r="E867" s="13" t="str">
        <f aca="false">IF(D867="","",IFERROR(INDEX('Plan de Cuentas'!$B$5:$B$1241,MATCH(D867,'Plan de Cuentas'!$A$5:$A$1241,0)),"No encontrado"))</f>
        <v/>
      </c>
      <c r="F867" s="16"/>
      <c r="G867" s="13" t="str">
        <f aca="false">IF(F867="","",IFERROR(INDEX('Plan de Cuentas'!$B$5:$B$1241,MATCH(F867,'Plan de Cuentas'!$A$5:$A$1241,0)),"No encontrado"))</f>
        <v/>
      </c>
      <c r="H867" s="17"/>
      <c r="I867" s="13"/>
    </row>
    <row r="868" customFormat="false" ht="15" hidden="false" customHeight="true" outlineLevel="0" collapsed="false">
      <c r="A868" s="13"/>
      <c r="B868" s="14"/>
      <c r="C868" s="15"/>
      <c r="D868" s="16"/>
      <c r="E868" s="13" t="str">
        <f aca="false">IF(D868="","",IFERROR(INDEX('Plan de Cuentas'!$B$5:$B$1241,MATCH(D868,'Plan de Cuentas'!$A$5:$A$1241,0)),"No encontrado"))</f>
        <v/>
      </c>
      <c r="F868" s="16"/>
      <c r="G868" s="13" t="str">
        <f aca="false">IF(F868="","",IFERROR(INDEX('Plan de Cuentas'!$B$5:$B$1241,MATCH(F868,'Plan de Cuentas'!$A$5:$A$1241,0)),"No encontrado"))</f>
        <v/>
      </c>
      <c r="H868" s="17"/>
      <c r="I868" s="13"/>
    </row>
    <row r="869" customFormat="false" ht="15" hidden="false" customHeight="true" outlineLevel="0" collapsed="false">
      <c r="A869" s="13"/>
      <c r="B869" s="14"/>
      <c r="C869" s="15"/>
      <c r="D869" s="16"/>
      <c r="E869" s="13" t="str">
        <f aca="false">IF(D869="","",IFERROR(INDEX('Plan de Cuentas'!$B$5:$B$1241,MATCH(D869,'Plan de Cuentas'!$A$5:$A$1241,0)),"No encontrado"))</f>
        <v/>
      </c>
      <c r="F869" s="16"/>
      <c r="G869" s="13" t="str">
        <f aca="false">IF(F869="","",IFERROR(INDEX('Plan de Cuentas'!$B$5:$B$1241,MATCH(F869,'Plan de Cuentas'!$A$5:$A$1241,0)),"No encontrado"))</f>
        <v/>
      </c>
      <c r="H869" s="17"/>
      <c r="I869" s="13"/>
    </row>
    <row r="870" customFormat="false" ht="15" hidden="false" customHeight="true" outlineLevel="0" collapsed="false">
      <c r="A870" s="13"/>
      <c r="B870" s="14"/>
      <c r="C870" s="15"/>
      <c r="D870" s="16"/>
      <c r="E870" s="13" t="str">
        <f aca="false">IF(D870="","",IFERROR(INDEX('Plan de Cuentas'!$B$5:$B$1241,MATCH(D870,'Plan de Cuentas'!$A$5:$A$1241,0)),"No encontrado"))</f>
        <v/>
      </c>
      <c r="F870" s="16"/>
      <c r="G870" s="13" t="str">
        <f aca="false">IF(F870="","",IFERROR(INDEX('Plan de Cuentas'!$B$5:$B$1241,MATCH(F870,'Plan de Cuentas'!$A$5:$A$1241,0)),"No encontrado"))</f>
        <v/>
      </c>
      <c r="H870" s="17"/>
      <c r="I870" s="13"/>
    </row>
    <row r="871" customFormat="false" ht="15" hidden="false" customHeight="true" outlineLevel="0" collapsed="false">
      <c r="A871" s="13"/>
      <c r="B871" s="14"/>
      <c r="C871" s="15"/>
      <c r="D871" s="16"/>
      <c r="E871" s="13" t="str">
        <f aca="false">IF(D871="","",IFERROR(INDEX('Plan de Cuentas'!$B$5:$B$1241,MATCH(D871,'Plan de Cuentas'!$A$5:$A$1241,0)),"No encontrado"))</f>
        <v/>
      </c>
      <c r="F871" s="16"/>
      <c r="G871" s="13" t="str">
        <f aca="false">IF(F871="","",IFERROR(INDEX('Plan de Cuentas'!$B$5:$B$1241,MATCH(F871,'Plan de Cuentas'!$A$5:$A$1241,0)),"No encontrado"))</f>
        <v/>
      </c>
      <c r="H871" s="17"/>
      <c r="I871" s="13"/>
    </row>
    <row r="872" customFormat="false" ht="15" hidden="false" customHeight="true" outlineLevel="0" collapsed="false">
      <c r="A872" s="13"/>
      <c r="B872" s="14"/>
      <c r="C872" s="15"/>
      <c r="D872" s="16"/>
      <c r="E872" s="13" t="str">
        <f aca="false">IF(D872="","",IFERROR(INDEX('Plan de Cuentas'!$B$5:$B$1241,MATCH(D872,'Plan de Cuentas'!$A$5:$A$1241,0)),"No encontrado"))</f>
        <v/>
      </c>
      <c r="F872" s="16"/>
      <c r="G872" s="13" t="str">
        <f aca="false">IF(F872="","",IFERROR(INDEX('Plan de Cuentas'!$B$5:$B$1241,MATCH(F872,'Plan de Cuentas'!$A$5:$A$1241,0)),"No encontrado"))</f>
        <v/>
      </c>
      <c r="H872" s="17"/>
      <c r="I872" s="13"/>
    </row>
    <row r="873" customFormat="false" ht="15" hidden="false" customHeight="true" outlineLevel="0" collapsed="false">
      <c r="A873" s="13"/>
      <c r="B873" s="14"/>
      <c r="C873" s="15"/>
      <c r="D873" s="16"/>
      <c r="E873" s="13" t="str">
        <f aca="false">IF(D873="","",IFERROR(INDEX('Plan de Cuentas'!$B$5:$B$1241,MATCH(D873,'Plan de Cuentas'!$A$5:$A$1241,0)),"No encontrado"))</f>
        <v/>
      </c>
      <c r="F873" s="16"/>
      <c r="G873" s="13" t="str">
        <f aca="false">IF(F873="","",IFERROR(INDEX('Plan de Cuentas'!$B$5:$B$1241,MATCH(F873,'Plan de Cuentas'!$A$5:$A$1241,0)),"No encontrado"))</f>
        <v/>
      </c>
      <c r="H873" s="17"/>
      <c r="I873" s="13"/>
    </row>
    <row r="874" customFormat="false" ht="15" hidden="false" customHeight="true" outlineLevel="0" collapsed="false">
      <c r="A874" s="13"/>
      <c r="B874" s="14"/>
      <c r="C874" s="15"/>
      <c r="D874" s="16"/>
      <c r="E874" s="13" t="str">
        <f aca="false">IF(D874="","",IFERROR(INDEX('Plan de Cuentas'!$B$5:$B$1241,MATCH(D874,'Plan de Cuentas'!$A$5:$A$1241,0)),"No encontrado"))</f>
        <v/>
      </c>
      <c r="F874" s="16"/>
      <c r="G874" s="13" t="str">
        <f aca="false">IF(F874="","",IFERROR(INDEX('Plan de Cuentas'!$B$5:$B$1241,MATCH(F874,'Plan de Cuentas'!$A$5:$A$1241,0)),"No encontrado"))</f>
        <v/>
      </c>
      <c r="H874" s="17"/>
      <c r="I874" s="13"/>
    </row>
    <row r="875" customFormat="false" ht="15" hidden="false" customHeight="true" outlineLevel="0" collapsed="false">
      <c r="A875" s="13"/>
      <c r="B875" s="14"/>
      <c r="C875" s="15"/>
      <c r="D875" s="16"/>
      <c r="E875" s="13" t="str">
        <f aca="false">IF(D875="","",IFERROR(INDEX('Plan de Cuentas'!$B$5:$B$1241,MATCH(D875,'Plan de Cuentas'!$A$5:$A$1241,0)),"No encontrado"))</f>
        <v/>
      </c>
      <c r="F875" s="16"/>
      <c r="G875" s="13" t="str">
        <f aca="false">IF(F875="","",IFERROR(INDEX('Plan de Cuentas'!$B$5:$B$1241,MATCH(F875,'Plan de Cuentas'!$A$5:$A$1241,0)),"No encontrado"))</f>
        <v/>
      </c>
      <c r="H875" s="17"/>
      <c r="I875" s="13"/>
    </row>
    <row r="876" customFormat="false" ht="15" hidden="false" customHeight="true" outlineLevel="0" collapsed="false">
      <c r="A876" s="13"/>
      <c r="B876" s="14"/>
      <c r="C876" s="15"/>
      <c r="D876" s="16"/>
      <c r="E876" s="13" t="str">
        <f aca="false">IF(D876="","",IFERROR(INDEX('Plan de Cuentas'!$B$5:$B$1241,MATCH(D876,'Plan de Cuentas'!$A$5:$A$1241,0)),"No encontrado"))</f>
        <v/>
      </c>
      <c r="F876" s="16"/>
      <c r="G876" s="13" t="str">
        <f aca="false">IF(F876="","",IFERROR(INDEX('Plan de Cuentas'!$B$5:$B$1241,MATCH(F876,'Plan de Cuentas'!$A$5:$A$1241,0)),"No encontrado"))</f>
        <v/>
      </c>
      <c r="H876" s="17"/>
      <c r="I876" s="13"/>
    </row>
    <row r="877" customFormat="false" ht="15" hidden="false" customHeight="true" outlineLevel="0" collapsed="false">
      <c r="A877" s="13"/>
      <c r="B877" s="14"/>
      <c r="C877" s="15"/>
      <c r="D877" s="16"/>
      <c r="E877" s="13" t="str">
        <f aca="false">IF(D877="","",IFERROR(INDEX('Plan de Cuentas'!$B$5:$B$1241,MATCH(D877,'Plan de Cuentas'!$A$5:$A$1241,0)),"No encontrado"))</f>
        <v/>
      </c>
      <c r="F877" s="16"/>
      <c r="G877" s="13" t="str">
        <f aca="false">IF(F877="","",IFERROR(INDEX('Plan de Cuentas'!$B$5:$B$1241,MATCH(F877,'Plan de Cuentas'!$A$5:$A$1241,0)),"No encontrado"))</f>
        <v/>
      </c>
      <c r="H877" s="17"/>
      <c r="I877" s="13"/>
    </row>
    <row r="878" customFormat="false" ht="15" hidden="false" customHeight="true" outlineLevel="0" collapsed="false">
      <c r="A878" s="13"/>
      <c r="B878" s="14"/>
      <c r="C878" s="15"/>
      <c r="D878" s="16"/>
      <c r="E878" s="13" t="str">
        <f aca="false">IF(D878="","",IFERROR(INDEX('Plan de Cuentas'!$B$5:$B$1241,MATCH(D878,'Plan de Cuentas'!$A$5:$A$1241,0)),"No encontrado"))</f>
        <v/>
      </c>
      <c r="F878" s="16"/>
      <c r="G878" s="13" t="str">
        <f aca="false">IF(F878="","",IFERROR(INDEX('Plan de Cuentas'!$B$5:$B$1241,MATCH(F878,'Plan de Cuentas'!$A$5:$A$1241,0)),"No encontrado"))</f>
        <v/>
      </c>
      <c r="H878" s="17"/>
      <c r="I878" s="13"/>
    </row>
    <row r="879" customFormat="false" ht="15" hidden="false" customHeight="true" outlineLevel="0" collapsed="false">
      <c r="A879" s="13"/>
      <c r="B879" s="14"/>
      <c r="C879" s="15"/>
      <c r="D879" s="16"/>
      <c r="E879" s="13" t="str">
        <f aca="false">IF(D879="","",IFERROR(INDEX('Plan de Cuentas'!$B$5:$B$1241,MATCH(D879,'Plan de Cuentas'!$A$5:$A$1241,0)),"No encontrado"))</f>
        <v/>
      </c>
      <c r="F879" s="16"/>
      <c r="G879" s="13" t="str">
        <f aca="false">IF(F879="","",IFERROR(INDEX('Plan de Cuentas'!$B$5:$B$1241,MATCH(F879,'Plan de Cuentas'!$A$5:$A$1241,0)),"No encontrado"))</f>
        <v/>
      </c>
      <c r="H879" s="17"/>
      <c r="I879" s="13"/>
    </row>
    <row r="880" customFormat="false" ht="15" hidden="false" customHeight="true" outlineLevel="0" collapsed="false">
      <c r="A880" s="13"/>
      <c r="B880" s="14"/>
      <c r="C880" s="15"/>
      <c r="D880" s="16"/>
      <c r="E880" s="13" t="str">
        <f aca="false">IF(D880="","",IFERROR(INDEX('Plan de Cuentas'!$B$5:$B$1241,MATCH(D880,'Plan de Cuentas'!$A$5:$A$1241,0)),"No encontrado"))</f>
        <v/>
      </c>
      <c r="F880" s="16"/>
      <c r="G880" s="13" t="str">
        <f aca="false">IF(F880="","",IFERROR(INDEX('Plan de Cuentas'!$B$5:$B$1241,MATCH(F880,'Plan de Cuentas'!$A$5:$A$1241,0)),"No encontrado"))</f>
        <v/>
      </c>
      <c r="H880" s="17"/>
      <c r="I880" s="13"/>
    </row>
    <row r="881" customFormat="false" ht="15" hidden="false" customHeight="true" outlineLevel="0" collapsed="false">
      <c r="A881" s="13"/>
      <c r="B881" s="14"/>
      <c r="C881" s="15"/>
      <c r="D881" s="16"/>
      <c r="E881" s="13" t="str">
        <f aca="false">IF(D881="","",IFERROR(INDEX('Plan de Cuentas'!$B$5:$B$1241,MATCH(D881,'Plan de Cuentas'!$A$5:$A$1241,0)),"No encontrado"))</f>
        <v/>
      </c>
      <c r="F881" s="16"/>
      <c r="G881" s="13" t="str">
        <f aca="false">IF(F881="","",IFERROR(INDEX('Plan de Cuentas'!$B$5:$B$1241,MATCH(F881,'Plan de Cuentas'!$A$5:$A$1241,0)),"No encontrado"))</f>
        <v/>
      </c>
      <c r="H881" s="17"/>
      <c r="I881" s="13"/>
    </row>
    <row r="882" customFormat="false" ht="15" hidden="false" customHeight="true" outlineLevel="0" collapsed="false">
      <c r="A882" s="13"/>
      <c r="B882" s="14"/>
      <c r="C882" s="15"/>
      <c r="D882" s="16"/>
      <c r="E882" s="13" t="str">
        <f aca="false">IF(D882="","",IFERROR(INDEX('Plan de Cuentas'!$B$5:$B$1241,MATCH(D882,'Plan de Cuentas'!$A$5:$A$1241,0)),"No encontrado"))</f>
        <v/>
      </c>
      <c r="F882" s="16"/>
      <c r="G882" s="13" t="str">
        <f aca="false">IF(F882="","",IFERROR(INDEX('Plan de Cuentas'!$B$5:$B$1241,MATCH(F882,'Plan de Cuentas'!$A$5:$A$1241,0)),"No encontrado"))</f>
        <v/>
      </c>
      <c r="H882" s="17"/>
      <c r="I882" s="13"/>
    </row>
    <row r="883" customFormat="false" ht="15" hidden="false" customHeight="true" outlineLevel="0" collapsed="false">
      <c r="A883" s="13"/>
      <c r="B883" s="14"/>
      <c r="C883" s="15"/>
      <c r="D883" s="16"/>
      <c r="E883" s="13" t="str">
        <f aca="false">IF(D883="","",IFERROR(INDEX('Plan de Cuentas'!$B$5:$B$1241,MATCH(D883,'Plan de Cuentas'!$A$5:$A$1241,0)),"No encontrado"))</f>
        <v/>
      </c>
      <c r="F883" s="16"/>
      <c r="G883" s="13" t="str">
        <f aca="false">IF(F883="","",IFERROR(INDEX('Plan de Cuentas'!$B$5:$B$1241,MATCH(F883,'Plan de Cuentas'!$A$5:$A$1241,0)),"No encontrado"))</f>
        <v/>
      </c>
      <c r="H883" s="17"/>
      <c r="I883" s="13"/>
    </row>
    <row r="884" customFormat="false" ht="15" hidden="false" customHeight="true" outlineLevel="0" collapsed="false">
      <c r="A884" s="13"/>
      <c r="B884" s="14"/>
      <c r="C884" s="15"/>
      <c r="D884" s="16"/>
      <c r="E884" s="13" t="str">
        <f aca="false">IF(D884="","",IFERROR(INDEX('Plan de Cuentas'!$B$5:$B$1241,MATCH(D884,'Plan de Cuentas'!$A$5:$A$1241,0)),"No encontrado"))</f>
        <v/>
      </c>
      <c r="F884" s="16"/>
      <c r="G884" s="13" t="str">
        <f aca="false">IF(F884="","",IFERROR(INDEX('Plan de Cuentas'!$B$5:$B$1241,MATCH(F884,'Plan de Cuentas'!$A$5:$A$1241,0)),"No encontrado"))</f>
        <v/>
      </c>
      <c r="H884" s="17"/>
      <c r="I884" s="13"/>
    </row>
    <row r="885" customFormat="false" ht="15" hidden="false" customHeight="true" outlineLevel="0" collapsed="false">
      <c r="A885" s="13"/>
      <c r="B885" s="14"/>
      <c r="C885" s="15"/>
      <c r="D885" s="16"/>
      <c r="E885" s="13" t="str">
        <f aca="false">IF(D885="","",IFERROR(INDEX('Plan de Cuentas'!$B$5:$B$1241,MATCH(D885,'Plan de Cuentas'!$A$5:$A$1241,0)),"No encontrado"))</f>
        <v/>
      </c>
      <c r="F885" s="16"/>
      <c r="G885" s="13" t="str">
        <f aca="false">IF(F885="","",IFERROR(INDEX('Plan de Cuentas'!$B$5:$B$1241,MATCH(F885,'Plan de Cuentas'!$A$5:$A$1241,0)),"No encontrado"))</f>
        <v/>
      </c>
      <c r="H885" s="17"/>
      <c r="I885" s="13"/>
    </row>
    <row r="886" customFormat="false" ht="15" hidden="false" customHeight="true" outlineLevel="0" collapsed="false">
      <c r="A886" s="13"/>
      <c r="B886" s="14"/>
      <c r="C886" s="15"/>
      <c r="D886" s="16"/>
      <c r="E886" s="13" t="str">
        <f aca="false">IF(D886="","",IFERROR(INDEX('Plan de Cuentas'!$B$5:$B$1241,MATCH(D886,'Plan de Cuentas'!$A$5:$A$1241,0)),"No encontrado"))</f>
        <v/>
      </c>
      <c r="F886" s="16"/>
      <c r="G886" s="13" t="str">
        <f aca="false">IF(F886="","",IFERROR(INDEX('Plan de Cuentas'!$B$5:$B$1241,MATCH(F886,'Plan de Cuentas'!$A$5:$A$1241,0)),"No encontrado"))</f>
        <v/>
      </c>
      <c r="H886" s="17"/>
      <c r="I886" s="13"/>
    </row>
    <row r="887" customFormat="false" ht="15" hidden="false" customHeight="true" outlineLevel="0" collapsed="false">
      <c r="A887" s="13"/>
      <c r="B887" s="14"/>
      <c r="C887" s="15"/>
      <c r="D887" s="16"/>
      <c r="E887" s="13" t="str">
        <f aca="false">IF(D887="","",IFERROR(INDEX('Plan de Cuentas'!$B$5:$B$1241,MATCH(D887,'Plan de Cuentas'!$A$5:$A$1241,0)),"No encontrado"))</f>
        <v/>
      </c>
      <c r="F887" s="16"/>
      <c r="G887" s="13" t="str">
        <f aca="false">IF(F887="","",IFERROR(INDEX('Plan de Cuentas'!$B$5:$B$1241,MATCH(F887,'Plan de Cuentas'!$A$5:$A$1241,0)),"No encontrado"))</f>
        <v/>
      </c>
      <c r="H887" s="17"/>
      <c r="I887" s="13"/>
    </row>
    <row r="888" customFormat="false" ht="15" hidden="false" customHeight="true" outlineLevel="0" collapsed="false">
      <c r="A888" s="13"/>
      <c r="B888" s="14"/>
      <c r="C888" s="15"/>
      <c r="D888" s="16"/>
      <c r="E888" s="13" t="str">
        <f aca="false">IF(D888="","",IFERROR(INDEX('Plan de Cuentas'!$B$5:$B$1241,MATCH(D888,'Plan de Cuentas'!$A$5:$A$1241,0)),"No encontrado"))</f>
        <v/>
      </c>
      <c r="F888" s="16"/>
      <c r="G888" s="13" t="str">
        <f aca="false">IF(F888="","",IFERROR(INDEX('Plan de Cuentas'!$B$5:$B$1241,MATCH(F888,'Plan de Cuentas'!$A$5:$A$1241,0)),"No encontrado"))</f>
        <v/>
      </c>
      <c r="H888" s="17"/>
      <c r="I888" s="13"/>
    </row>
    <row r="889" customFormat="false" ht="15" hidden="false" customHeight="true" outlineLevel="0" collapsed="false">
      <c r="A889" s="13"/>
      <c r="B889" s="14"/>
      <c r="C889" s="15"/>
      <c r="D889" s="16"/>
      <c r="E889" s="13" t="str">
        <f aca="false">IF(D889="","",IFERROR(INDEX('Plan de Cuentas'!$B$5:$B$1241,MATCH(D889,'Plan de Cuentas'!$A$5:$A$1241,0)),"No encontrado"))</f>
        <v/>
      </c>
      <c r="F889" s="16"/>
      <c r="G889" s="13" t="str">
        <f aca="false">IF(F889="","",IFERROR(INDEX('Plan de Cuentas'!$B$5:$B$1241,MATCH(F889,'Plan de Cuentas'!$A$5:$A$1241,0)),"No encontrado"))</f>
        <v/>
      </c>
      <c r="H889" s="17"/>
      <c r="I889" s="13"/>
    </row>
    <row r="890" customFormat="false" ht="15" hidden="false" customHeight="true" outlineLevel="0" collapsed="false">
      <c r="A890" s="13"/>
      <c r="B890" s="14"/>
      <c r="C890" s="15"/>
      <c r="D890" s="16"/>
      <c r="E890" s="13" t="str">
        <f aca="false">IF(D890="","",IFERROR(INDEX('Plan de Cuentas'!$B$5:$B$1241,MATCH(D890,'Plan de Cuentas'!$A$5:$A$1241,0)),"No encontrado"))</f>
        <v/>
      </c>
      <c r="F890" s="16"/>
      <c r="G890" s="13" t="str">
        <f aca="false">IF(F890="","",IFERROR(INDEX('Plan de Cuentas'!$B$5:$B$1241,MATCH(F890,'Plan de Cuentas'!$A$5:$A$1241,0)),"No encontrado"))</f>
        <v/>
      </c>
      <c r="H890" s="17"/>
      <c r="I890" s="13"/>
    </row>
    <row r="891" customFormat="false" ht="15" hidden="false" customHeight="true" outlineLevel="0" collapsed="false">
      <c r="A891" s="13"/>
      <c r="B891" s="14"/>
      <c r="C891" s="15"/>
      <c r="D891" s="16"/>
      <c r="E891" s="13" t="str">
        <f aca="false">IF(D891="","",IFERROR(INDEX('Plan de Cuentas'!$B$5:$B$1241,MATCH(D891,'Plan de Cuentas'!$A$5:$A$1241,0)),"No encontrado"))</f>
        <v/>
      </c>
      <c r="F891" s="16"/>
      <c r="G891" s="13" t="str">
        <f aca="false">IF(F891="","",IFERROR(INDEX('Plan de Cuentas'!$B$5:$B$1241,MATCH(F891,'Plan de Cuentas'!$A$5:$A$1241,0)),"No encontrado"))</f>
        <v/>
      </c>
      <c r="H891" s="17"/>
      <c r="I891" s="13"/>
    </row>
    <row r="892" customFormat="false" ht="15" hidden="false" customHeight="true" outlineLevel="0" collapsed="false">
      <c r="A892" s="13"/>
      <c r="B892" s="14"/>
      <c r="C892" s="15"/>
      <c r="D892" s="16"/>
      <c r="E892" s="13" t="str">
        <f aca="false">IF(D892="","",IFERROR(INDEX('Plan de Cuentas'!$B$5:$B$1241,MATCH(D892,'Plan de Cuentas'!$A$5:$A$1241,0)),"No encontrado"))</f>
        <v/>
      </c>
      <c r="F892" s="16"/>
      <c r="G892" s="13" t="str">
        <f aca="false">IF(F892="","",IFERROR(INDEX('Plan de Cuentas'!$B$5:$B$1241,MATCH(F892,'Plan de Cuentas'!$A$5:$A$1241,0)),"No encontrado"))</f>
        <v/>
      </c>
      <c r="H892" s="17"/>
      <c r="I892" s="13"/>
    </row>
    <row r="893" customFormat="false" ht="15" hidden="false" customHeight="true" outlineLevel="0" collapsed="false">
      <c r="A893" s="13"/>
      <c r="B893" s="14"/>
      <c r="C893" s="15"/>
      <c r="D893" s="16"/>
      <c r="E893" s="13" t="str">
        <f aca="false">IF(D893="","",IFERROR(INDEX('Plan de Cuentas'!$B$5:$B$1241,MATCH(D893,'Plan de Cuentas'!$A$5:$A$1241,0)),"No encontrado"))</f>
        <v/>
      </c>
      <c r="F893" s="16"/>
      <c r="G893" s="13" t="str">
        <f aca="false">IF(F893="","",IFERROR(INDEX('Plan de Cuentas'!$B$5:$B$1241,MATCH(F893,'Plan de Cuentas'!$A$5:$A$1241,0)),"No encontrado"))</f>
        <v/>
      </c>
      <c r="H893" s="17"/>
      <c r="I893" s="13"/>
    </row>
    <row r="894" customFormat="false" ht="15" hidden="false" customHeight="true" outlineLevel="0" collapsed="false">
      <c r="A894" s="13"/>
      <c r="B894" s="14"/>
      <c r="C894" s="15"/>
      <c r="D894" s="16"/>
      <c r="E894" s="13" t="str">
        <f aca="false">IF(D894="","",IFERROR(INDEX('Plan de Cuentas'!$B$5:$B$1241,MATCH(D894,'Plan de Cuentas'!$A$5:$A$1241,0)),"No encontrado"))</f>
        <v/>
      </c>
      <c r="F894" s="16"/>
      <c r="G894" s="13" t="str">
        <f aca="false">IF(F894="","",IFERROR(INDEX('Plan de Cuentas'!$B$5:$B$1241,MATCH(F894,'Plan de Cuentas'!$A$5:$A$1241,0)),"No encontrado"))</f>
        <v/>
      </c>
      <c r="H894" s="17"/>
      <c r="I894" s="13"/>
    </row>
    <row r="895" customFormat="false" ht="15" hidden="false" customHeight="true" outlineLevel="0" collapsed="false">
      <c r="A895" s="13"/>
      <c r="B895" s="14"/>
      <c r="C895" s="15"/>
      <c r="D895" s="16"/>
      <c r="E895" s="13" t="str">
        <f aca="false">IF(D895="","",IFERROR(INDEX('Plan de Cuentas'!$B$5:$B$1241,MATCH(D895,'Plan de Cuentas'!$A$5:$A$1241,0)),"No encontrado"))</f>
        <v/>
      </c>
      <c r="F895" s="16"/>
      <c r="G895" s="13" t="str">
        <f aca="false">IF(F895="","",IFERROR(INDEX('Plan de Cuentas'!$B$5:$B$1241,MATCH(F895,'Plan de Cuentas'!$A$5:$A$1241,0)),"No encontrado"))</f>
        <v/>
      </c>
      <c r="H895" s="17"/>
      <c r="I895" s="13"/>
    </row>
    <row r="896" customFormat="false" ht="15" hidden="false" customHeight="true" outlineLevel="0" collapsed="false">
      <c r="A896" s="13"/>
      <c r="B896" s="14"/>
      <c r="C896" s="15"/>
      <c r="D896" s="16"/>
      <c r="E896" s="13" t="str">
        <f aca="false">IF(D896="","",IFERROR(INDEX('Plan de Cuentas'!$B$5:$B$1241,MATCH(D896,'Plan de Cuentas'!$A$5:$A$1241,0)),"No encontrado"))</f>
        <v/>
      </c>
      <c r="F896" s="16"/>
      <c r="G896" s="13" t="str">
        <f aca="false">IF(F896="","",IFERROR(INDEX('Plan de Cuentas'!$B$5:$B$1241,MATCH(F896,'Plan de Cuentas'!$A$5:$A$1241,0)),"No encontrado"))</f>
        <v/>
      </c>
      <c r="H896" s="17"/>
      <c r="I896" s="13"/>
    </row>
    <row r="897" customFormat="false" ht="15" hidden="false" customHeight="true" outlineLevel="0" collapsed="false">
      <c r="A897" s="13"/>
      <c r="B897" s="14"/>
      <c r="C897" s="15"/>
      <c r="D897" s="16"/>
      <c r="E897" s="13" t="str">
        <f aca="false">IF(D897="","",IFERROR(INDEX('Plan de Cuentas'!$B$5:$B$1241,MATCH(D897,'Plan de Cuentas'!$A$5:$A$1241,0)),"No encontrado"))</f>
        <v/>
      </c>
      <c r="F897" s="16"/>
      <c r="G897" s="13" t="str">
        <f aca="false">IF(F897="","",IFERROR(INDEX('Plan de Cuentas'!$B$5:$B$1241,MATCH(F897,'Plan de Cuentas'!$A$5:$A$1241,0)),"No encontrado"))</f>
        <v/>
      </c>
      <c r="H897" s="17"/>
      <c r="I897" s="13"/>
    </row>
    <row r="898" customFormat="false" ht="15" hidden="false" customHeight="true" outlineLevel="0" collapsed="false">
      <c r="A898" s="13"/>
      <c r="B898" s="14"/>
      <c r="C898" s="15"/>
      <c r="D898" s="16"/>
      <c r="E898" s="13" t="str">
        <f aca="false">IF(D898="","",IFERROR(INDEX('Plan de Cuentas'!$B$5:$B$1241,MATCH(D898,'Plan de Cuentas'!$A$5:$A$1241,0)),"No encontrado"))</f>
        <v/>
      </c>
      <c r="F898" s="16"/>
      <c r="G898" s="13" t="str">
        <f aca="false">IF(F898="","",IFERROR(INDEX('Plan de Cuentas'!$B$5:$B$1241,MATCH(F898,'Plan de Cuentas'!$A$5:$A$1241,0)),"No encontrado"))</f>
        <v/>
      </c>
      <c r="H898" s="17"/>
      <c r="I898" s="13"/>
    </row>
    <row r="899" customFormat="false" ht="15" hidden="false" customHeight="true" outlineLevel="0" collapsed="false">
      <c r="A899" s="13"/>
      <c r="B899" s="14"/>
      <c r="C899" s="15"/>
      <c r="D899" s="16"/>
      <c r="E899" s="13" t="str">
        <f aca="false">IF(D899="","",IFERROR(INDEX('Plan de Cuentas'!$B$5:$B$1241,MATCH(D899,'Plan de Cuentas'!$A$5:$A$1241,0)),"No encontrado"))</f>
        <v/>
      </c>
      <c r="F899" s="16"/>
      <c r="G899" s="13" t="str">
        <f aca="false">IF(F899="","",IFERROR(INDEX('Plan de Cuentas'!$B$5:$B$1241,MATCH(F899,'Plan de Cuentas'!$A$5:$A$1241,0)),"No encontrado"))</f>
        <v/>
      </c>
      <c r="H899" s="17"/>
      <c r="I899" s="13"/>
    </row>
    <row r="900" customFormat="false" ht="15" hidden="false" customHeight="true" outlineLevel="0" collapsed="false">
      <c r="A900" s="13"/>
      <c r="B900" s="14"/>
      <c r="C900" s="15"/>
      <c r="D900" s="16"/>
      <c r="E900" s="13" t="str">
        <f aca="false">IF(D900="","",IFERROR(INDEX('Plan de Cuentas'!$B$5:$B$1241,MATCH(D900,'Plan de Cuentas'!$A$5:$A$1241,0)),"No encontrado"))</f>
        <v/>
      </c>
      <c r="F900" s="16"/>
      <c r="G900" s="13" t="str">
        <f aca="false">IF(F900="","",IFERROR(INDEX('Plan de Cuentas'!$B$5:$B$1241,MATCH(F900,'Plan de Cuentas'!$A$5:$A$1241,0)),"No encontrado"))</f>
        <v/>
      </c>
      <c r="H900" s="17"/>
      <c r="I900" s="13"/>
    </row>
    <row r="901" customFormat="false" ht="15" hidden="false" customHeight="true" outlineLevel="0" collapsed="false">
      <c r="A901" s="13"/>
      <c r="B901" s="14"/>
      <c r="C901" s="15"/>
      <c r="D901" s="16"/>
      <c r="E901" s="13" t="str">
        <f aca="false">IF(D901="","",IFERROR(INDEX('Plan de Cuentas'!$B$5:$B$1241,MATCH(D901,'Plan de Cuentas'!$A$5:$A$1241,0)),"No encontrado"))</f>
        <v/>
      </c>
      <c r="F901" s="16"/>
      <c r="G901" s="13" t="str">
        <f aca="false">IF(F901="","",IFERROR(INDEX('Plan de Cuentas'!$B$5:$B$1241,MATCH(F901,'Plan de Cuentas'!$A$5:$A$1241,0)),"No encontrado"))</f>
        <v/>
      </c>
      <c r="H901" s="17"/>
      <c r="I901" s="13"/>
    </row>
    <row r="902" customFormat="false" ht="15" hidden="false" customHeight="true" outlineLevel="0" collapsed="false">
      <c r="A902" s="13"/>
      <c r="B902" s="14"/>
      <c r="C902" s="15"/>
      <c r="D902" s="16"/>
      <c r="E902" s="13" t="str">
        <f aca="false">IF(D902="","",IFERROR(INDEX('Plan de Cuentas'!$B$5:$B$1241,MATCH(D902,'Plan de Cuentas'!$A$5:$A$1241,0)),"No encontrado"))</f>
        <v/>
      </c>
      <c r="F902" s="16"/>
      <c r="G902" s="13" t="str">
        <f aca="false">IF(F902="","",IFERROR(INDEX('Plan de Cuentas'!$B$5:$B$1241,MATCH(F902,'Plan de Cuentas'!$A$5:$A$1241,0)),"No encontrado"))</f>
        <v/>
      </c>
      <c r="H902" s="17"/>
      <c r="I902" s="13"/>
    </row>
    <row r="903" customFormat="false" ht="15" hidden="false" customHeight="true" outlineLevel="0" collapsed="false">
      <c r="A903" s="13"/>
      <c r="B903" s="14"/>
      <c r="C903" s="15"/>
      <c r="D903" s="16"/>
      <c r="E903" s="13" t="str">
        <f aca="false">IF(D903="","",IFERROR(INDEX('Plan de Cuentas'!$B$5:$B$1241,MATCH(D903,'Plan de Cuentas'!$A$5:$A$1241,0)),"No encontrado"))</f>
        <v/>
      </c>
      <c r="F903" s="16"/>
      <c r="G903" s="13" t="str">
        <f aca="false">IF(F903="","",IFERROR(INDEX('Plan de Cuentas'!$B$5:$B$1241,MATCH(F903,'Plan de Cuentas'!$A$5:$A$1241,0)),"No encontrado"))</f>
        <v/>
      </c>
      <c r="H903" s="17"/>
      <c r="I903" s="13"/>
    </row>
    <row r="904" customFormat="false" ht="15" hidden="false" customHeight="true" outlineLevel="0" collapsed="false">
      <c r="A904" s="13"/>
      <c r="B904" s="14"/>
      <c r="C904" s="15"/>
      <c r="D904" s="16"/>
      <c r="E904" s="13" t="str">
        <f aca="false">IF(D904="","",IFERROR(INDEX('Plan de Cuentas'!$B$5:$B$1241,MATCH(D904,'Plan de Cuentas'!$A$5:$A$1241,0)),"No encontrado"))</f>
        <v/>
      </c>
      <c r="F904" s="16"/>
      <c r="G904" s="13" t="str">
        <f aca="false">IF(F904="","",IFERROR(INDEX('Plan de Cuentas'!$B$5:$B$1241,MATCH(F904,'Plan de Cuentas'!$A$5:$A$1241,0)),"No encontrado"))</f>
        <v/>
      </c>
      <c r="H904" s="17"/>
      <c r="I904" s="13"/>
    </row>
    <row r="905" customFormat="false" ht="15" hidden="false" customHeight="true" outlineLevel="0" collapsed="false">
      <c r="A905" s="13"/>
      <c r="B905" s="14"/>
      <c r="C905" s="15"/>
      <c r="D905" s="16"/>
      <c r="E905" s="13" t="str">
        <f aca="false">IF(D905="","",IFERROR(INDEX('Plan de Cuentas'!$B$5:$B$1241,MATCH(D905,'Plan de Cuentas'!$A$5:$A$1241,0)),"No encontrado"))</f>
        <v/>
      </c>
      <c r="F905" s="16"/>
      <c r="G905" s="13" t="str">
        <f aca="false">IF(F905="","",IFERROR(INDEX('Plan de Cuentas'!$B$5:$B$1241,MATCH(F905,'Plan de Cuentas'!$A$5:$A$1241,0)),"No encontrado"))</f>
        <v/>
      </c>
      <c r="H905" s="17"/>
      <c r="I905" s="13"/>
    </row>
    <row r="906" customFormat="false" ht="15" hidden="false" customHeight="true" outlineLevel="0" collapsed="false">
      <c r="A906" s="13"/>
      <c r="B906" s="14"/>
      <c r="C906" s="15"/>
      <c r="D906" s="16"/>
      <c r="E906" s="13" t="str">
        <f aca="false">IF(D906="","",IFERROR(INDEX('Plan de Cuentas'!$B$5:$B$1241,MATCH(D906,'Plan de Cuentas'!$A$5:$A$1241,0)),"No encontrado"))</f>
        <v/>
      </c>
      <c r="F906" s="16"/>
      <c r="G906" s="13" t="str">
        <f aca="false">IF(F906="","",IFERROR(INDEX('Plan de Cuentas'!$B$5:$B$1241,MATCH(F906,'Plan de Cuentas'!$A$5:$A$1241,0)),"No encontrado"))</f>
        <v/>
      </c>
      <c r="H906" s="17"/>
      <c r="I906" s="13"/>
    </row>
    <row r="907" customFormat="false" ht="15" hidden="false" customHeight="true" outlineLevel="0" collapsed="false">
      <c r="A907" s="13"/>
      <c r="B907" s="14"/>
      <c r="C907" s="15"/>
      <c r="D907" s="16"/>
      <c r="E907" s="13" t="str">
        <f aca="false">IF(D907="","",IFERROR(INDEX('Plan de Cuentas'!$B$5:$B$1241,MATCH(D907,'Plan de Cuentas'!$A$5:$A$1241,0)),"No encontrado"))</f>
        <v/>
      </c>
      <c r="F907" s="16"/>
      <c r="G907" s="13" t="str">
        <f aca="false">IF(F907="","",IFERROR(INDEX('Plan de Cuentas'!$B$5:$B$1241,MATCH(F907,'Plan de Cuentas'!$A$5:$A$1241,0)),"No encontrado"))</f>
        <v/>
      </c>
      <c r="H907" s="17"/>
      <c r="I907" s="13"/>
    </row>
    <row r="908" customFormat="false" ht="15" hidden="false" customHeight="true" outlineLevel="0" collapsed="false">
      <c r="A908" s="13"/>
      <c r="B908" s="14"/>
      <c r="C908" s="15"/>
      <c r="D908" s="16"/>
      <c r="E908" s="13" t="str">
        <f aca="false">IF(D908="","",IFERROR(INDEX('Plan de Cuentas'!$B$5:$B$1241,MATCH(D908,'Plan de Cuentas'!$A$5:$A$1241,0)),"No encontrado"))</f>
        <v/>
      </c>
      <c r="F908" s="16"/>
      <c r="G908" s="13" t="str">
        <f aca="false">IF(F908="","",IFERROR(INDEX('Plan de Cuentas'!$B$5:$B$1241,MATCH(F908,'Plan de Cuentas'!$A$5:$A$1241,0)),"No encontrado"))</f>
        <v/>
      </c>
      <c r="H908" s="17"/>
      <c r="I908" s="13"/>
    </row>
    <row r="909" customFormat="false" ht="15" hidden="false" customHeight="true" outlineLevel="0" collapsed="false">
      <c r="A909" s="13"/>
      <c r="B909" s="14"/>
      <c r="C909" s="15"/>
      <c r="D909" s="16"/>
      <c r="E909" s="13" t="str">
        <f aca="false">IF(D909="","",IFERROR(INDEX('Plan de Cuentas'!$B$5:$B$1241,MATCH(D909,'Plan de Cuentas'!$A$5:$A$1241,0)),"No encontrado"))</f>
        <v/>
      </c>
      <c r="F909" s="16"/>
      <c r="G909" s="13" t="str">
        <f aca="false">IF(F909="","",IFERROR(INDEX('Plan de Cuentas'!$B$5:$B$1241,MATCH(F909,'Plan de Cuentas'!$A$5:$A$1241,0)),"No encontrado"))</f>
        <v/>
      </c>
      <c r="H909" s="17"/>
      <c r="I909" s="13"/>
    </row>
    <row r="910" customFormat="false" ht="15" hidden="false" customHeight="true" outlineLevel="0" collapsed="false">
      <c r="A910" s="13"/>
      <c r="B910" s="14"/>
      <c r="C910" s="15"/>
      <c r="D910" s="16"/>
      <c r="E910" s="13" t="str">
        <f aca="false">IF(D910="","",IFERROR(INDEX('Plan de Cuentas'!$B$5:$B$1241,MATCH(D910,'Plan de Cuentas'!$A$5:$A$1241,0)),"No encontrado"))</f>
        <v/>
      </c>
      <c r="F910" s="16"/>
      <c r="G910" s="13" t="str">
        <f aca="false">IF(F910="","",IFERROR(INDEX('Plan de Cuentas'!$B$5:$B$1241,MATCH(F910,'Plan de Cuentas'!$A$5:$A$1241,0)),"No encontrado"))</f>
        <v/>
      </c>
      <c r="H910" s="17"/>
      <c r="I910" s="13"/>
    </row>
    <row r="911" customFormat="false" ht="15" hidden="false" customHeight="true" outlineLevel="0" collapsed="false">
      <c r="A911" s="13"/>
      <c r="B911" s="14"/>
      <c r="C911" s="15"/>
      <c r="D911" s="16"/>
      <c r="E911" s="13" t="str">
        <f aca="false">IF(D911="","",IFERROR(INDEX('Plan de Cuentas'!$B$5:$B$1241,MATCH(D911,'Plan de Cuentas'!$A$5:$A$1241,0)),"No encontrado"))</f>
        <v/>
      </c>
      <c r="F911" s="16"/>
      <c r="G911" s="13" t="str">
        <f aca="false">IF(F911="","",IFERROR(INDEX('Plan de Cuentas'!$B$5:$B$1241,MATCH(F911,'Plan de Cuentas'!$A$5:$A$1241,0)),"No encontrado"))</f>
        <v/>
      </c>
      <c r="H911" s="17"/>
      <c r="I911" s="13"/>
    </row>
    <row r="912" customFormat="false" ht="15" hidden="false" customHeight="true" outlineLevel="0" collapsed="false">
      <c r="A912" s="13"/>
      <c r="B912" s="14"/>
      <c r="C912" s="15"/>
      <c r="D912" s="16"/>
      <c r="E912" s="13" t="str">
        <f aca="false">IF(D912="","",IFERROR(INDEX('Plan de Cuentas'!$B$5:$B$1241,MATCH(D912,'Plan de Cuentas'!$A$5:$A$1241,0)),"No encontrado"))</f>
        <v/>
      </c>
      <c r="F912" s="16"/>
      <c r="G912" s="13" t="str">
        <f aca="false">IF(F912="","",IFERROR(INDEX('Plan de Cuentas'!$B$5:$B$1241,MATCH(F912,'Plan de Cuentas'!$A$5:$A$1241,0)),"No encontrado"))</f>
        <v/>
      </c>
      <c r="H912" s="17"/>
      <c r="I912" s="13"/>
    </row>
    <row r="913" customFormat="false" ht="15" hidden="false" customHeight="true" outlineLevel="0" collapsed="false">
      <c r="A913" s="13"/>
      <c r="B913" s="14"/>
      <c r="C913" s="15"/>
      <c r="D913" s="16"/>
      <c r="E913" s="13" t="str">
        <f aca="false">IF(D913="","",IFERROR(INDEX('Plan de Cuentas'!$B$5:$B$1241,MATCH(D913,'Plan de Cuentas'!$A$5:$A$1241,0)),"No encontrado"))</f>
        <v/>
      </c>
      <c r="F913" s="16"/>
      <c r="G913" s="13" t="str">
        <f aca="false">IF(F913="","",IFERROR(INDEX('Plan de Cuentas'!$B$5:$B$1241,MATCH(F913,'Plan de Cuentas'!$A$5:$A$1241,0)),"No encontrado"))</f>
        <v/>
      </c>
      <c r="H913" s="17"/>
      <c r="I913" s="13"/>
    </row>
    <row r="914" customFormat="false" ht="15" hidden="false" customHeight="true" outlineLevel="0" collapsed="false">
      <c r="A914" s="13"/>
      <c r="B914" s="14"/>
      <c r="C914" s="15"/>
      <c r="D914" s="16"/>
      <c r="E914" s="13" t="str">
        <f aca="false">IF(D914="","",IFERROR(INDEX('Plan de Cuentas'!$B$5:$B$1241,MATCH(D914,'Plan de Cuentas'!$A$5:$A$1241,0)),"No encontrado"))</f>
        <v/>
      </c>
      <c r="F914" s="16"/>
      <c r="G914" s="13" t="str">
        <f aca="false">IF(F914="","",IFERROR(INDEX('Plan de Cuentas'!$B$5:$B$1241,MATCH(F914,'Plan de Cuentas'!$A$5:$A$1241,0)),"No encontrado"))</f>
        <v/>
      </c>
      <c r="H914" s="17"/>
      <c r="I914" s="13"/>
    </row>
    <row r="915" customFormat="false" ht="15" hidden="false" customHeight="true" outlineLevel="0" collapsed="false">
      <c r="A915" s="13"/>
      <c r="B915" s="14"/>
      <c r="C915" s="15"/>
      <c r="D915" s="16"/>
      <c r="E915" s="13" t="str">
        <f aca="false">IF(D915="","",IFERROR(INDEX('Plan de Cuentas'!$B$5:$B$1241,MATCH(D915,'Plan de Cuentas'!$A$5:$A$1241,0)),"No encontrado"))</f>
        <v/>
      </c>
      <c r="F915" s="16"/>
      <c r="G915" s="13" t="str">
        <f aca="false">IF(F915="","",IFERROR(INDEX('Plan de Cuentas'!$B$5:$B$1241,MATCH(F915,'Plan de Cuentas'!$A$5:$A$1241,0)),"No encontrado"))</f>
        <v/>
      </c>
      <c r="H915" s="17"/>
      <c r="I915" s="13"/>
    </row>
    <row r="916" customFormat="false" ht="15" hidden="false" customHeight="true" outlineLevel="0" collapsed="false">
      <c r="A916" s="13"/>
      <c r="B916" s="14"/>
      <c r="C916" s="15"/>
      <c r="D916" s="16"/>
      <c r="E916" s="13" t="str">
        <f aca="false">IF(D916="","",IFERROR(INDEX('Plan de Cuentas'!$B$5:$B$1241,MATCH(D916,'Plan de Cuentas'!$A$5:$A$1241,0)),"No encontrado"))</f>
        <v/>
      </c>
      <c r="F916" s="16"/>
      <c r="G916" s="13" t="str">
        <f aca="false">IF(F916="","",IFERROR(INDEX('Plan de Cuentas'!$B$5:$B$1241,MATCH(F916,'Plan de Cuentas'!$A$5:$A$1241,0)),"No encontrado"))</f>
        <v/>
      </c>
      <c r="H916" s="17"/>
      <c r="I916" s="13"/>
    </row>
    <row r="917" customFormat="false" ht="15" hidden="false" customHeight="true" outlineLevel="0" collapsed="false">
      <c r="A917" s="13"/>
      <c r="B917" s="14"/>
      <c r="C917" s="15"/>
      <c r="D917" s="16"/>
      <c r="E917" s="13" t="str">
        <f aca="false">IF(D917="","",IFERROR(INDEX('Plan de Cuentas'!$B$5:$B$1241,MATCH(D917,'Plan de Cuentas'!$A$5:$A$1241,0)),"No encontrado"))</f>
        <v/>
      </c>
      <c r="F917" s="16"/>
      <c r="G917" s="13" t="str">
        <f aca="false">IF(F917="","",IFERROR(INDEX('Plan de Cuentas'!$B$5:$B$1241,MATCH(F917,'Plan de Cuentas'!$A$5:$A$1241,0)),"No encontrado"))</f>
        <v/>
      </c>
      <c r="H917" s="17"/>
      <c r="I917" s="13"/>
    </row>
    <row r="918" customFormat="false" ht="15" hidden="false" customHeight="true" outlineLevel="0" collapsed="false">
      <c r="A918" s="13"/>
      <c r="B918" s="14"/>
      <c r="C918" s="15"/>
      <c r="D918" s="16"/>
      <c r="E918" s="13" t="str">
        <f aca="false">IF(D918="","",IFERROR(INDEX('Plan de Cuentas'!$B$5:$B$1241,MATCH(D918,'Plan de Cuentas'!$A$5:$A$1241,0)),"No encontrado"))</f>
        <v/>
      </c>
      <c r="F918" s="16"/>
      <c r="G918" s="13" t="str">
        <f aca="false">IF(F918="","",IFERROR(INDEX('Plan de Cuentas'!$B$5:$B$1241,MATCH(F918,'Plan de Cuentas'!$A$5:$A$1241,0)),"No encontrado"))</f>
        <v/>
      </c>
      <c r="H918" s="17"/>
      <c r="I918" s="13"/>
    </row>
    <row r="919" customFormat="false" ht="15" hidden="false" customHeight="true" outlineLevel="0" collapsed="false">
      <c r="A919" s="13"/>
      <c r="B919" s="14"/>
      <c r="C919" s="15"/>
      <c r="D919" s="16"/>
      <c r="E919" s="13" t="str">
        <f aca="false">IF(D919="","",IFERROR(INDEX('Plan de Cuentas'!$B$5:$B$1241,MATCH(D919,'Plan de Cuentas'!$A$5:$A$1241,0)),"No encontrado"))</f>
        <v/>
      </c>
      <c r="F919" s="16"/>
      <c r="G919" s="13" t="str">
        <f aca="false">IF(F919="","",IFERROR(INDEX('Plan de Cuentas'!$B$5:$B$1241,MATCH(F919,'Plan de Cuentas'!$A$5:$A$1241,0)),"No encontrado"))</f>
        <v/>
      </c>
      <c r="H919" s="17"/>
      <c r="I919" s="13"/>
    </row>
    <row r="920" customFormat="false" ht="15" hidden="false" customHeight="true" outlineLevel="0" collapsed="false">
      <c r="A920" s="13"/>
      <c r="B920" s="14"/>
      <c r="C920" s="15"/>
      <c r="D920" s="16"/>
      <c r="E920" s="13" t="str">
        <f aca="false">IF(D920="","",IFERROR(INDEX('Plan de Cuentas'!$B$5:$B$1241,MATCH(D920,'Plan de Cuentas'!$A$5:$A$1241,0)),"No encontrado"))</f>
        <v/>
      </c>
      <c r="F920" s="16"/>
      <c r="G920" s="13" t="str">
        <f aca="false">IF(F920="","",IFERROR(INDEX('Plan de Cuentas'!$B$5:$B$1241,MATCH(F920,'Plan de Cuentas'!$A$5:$A$1241,0)),"No encontrado"))</f>
        <v/>
      </c>
      <c r="H920" s="17"/>
      <c r="I920" s="13"/>
    </row>
    <row r="921" customFormat="false" ht="15" hidden="false" customHeight="true" outlineLevel="0" collapsed="false">
      <c r="A921" s="13"/>
      <c r="B921" s="14"/>
      <c r="C921" s="15"/>
      <c r="D921" s="16"/>
      <c r="E921" s="13" t="str">
        <f aca="false">IF(D921="","",IFERROR(INDEX('Plan de Cuentas'!$B$5:$B$1241,MATCH(D921,'Plan de Cuentas'!$A$5:$A$1241,0)),"No encontrado"))</f>
        <v/>
      </c>
      <c r="F921" s="16"/>
      <c r="G921" s="13" t="str">
        <f aca="false">IF(F921="","",IFERROR(INDEX('Plan de Cuentas'!$B$5:$B$1241,MATCH(F921,'Plan de Cuentas'!$A$5:$A$1241,0)),"No encontrado"))</f>
        <v/>
      </c>
      <c r="H921" s="17"/>
      <c r="I921" s="13"/>
    </row>
    <row r="922" customFormat="false" ht="15" hidden="false" customHeight="true" outlineLevel="0" collapsed="false">
      <c r="A922" s="13"/>
      <c r="B922" s="14"/>
      <c r="C922" s="15"/>
      <c r="D922" s="16"/>
      <c r="E922" s="13" t="str">
        <f aca="false">IF(D922="","",IFERROR(INDEX('Plan de Cuentas'!$B$5:$B$1241,MATCH(D922,'Plan de Cuentas'!$A$5:$A$1241,0)),"No encontrado"))</f>
        <v/>
      </c>
      <c r="F922" s="16"/>
      <c r="G922" s="13" t="str">
        <f aca="false">IF(F922="","",IFERROR(INDEX('Plan de Cuentas'!$B$5:$B$1241,MATCH(F922,'Plan de Cuentas'!$A$5:$A$1241,0)),"No encontrado"))</f>
        <v/>
      </c>
      <c r="H922" s="17"/>
      <c r="I922" s="13"/>
    </row>
    <row r="923" customFormat="false" ht="15" hidden="false" customHeight="true" outlineLevel="0" collapsed="false">
      <c r="A923" s="13"/>
      <c r="B923" s="14"/>
      <c r="C923" s="15"/>
      <c r="D923" s="16"/>
      <c r="E923" s="13" t="str">
        <f aca="false">IF(D923="","",IFERROR(INDEX('Plan de Cuentas'!$B$5:$B$1241,MATCH(D923,'Plan de Cuentas'!$A$5:$A$1241,0)),"No encontrado"))</f>
        <v/>
      </c>
      <c r="F923" s="16"/>
      <c r="G923" s="13" t="str">
        <f aca="false">IF(F923="","",IFERROR(INDEX('Plan de Cuentas'!$B$5:$B$1241,MATCH(F923,'Plan de Cuentas'!$A$5:$A$1241,0)),"No encontrado"))</f>
        <v/>
      </c>
      <c r="H923" s="17"/>
      <c r="I923" s="13"/>
    </row>
    <row r="924" customFormat="false" ht="15" hidden="false" customHeight="true" outlineLevel="0" collapsed="false">
      <c r="A924" s="13"/>
      <c r="B924" s="14"/>
      <c r="C924" s="15"/>
      <c r="D924" s="16"/>
      <c r="E924" s="13" t="str">
        <f aca="false">IF(D924="","",IFERROR(INDEX('Plan de Cuentas'!$B$5:$B$1241,MATCH(D924,'Plan de Cuentas'!$A$5:$A$1241,0)),"No encontrado"))</f>
        <v/>
      </c>
      <c r="F924" s="16"/>
      <c r="G924" s="13" t="str">
        <f aca="false">IF(F924="","",IFERROR(INDEX('Plan de Cuentas'!$B$5:$B$1241,MATCH(F924,'Plan de Cuentas'!$A$5:$A$1241,0)),"No encontrado"))</f>
        <v/>
      </c>
      <c r="H924" s="17"/>
      <c r="I924" s="13"/>
    </row>
    <row r="925" customFormat="false" ht="15" hidden="false" customHeight="true" outlineLevel="0" collapsed="false">
      <c r="A925" s="13"/>
      <c r="B925" s="14"/>
      <c r="C925" s="15"/>
      <c r="D925" s="16"/>
      <c r="E925" s="13" t="str">
        <f aca="false">IF(D925="","",IFERROR(INDEX('Plan de Cuentas'!$B$5:$B$1241,MATCH(D925,'Plan de Cuentas'!$A$5:$A$1241,0)),"No encontrado"))</f>
        <v/>
      </c>
      <c r="F925" s="16"/>
      <c r="G925" s="13" t="str">
        <f aca="false">IF(F925="","",IFERROR(INDEX('Plan de Cuentas'!$B$5:$B$1241,MATCH(F925,'Plan de Cuentas'!$A$5:$A$1241,0)),"No encontrado"))</f>
        <v/>
      </c>
      <c r="H925" s="17"/>
      <c r="I925" s="13"/>
    </row>
    <row r="926" customFormat="false" ht="15" hidden="false" customHeight="true" outlineLevel="0" collapsed="false">
      <c r="A926" s="13"/>
      <c r="B926" s="14"/>
      <c r="C926" s="15"/>
      <c r="D926" s="16"/>
      <c r="E926" s="13" t="str">
        <f aca="false">IF(D926="","",IFERROR(INDEX('Plan de Cuentas'!$B$5:$B$1241,MATCH(D926,'Plan de Cuentas'!$A$5:$A$1241,0)),"No encontrado"))</f>
        <v/>
      </c>
      <c r="F926" s="16"/>
      <c r="G926" s="13" t="str">
        <f aca="false">IF(F926="","",IFERROR(INDEX('Plan de Cuentas'!$B$5:$B$1241,MATCH(F926,'Plan de Cuentas'!$A$5:$A$1241,0)),"No encontrado"))</f>
        <v/>
      </c>
      <c r="H926" s="17"/>
      <c r="I926" s="13"/>
    </row>
    <row r="927" customFormat="false" ht="15" hidden="false" customHeight="true" outlineLevel="0" collapsed="false">
      <c r="A927" s="13"/>
      <c r="B927" s="14"/>
      <c r="C927" s="15"/>
      <c r="D927" s="16"/>
      <c r="E927" s="13" t="str">
        <f aca="false">IF(D927="","",IFERROR(INDEX('Plan de Cuentas'!$B$5:$B$1241,MATCH(D927,'Plan de Cuentas'!$A$5:$A$1241,0)),"No encontrado"))</f>
        <v/>
      </c>
      <c r="F927" s="16"/>
      <c r="G927" s="13" t="str">
        <f aca="false">IF(F927="","",IFERROR(INDEX('Plan de Cuentas'!$B$5:$B$1241,MATCH(F927,'Plan de Cuentas'!$A$5:$A$1241,0)),"No encontrado"))</f>
        <v/>
      </c>
      <c r="H927" s="17"/>
      <c r="I927" s="13"/>
    </row>
    <row r="928" customFormat="false" ht="15" hidden="false" customHeight="true" outlineLevel="0" collapsed="false">
      <c r="A928" s="13"/>
      <c r="B928" s="14"/>
      <c r="C928" s="15"/>
      <c r="D928" s="16"/>
      <c r="E928" s="13" t="str">
        <f aca="false">IF(D928="","",IFERROR(INDEX('Plan de Cuentas'!$B$5:$B$1241,MATCH(D928,'Plan de Cuentas'!$A$5:$A$1241,0)),"No encontrado"))</f>
        <v/>
      </c>
      <c r="F928" s="16"/>
      <c r="G928" s="13" t="str">
        <f aca="false">IF(F928="","",IFERROR(INDEX('Plan de Cuentas'!$B$5:$B$1241,MATCH(F928,'Plan de Cuentas'!$A$5:$A$1241,0)),"No encontrado"))</f>
        <v/>
      </c>
      <c r="H928" s="17"/>
      <c r="I928" s="13"/>
    </row>
    <row r="929" customFormat="false" ht="15" hidden="false" customHeight="true" outlineLevel="0" collapsed="false">
      <c r="A929" s="13"/>
      <c r="B929" s="14"/>
      <c r="C929" s="15"/>
      <c r="D929" s="16"/>
      <c r="E929" s="13" t="str">
        <f aca="false">IF(D929="","",IFERROR(INDEX('Plan de Cuentas'!$B$5:$B$1241,MATCH(D929,'Plan de Cuentas'!$A$5:$A$1241,0)),"No encontrado"))</f>
        <v/>
      </c>
      <c r="F929" s="16"/>
      <c r="G929" s="13" t="str">
        <f aca="false">IF(F929="","",IFERROR(INDEX('Plan de Cuentas'!$B$5:$B$1241,MATCH(F929,'Plan de Cuentas'!$A$5:$A$1241,0)),"No encontrado"))</f>
        <v/>
      </c>
      <c r="H929" s="17"/>
      <c r="I929" s="13"/>
    </row>
    <row r="930" customFormat="false" ht="15" hidden="false" customHeight="true" outlineLevel="0" collapsed="false">
      <c r="A930" s="13"/>
      <c r="B930" s="14"/>
      <c r="C930" s="15"/>
      <c r="D930" s="16"/>
      <c r="E930" s="13" t="str">
        <f aca="false">IF(D930="","",IFERROR(INDEX('Plan de Cuentas'!$B$5:$B$1241,MATCH(D930,'Plan de Cuentas'!$A$5:$A$1241,0)),"No encontrado"))</f>
        <v/>
      </c>
      <c r="F930" s="16"/>
      <c r="G930" s="13" t="str">
        <f aca="false">IF(F930="","",IFERROR(INDEX('Plan de Cuentas'!$B$5:$B$1241,MATCH(F930,'Plan de Cuentas'!$A$5:$A$1241,0)),"No encontrado"))</f>
        <v/>
      </c>
      <c r="H930" s="17"/>
      <c r="I930" s="13"/>
    </row>
    <row r="931" customFormat="false" ht="15" hidden="false" customHeight="true" outlineLevel="0" collapsed="false">
      <c r="A931" s="13"/>
      <c r="B931" s="14"/>
      <c r="C931" s="15"/>
      <c r="D931" s="16"/>
      <c r="E931" s="13" t="str">
        <f aca="false">IF(D931="","",IFERROR(INDEX('Plan de Cuentas'!$B$5:$B$1241,MATCH(D931,'Plan de Cuentas'!$A$5:$A$1241,0)),"No encontrado"))</f>
        <v/>
      </c>
      <c r="F931" s="16"/>
      <c r="G931" s="13" t="str">
        <f aca="false">IF(F931="","",IFERROR(INDEX('Plan de Cuentas'!$B$5:$B$1241,MATCH(F931,'Plan de Cuentas'!$A$5:$A$1241,0)),"No encontrado"))</f>
        <v/>
      </c>
      <c r="H931" s="17"/>
      <c r="I931" s="13"/>
    </row>
    <row r="932" customFormat="false" ht="15" hidden="false" customHeight="true" outlineLevel="0" collapsed="false">
      <c r="A932" s="13"/>
      <c r="B932" s="14"/>
      <c r="C932" s="15"/>
      <c r="D932" s="16"/>
      <c r="E932" s="13" t="str">
        <f aca="false">IF(D932="","",IFERROR(INDEX('Plan de Cuentas'!$B$5:$B$1241,MATCH(D932,'Plan de Cuentas'!$A$5:$A$1241,0)),"No encontrado"))</f>
        <v/>
      </c>
      <c r="F932" s="16"/>
      <c r="G932" s="13" t="str">
        <f aca="false">IF(F932="","",IFERROR(INDEX('Plan de Cuentas'!$B$5:$B$1241,MATCH(F932,'Plan de Cuentas'!$A$5:$A$1241,0)),"No encontrado"))</f>
        <v/>
      </c>
      <c r="H932" s="17"/>
      <c r="I932" s="13"/>
    </row>
    <row r="933" customFormat="false" ht="15" hidden="false" customHeight="true" outlineLevel="0" collapsed="false">
      <c r="A933" s="13"/>
      <c r="B933" s="14"/>
      <c r="C933" s="15"/>
      <c r="D933" s="16"/>
      <c r="E933" s="13" t="str">
        <f aca="false">IF(D933="","",IFERROR(INDEX('Plan de Cuentas'!$B$5:$B$1241,MATCH(D933,'Plan de Cuentas'!$A$5:$A$1241,0)),"No encontrado"))</f>
        <v/>
      </c>
      <c r="F933" s="16"/>
      <c r="G933" s="13" t="str">
        <f aca="false">IF(F933="","",IFERROR(INDEX('Plan de Cuentas'!$B$5:$B$1241,MATCH(F933,'Plan de Cuentas'!$A$5:$A$1241,0)),"No encontrado"))</f>
        <v/>
      </c>
      <c r="H933" s="17"/>
      <c r="I933" s="13"/>
    </row>
    <row r="934" customFormat="false" ht="15" hidden="false" customHeight="true" outlineLevel="0" collapsed="false">
      <c r="A934" s="13"/>
      <c r="B934" s="14"/>
      <c r="C934" s="15"/>
      <c r="D934" s="16"/>
      <c r="E934" s="13" t="str">
        <f aca="false">IF(D934="","",IFERROR(INDEX('Plan de Cuentas'!$B$5:$B$1241,MATCH(D934,'Plan de Cuentas'!$A$5:$A$1241,0)),"No encontrado"))</f>
        <v/>
      </c>
      <c r="F934" s="16"/>
      <c r="G934" s="13" t="str">
        <f aca="false">IF(F934="","",IFERROR(INDEX('Plan de Cuentas'!$B$5:$B$1241,MATCH(F934,'Plan de Cuentas'!$A$5:$A$1241,0)),"No encontrado"))</f>
        <v/>
      </c>
      <c r="H934" s="17"/>
      <c r="I934" s="13"/>
    </row>
    <row r="935" customFormat="false" ht="15" hidden="false" customHeight="true" outlineLevel="0" collapsed="false">
      <c r="A935" s="13"/>
      <c r="B935" s="14"/>
      <c r="C935" s="15"/>
      <c r="D935" s="16"/>
      <c r="E935" s="13" t="str">
        <f aca="false">IF(D935="","",IFERROR(INDEX('Plan de Cuentas'!$B$5:$B$1241,MATCH(D935,'Plan de Cuentas'!$A$5:$A$1241,0)),"No encontrado"))</f>
        <v/>
      </c>
      <c r="F935" s="16"/>
      <c r="G935" s="13" t="str">
        <f aca="false">IF(F935="","",IFERROR(INDEX('Plan de Cuentas'!$B$5:$B$1241,MATCH(F935,'Plan de Cuentas'!$A$5:$A$1241,0)),"No encontrado"))</f>
        <v/>
      </c>
      <c r="H935" s="17"/>
      <c r="I935" s="13"/>
    </row>
    <row r="936" customFormat="false" ht="15" hidden="false" customHeight="true" outlineLevel="0" collapsed="false">
      <c r="A936" s="13"/>
      <c r="B936" s="14"/>
      <c r="C936" s="15"/>
      <c r="D936" s="16"/>
      <c r="E936" s="13" t="str">
        <f aca="false">IF(D936="","",IFERROR(INDEX('Plan de Cuentas'!$B$5:$B$1241,MATCH(D936,'Plan de Cuentas'!$A$5:$A$1241,0)),"No encontrado"))</f>
        <v/>
      </c>
      <c r="F936" s="16"/>
      <c r="G936" s="13" t="str">
        <f aca="false">IF(F936="","",IFERROR(INDEX('Plan de Cuentas'!$B$5:$B$1241,MATCH(F936,'Plan de Cuentas'!$A$5:$A$1241,0)),"No encontrado"))</f>
        <v/>
      </c>
      <c r="H936" s="17"/>
      <c r="I936" s="13"/>
    </row>
    <row r="937" customFormat="false" ht="15" hidden="false" customHeight="true" outlineLevel="0" collapsed="false">
      <c r="A937" s="13"/>
      <c r="B937" s="14"/>
      <c r="C937" s="15"/>
      <c r="D937" s="16"/>
      <c r="E937" s="13" t="str">
        <f aca="false">IF(D937="","",IFERROR(INDEX('Plan de Cuentas'!$B$5:$B$1241,MATCH(D937,'Plan de Cuentas'!$A$5:$A$1241,0)),"No encontrado"))</f>
        <v/>
      </c>
      <c r="F937" s="16"/>
      <c r="G937" s="13" t="str">
        <f aca="false">IF(F937="","",IFERROR(INDEX('Plan de Cuentas'!$B$5:$B$1241,MATCH(F937,'Plan de Cuentas'!$A$5:$A$1241,0)),"No encontrado"))</f>
        <v/>
      </c>
      <c r="H937" s="17"/>
      <c r="I937" s="13"/>
    </row>
    <row r="938" customFormat="false" ht="15" hidden="false" customHeight="true" outlineLevel="0" collapsed="false">
      <c r="A938" s="13"/>
      <c r="B938" s="14"/>
      <c r="C938" s="15"/>
      <c r="D938" s="16"/>
      <c r="E938" s="13" t="str">
        <f aca="false">IF(D938="","",IFERROR(INDEX('Plan de Cuentas'!$B$5:$B$1241,MATCH(D938,'Plan de Cuentas'!$A$5:$A$1241,0)),"No encontrado"))</f>
        <v/>
      </c>
      <c r="F938" s="16"/>
      <c r="G938" s="13" t="str">
        <f aca="false">IF(F938="","",IFERROR(INDEX('Plan de Cuentas'!$B$5:$B$1241,MATCH(F938,'Plan de Cuentas'!$A$5:$A$1241,0)),"No encontrado"))</f>
        <v/>
      </c>
      <c r="H938" s="17"/>
      <c r="I938" s="13"/>
    </row>
    <row r="939" customFormat="false" ht="15" hidden="false" customHeight="true" outlineLevel="0" collapsed="false">
      <c r="A939" s="13"/>
      <c r="B939" s="14"/>
      <c r="C939" s="15"/>
      <c r="D939" s="16"/>
      <c r="E939" s="13" t="str">
        <f aca="false">IF(D939="","",IFERROR(INDEX('Plan de Cuentas'!$B$5:$B$1241,MATCH(D939,'Plan de Cuentas'!$A$5:$A$1241,0)),"No encontrado"))</f>
        <v/>
      </c>
      <c r="F939" s="16"/>
      <c r="G939" s="13" t="str">
        <f aca="false">IF(F939="","",IFERROR(INDEX('Plan de Cuentas'!$B$5:$B$1241,MATCH(F939,'Plan de Cuentas'!$A$5:$A$1241,0)),"No encontrado"))</f>
        <v/>
      </c>
      <c r="H939" s="17"/>
      <c r="I939" s="13"/>
    </row>
    <row r="940" customFormat="false" ht="15" hidden="false" customHeight="true" outlineLevel="0" collapsed="false">
      <c r="A940" s="13"/>
      <c r="B940" s="14"/>
      <c r="C940" s="15"/>
      <c r="D940" s="16"/>
      <c r="E940" s="13" t="str">
        <f aca="false">IF(D940="","",IFERROR(INDEX('Plan de Cuentas'!$B$5:$B$1241,MATCH(D940,'Plan de Cuentas'!$A$5:$A$1241,0)),"No encontrado"))</f>
        <v/>
      </c>
      <c r="F940" s="16"/>
      <c r="G940" s="13" t="str">
        <f aca="false">IF(F940="","",IFERROR(INDEX('Plan de Cuentas'!$B$5:$B$1241,MATCH(F940,'Plan de Cuentas'!$A$5:$A$1241,0)),"No encontrado"))</f>
        <v/>
      </c>
      <c r="H940" s="17"/>
      <c r="I940" s="13"/>
    </row>
    <row r="941" customFormat="false" ht="15" hidden="false" customHeight="true" outlineLevel="0" collapsed="false">
      <c r="A941" s="13"/>
      <c r="B941" s="14"/>
      <c r="C941" s="15"/>
      <c r="D941" s="16"/>
      <c r="E941" s="13" t="str">
        <f aca="false">IF(D941="","",IFERROR(INDEX('Plan de Cuentas'!$B$5:$B$1241,MATCH(D941,'Plan de Cuentas'!$A$5:$A$1241,0)),"No encontrado"))</f>
        <v/>
      </c>
      <c r="F941" s="16"/>
      <c r="G941" s="13" t="str">
        <f aca="false">IF(F941="","",IFERROR(INDEX('Plan de Cuentas'!$B$5:$B$1241,MATCH(F941,'Plan de Cuentas'!$A$5:$A$1241,0)),"No encontrado"))</f>
        <v/>
      </c>
      <c r="H941" s="17"/>
      <c r="I941" s="13"/>
    </row>
    <row r="942" customFormat="false" ht="15" hidden="false" customHeight="true" outlineLevel="0" collapsed="false">
      <c r="A942" s="13"/>
      <c r="B942" s="14"/>
      <c r="C942" s="15"/>
      <c r="D942" s="16"/>
      <c r="E942" s="13" t="str">
        <f aca="false">IF(D942="","",IFERROR(INDEX('Plan de Cuentas'!$B$5:$B$1241,MATCH(D942,'Plan de Cuentas'!$A$5:$A$1241,0)),"No encontrado"))</f>
        <v/>
      </c>
      <c r="F942" s="16"/>
      <c r="G942" s="13" t="str">
        <f aca="false">IF(F942="","",IFERROR(INDEX('Plan de Cuentas'!$B$5:$B$1241,MATCH(F942,'Plan de Cuentas'!$A$5:$A$1241,0)),"No encontrado"))</f>
        <v/>
      </c>
      <c r="H942" s="17"/>
      <c r="I942" s="13"/>
    </row>
    <row r="943" customFormat="false" ht="15" hidden="false" customHeight="true" outlineLevel="0" collapsed="false">
      <c r="A943" s="13"/>
      <c r="B943" s="14"/>
      <c r="C943" s="15"/>
      <c r="D943" s="16"/>
      <c r="E943" s="13" t="str">
        <f aca="false">IF(D943="","",IFERROR(INDEX('Plan de Cuentas'!$B$5:$B$1241,MATCH(D943,'Plan de Cuentas'!$A$5:$A$1241,0)),"No encontrado"))</f>
        <v/>
      </c>
      <c r="F943" s="16"/>
      <c r="G943" s="13" t="str">
        <f aca="false">IF(F943="","",IFERROR(INDEX('Plan de Cuentas'!$B$5:$B$1241,MATCH(F943,'Plan de Cuentas'!$A$5:$A$1241,0)),"No encontrado"))</f>
        <v/>
      </c>
      <c r="H943" s="17"/>
      <c r="I943" s="13"/>
    </row>
    <row r="944" customFormat="false" ht="15" hidden="false" customHeight="true" outlineLevel="0" collapsed="false">
      <c r="A944" s="13"/>
      <c r="B944" s="14"/>
      <c r="C944" s="15"/>
      <c r="D944" s="16"/>
      <c r="E944" s="13" t="str">
        <f aca="false">IF(D944="","",IFERROR(INDEX('Plan de Cuentas'!$B$5:$B$1241,MATCH(D944,'Plan de Cuentas'!$A$5:$A$1241,0)),"No encontrado"))</f>
        <v/>
      </c>
      <c r="F944" s="16"/>
      <c r="G944" s="13" t="str">
        <f aca="false">IF(F944="","",IFERROR(INDEX('Plan de Cuentas'!$B$5:$B$1241,MATCH(F944,'Plan de Cuentas'!$A$5:$A$1241,0)),"No encontrado"))</f>
        <v/>
      </c>
      <c r="H944" s="17"/>
      <c r="I944" s="13"/>
    </row>
    <row r="945" customFormat="false" ht="15" hidden="false" customHeight="true" outlineLevel="0" collapsed="false">
      <c r="A945" s="13"/>
      <c r="B945" s="14"/>
      <c r="C945" s="15"/>
      <c r="D945" s="16"/>
      <c r="E945" s="13" t="str">
        <f aca="false">IF(D945="","",IFERROR(INDEX('Plan de Cuentas'!$B$5:$B$1241,MATCH(D945,'Plan de Cuentas'!$A$5:$A$1241,0)),"No encontrado"))</f>
        <v/>
      </c>
      <c r="F945" s="16"/>
      <c r="G945" s="13" t="str">
        <f aca="false">IF(F945="","",IFERROR(INDEX('Plan de Cuentas'!$B$5:$B$1241,MATCH(F945,'Plan de Cuentas'!$A$5:$A$1241,0)),"No encontrado"))</f>
        <v/>
      </c>
      <c r="H945" s="17"/>
      <c r="I945" s="13"/>
    </row>
    <row r="946" customFormat="false" ht="15" hidden="false" customHeight="true" outlineLevel="0" collapsed="false">
      <c r="A946" s="13"/>
      <c r="B946" s="14"/>
      <c r="C946" s="15"/>
      <c r="D946" s="16"/>
      <c r="E946" s="13" t="str">
        <f aca="false">IF(D946="","",IFERROR(INDEX('Plan de Cuentas'!$B$5:$B$1241,MATCH(D946,'Plan de Cuentas'!$A$5:$A$1241,0)),"No encontrado"))</f>
        <v/>
      </c>
      <c r="F946" s="16"/>
      <c r="G946" s="13" t="str">
        <f aca="false">IF(F946="","",IFERROR(INDEX('Plan de Cuentas'!$B$5:$B$1241,MATCH(F946,'Plan de Cuentas'!$A$5:$A$1241,0)),"No encontrado"))</f>
        <v/>
      </c>
      <c r="H946" s="17"/>
      <c r="I946" s="13"/>
    </row>
    <row r="947" customFormat="false" ht="15" hidden="false" customHeight="true" outlineLevel="0" collapsed="false">
      <c r="A947" s="13"/>
      <c r="B947" s="14"/>
      <c r="C947" s="15"/>
      <c r="D947" s="16"/>
      <c r="E947" s="13" t="str">
        <f aca="false">IF(D947="","",IFERROR(INDEX('Plan de Cuentas'!$B$5:$B$1241,MATCH(D947,'Plan de Cuentas'!$A$5:$A$1241,0)),"No encontrado"))</f>
        <v/>
      </c>
      <c r="F947" s="16"/>
      <c r="G947" s="13" t="str">
        <f aca="false">IF(F947="","",IFERROR(INDEX('Plan de Cuentas'!$B$5:$B$1241,MATCH(F947,'Plan de Cuentas'!$A$5:$A$1241,0)),"No encontrado"))</f>
        <v/>
      </c>
      <c r="H947" s="17"/>
      <c r="I947" s="13"/>
    </row>
    <row r="948" customFormat="false" ht="15" hidden="false" customHeight="true" outlineLevel="0" collapsed="false">
      <c r="A948" s="13"/>
      <c r="B948" s="14"/>
      <c r="C948" s="15"/>
      <c r="D948" s="16"/>
      <c r="E948" s="13" t="str">
        <f aca="false">IF(D948="","",IFERROR(INDEX('Plan de Cuentas'!$B$5:$B$1241,MATCH(D948,'Plan de Cuentas'!$A$5:$A$1241,0)),"No encontrado"))</f>
        <v/>
      </c>
      <c r="F948" s="16"/>
      <c r="G948" s="13" t="str">
        <f aca="false">IF(F948="","",IFERROR(INDEX('Plan de Cuentas'!$B$5:$B$1241,MATCH(F948,'Plan de Cuentas'!$A$5:$A$1241,0)),"No encontrado"))</f>
        <v/>
      </c>
      <c r="H948" s="17"/>
      <c r="I948" s="13"/>
    </row>
    <row r="949" customFormat="false" ht="15" hidden="false" customHeight="true" outlineLevel="0" collapsed="false">
      <c r="A949" s="13"/>
      <c r="B949" s="14"/>
      <c r="C949" s="15"/>
      <c r="D949" s="16"/>
      <c r="E949" s="13" t="str">
        <f aca="false">IF(D949="","",IFERROR(INDEX('Plan de Cuentas'!$B$5:$B$1241,MATCH(D949,'Plan de Cuentas'!$A$5:$A$1241,0)),"No encontrado"))</f>
        <v/>
      </c>
      <c r="F949" s="16"/>
      <c r="G949" s="13" t="str">
        <f aca="false">IF(F949="","",IFERROR(INDEX('Plan de Cuentas'!$B$5:$B$1241,MATCH(F949,'Plan de Cuentas'!$A$5:$A$1241,0)),"No encontrado"))</f>
        <v/>
      </c>
      <c r="H949" s="17"/>
      <c r="I949" s="13"/>
    </row>
    <row r="950" customFormat="false" ht="15" hidden="false" customHeight="true" outlineLevel="0" collapsed="false">
      <c r="A950" s="13"/>
      <c r="B950" s="14"/>
      <c r="C950" s="15"/>
      <c r="D950" s="16"/>
      <c r="E950" s="13" t="str">
        <f aca="false">IF(D950="","",IFERROR(INDEX('Plan de Cuentas'!$B$5:$B$1241,MATCH(D950,'Plan de Cuentas'!$A$5:$A$1241,0)),"No encontrado"))</f>
        <v/>
      </c>
      <c r="F950" s="16"/>
      <c r="G950" s="13" t="str">
        <f aca="false">IF(F950="","",IFERROR(INDEX('Plan de Cuentas'!$B$5:$B$1241,MATCH(F950,'Plan de Cuentas'!$A$5:$A$1241,0)),"No encontrado"))</f>
        <v/>
      </c>
      <c r="H950" s="17"/>
      <c r="I950" s="13"/>
    </row>
    <row r="951" customFormat="false" ht="15" hidden="false" customHeight="true" outlineLevel="0" collapsed="false">
      <c r="A951" s="13"/>
      <c r="B951" s="14"/>
      <c r="C951" s="15"/>
      <c r="D951" s="16"/>
      <c r="E951" s="13" t="str">
        <f aca="false">IF(D951="","",IFERROR(INDEX('Plan de Cuentas'!$B$5:$B$1241,MATCH(D951,'Plan de Cuentas'!$A$5:$A$1241,0)),"No encontrado"))</f>
        <v/>
      </c>
      <c r="F951" s="16"/>
      <c r="G951" s="13" t="str">
        <f aca="false">IF(F951="","",IFERROR(INDEX('Plan de Cuentas'!$B$5:$B$1241,MATCH(F951,'Plan de Cuentas'!$A$5:$A$1241,0)),"No encontrado"))</f>
        <v/>
      </c>
      <c r="H951" s="17"/>
      <c r="I951" s="13"/>
    </row>
    <row r="952" customFormat="false" ht="15" hidden="false" customHeight="true" outlineLevel="0" collapsed="false">
      <c r="A952" s="13"/>
      <c r="B952" s="14"/>
      <c r="C952" s="15"/>
      <c r="D952" s="16"/>
      <c r="E952" s="13" t="str">
        <f aca="false">IF(D952="","",IFERROR(INDEX('Plan de Cuentas'!$B$5:$B$1241,MATCH(D952,'Plan de Cuentas'!$A$5:$A$1241,0)),"No encontrado"))</f>
        <v/>
      </c>
      <c r="F952" s="16"/>
      <c r="G952" s="13" t="str">
        <f aca="false">IF(F952="","",IFERROR(INDEX('Plan de Cuentas'!$B$5:$B$1241,MATCH(F952,'Plan de Cuentas'!$A$5:$A$1241,0)),"No encontrado"))</f>
        <v/>
      </c>
      <c r="H952" s="17"/>
      <c r="I952" s="13"/>
    </row>
    <row r="953" customFormat="false" ht="15" hidden="false" customHeight="true" outlineLevel="0" collapsed="false">
      <c r="A953" s="13"/>
      <c r="B953" s="14"/>
      <c r="C953" s="15"/>
      <c r="D953" s="16"/>
      <c r="E953" s="13" t="str">
        <f aca="false">IF(D953="","",IFERROR(INDEX('Plan de Cuentas'!$B$5:$B$1241,MATCH(D953,'Plan de Cuentas'!$A$5:$A$1241,0)),"No encontrado"))</f>
        <v/>
      </c>
      <c r="F953" s="16"/>
      <c r="G953" s="13" t="str">
        <f aca="false">IF(F953="","",IFERROR(INDEX('Plan de Cuentas'!$B$5:$B$1241,MATCH(F953,'Plan de Cuentas'!$A$5:$A$1241,0)),"No encontrado"))</f>
        <v/>
      </c>
      <c r="H953" s="17"/>
      <c r="I953" s="13"/>
    </row>
    <row r="954" customFormat="false" ht="15" hidden="false" customHeight="true" outlineLevel="0" collapsed="false">
      <c r="A954" s="13"/>
      <c r="B954" s="14"/>
      <c r="C954" s="15"/>
      <c r="D954" s="16"/>
      <c r="E954" s="13" t="str">
        <f aca="false">IF(D954="","",IFERROR(INDEX('Plan de Cuentas'!$B$5:$B$1241,MATCH(D954,'Plan de Cuentas'!$A$5:$A$1241,0)),"No encontrado"))</f>
        <v/>
      </c>
      <c r="F954" s="16"/>
      <c r="G954" s="13" t="str">
        <f aca="false">IF(F954="","",IFERROR(INDEX('Plan de Cuentas'!$B$5:$B$1241,MATCH(F954,'Plan de Cuentas'!$A$5:$A$1241,0)),"No encontrado"))</f>
        <v/>
      </c>
      <c r="H954" s="17"/>
      <c r="I954" s="13"/>
    </row>
    <row r="955" customFormat="false" ht="15" hidden="false" customHeight="true" outlineLevel="0" collapsed="false">
      <c r="A955" s="13"/>
      <c r="B955" s="14"/>
      <c r="C955" s="15"/>
      <c r="D955" s="16"/>
      <c r="E955" s="13" t="str">
        <f aca="false">IF(D955="","",IFERROR(INDEX('Plan de Cuentas'!$B$5:$B$1241,MATCH(D955,'Plan de Cuentas'!$A$5:$A$1241,0)),"No encontrado"))</f>
        <v/>
      </c>
      <c r="F955" s="16"/>
      <c r="G955" s="13" t="str">
        <f aca="false">IF(F955="","",IFERROR(INDEX('Plan de Cuentas'!$B$5:$B$1241,MATCH(F955,'Plan de Cuentas'!$A$5:$A$1241,0)),"No encontrado"))</f>
        <v/>
      </c>
      <c r="H955" s="17"/>
      <c r="I955" s="13"/>
    </row>
    <row r="956" customFormat="false" ht="15" hidden="false" customHeight="true" outlineLevel="0" collapsed="false">
      <c r="A956" s="13"/>
      <c r="B956" s="14"/>
      <c r="C956" s="15"/>
      <c r="D956" s="16"/>
      <c r="E956" s="13" t="str">
        <f aca="false">IF(D956="","",IFERROR(INDEX('Plan de Cuentas'!$B$5:$B$1241,MATCH(D956,'Plan de Cuentas'!$A$5:$A$1241,0)),"No encontrado"))</f>
        <v/>
      </c>
      <c r="F956" s="16"/>
      <c r="G956" s="13" t="str">
        <f aca="false">IF(F956="","",IFERROR(INDEX('Plan de Cuentas'!$B$5:$B$1241,MATCH(F956,'Plan de Cuentas'!$A$5:$A$1241,0)),"No encontrado"))</f>
        <v/>
      </c>
      <c r="H956" s="17"/>
      <c r="I956" s="13"/>
    </row>
    <row r="957" customFormat="false" ht="15" hidden="false" customHeight="true" outlineLevel="0" collapsed="false">
      <c r="A957" s="13"/>
      <c r="B957" s="14"/>
      <c r="C957" s="15"/>
      <c r="D957" s="16"/>
      <c r="E957" s="13" t="str">
        <f aca="false">IF(D957="","",IFERROR(INDEX('Plan de Cuentas'!$B$5:$B$1241,MATCH(D957,'Plan de Cuentas'!$A$5:$A$1241,0)),"No encontrado"))</f>
        <v/>
      </c>
      <c r="F957" s="16"/>
      <c r="G957" s="13" t="str">
        <f aca="false">IF(F957="","",IFERROR(INDEX('Plan de Cuentas'!$B$5:$B$1241,MATCH(F957,'Plan de Cuentas'!$A$5:$A$1241,0)),"No encontrado"))</f>
        <v/>
      </c>
      <c r="H957" s="17"/>
      <c r="I957" s="13"/>
    </row>
    <row r="958" customFormat="false" ht="15" hidden="false" customHeight="true" outlineLevel="0" collapsed="false">
      <c r="A958" s="13"/>
      <c r="B958" s="14"/>
      <c r="C958" s="15"/>
      <c r="D958" s="16"/>
      <c r="E958" s="13" t="str">
        <f aca="false">IF(D958="","",IFERROR(INDEX('Plan de Cuentas'!$B$5:$B$1241,MATCH(D958,'Plan de Cuentas'!$A$5:$A$1241,0)),"No encontrado"))</f>
        <v/>
      </c>
      <c r="F958" s="16"/>
      <c r="G958" s="13" t="str">
        <f aca="false">IF(F958="","",IFERROR(INDEX('Plan de Cuentas'!$B$5:$B$1241,MATCH(F958,'Plan de Cuentas'!$A$5:$A$1241,0)),"No encontrado"))</f>
        <v/>
      </c>
      <c r="H958" s="17"/>
      <c r="I958" s="13"/>
    </row>
    <row r="959" customFormat="false" ht="15" hidden="false" customHeight="true" outlineLevel="0" collapsed="false">
      <c r="A959" s="13"/>
      <c r="B959" s="14"/>
      <c r="C959" s="15"/>
      <c r="D959" s="16"/>
      <c r="E959" s="13" t="str">
        <f aca="false">IF(D959="","",IFERROR(INDEX('Plan de Cuentas'!$B$5:$B$1241,MATCH(D959,'Plan de Cuentas'!$A$5:$A$1241,0)),"No encontrado"))</f>
        <v/>
      </c>
      <c r="F959" s="16"/>
      <c r="G959" s="13" t="str">
        <f aca="false">IF(F959="","",IFERROR(INDEX('Plan de Cuentas'!$B$5:$B$1241,MATCH(F959,'Plan de Cuentas'!$A$5:$A$1241,0)),"No encontrado"))</f>
        <v/>
      </c>
      <c r="H959" s="17"/>
      <c r="I959" s="13"/>
    </row>
    <row r="960" customFormat="false" ht="15" hidden="false" customHeight="true" outlineLevel="0" collapsed="false">
      <c r="A960" s="13"/>
      <c r="B960" s="14"/>
      <c r="C960" s="15"/>
      <c r="D960" s="16"/>
      <c r="E960" s="13" t="str">
        <f aca="false">IF(D960="","",IFERROR(INDEX('Plan de Cuentas'!$B$5:$B$1241,MATCH(D960,'Plan de Cuentas'!$A$5:$A$1241,0)),"No encontrado"))</f>
        <v/>
      </c>
      <c r="F960" s="16"/>
      <c r="G960" s="13" t="str">
        <f aca="false">IF(F960="","",IFERROR(INDEX('Plan de Cuentas'!$B$5:$B$1241,MATCH(F960,'Plan de Cuentas'!$A$5:$A$1241,0)),"No encontrado"))</f>
        <v/>
      </c>
      <c r="H960" s="17"/>
      <c r="I960" s="13"/>
    </row>
    <row r="961" customFormat="false" ht="15" hidden="false" customHeight="true" outlineLevel="0" collapsed="false">
      <c r="A961" s="13"/>
      <c r="B961" s="14"/>
      <c r="C961" s="15"/>
      <c r="D961" s="16"/>
      <c r="E961" s="13" t="str">
        <f aca="false">IF(D961="","",IFERROR(INDEX('Plan de Cuentas'!$B$5:$B$1241,MATCH(D961,'Plan de Cuentas'!$A$5:$A$1241,0)),"No encontrado"))</f>
        <v/>
      </c>
      <c r="F961" s="16"/>
      <c r="G961" s="13" t="str">
        <f aca="false">IF(F961="","",IFERROR(INDEX('Plan de Cuentas'!$B$5:$B$1241,MATCH(F961,'Plan de Cuentas'!$A$5:$A$1241,0)),"No encontrado"))</f>
        <v/>
      </c>
      <c r="H961" s="17"/>
      <c r="I961" s="13"/>
    </row>
    <row r="962" customFormat="false" ht="15" hidden="false" customHeight="true" outlineLevel="0" collapsed="false">
      <c r="A962" s="13"/>
      <c r="B962" s="14"/>
      <c r="C962" s="15"/>
      <c r="D962" s="16"/>
      <c r="E962" s="13" t="str">
        <f aca="false">IF(D962="","",IFERROR(INDEX('Plan de Cuentas'!$B$5:$B$1241,MATCH(D962,'Plan de Cuentas'!$A$5:$A$1241,0)),"No encontrado"))</f>
        <v/>
      </c>
      <c r="F962" s="16"/>
      <c r="G962" s="13" t="str">
        <f aca="false">IF(F962="","",IFERROR(INDEX('Plan de Cuentas'!$B$5:$B$1241,MATCH(F962,'Plan de Cuentas'!$A$5:$A$1241,0)),"No encontrado"))</f>
        <v/>
      </c>
      <c r="H962" s="17"/>
      <c r="I962" s="13"/>
    </row>
    <row r="963" customFormat="false" ht="15" hidden="false" customHeight="true" outlineLevel="0" collapsed="false">
      <c r="A963" s="13"/>
      <c r="B963" s="14"/>
      <c r="C963" s="15"/>
      <c r="D963" s="16"/>
      <c r="E963" s="13" t="str">
        <f aca="false">IF(D963="","",IFERROR(INDEX('Plan de Cuentas'!$B$5:$B$1241,MATCH(D963,'Plan de Cuentas'!$A$5:$A$1241,0)),"No encontrado"))</f>
        <v/>
      </c>
      <c r="F963" s="16"/>
      <c r="G963" s="13" t="str">
        <f aca="false">IF(F963="","",IFERROR(INDEX('Plan de Cuentas'!$B$5:$B$1241,MATCH(F963,'Plan de Cuentas'!$A$5:$A$1241,0)),"No encontrado"))</f>
        <v/>
      </c>
      <c r="H963" s="17"/>
      <c r="I963" s="13"/>
    </row>
    <row r="964" customFormat="false" ht="15" hidden="false" customHeight="true" outlineLevel="0" collapsed="false">
      <c r="A964" s="13"/>
      <c r="B964" s="14"/>
      <c r="C964" s="15"/>
      <c r="D964" s="16"/>
      <c r="E964" s="13" t="str">
        <f aca="false">IF(D964="","",IFERROR(INDEX('Plan de Cuentas'!$B$5:$B$1241,MATCH(D964,'Plan de Cuentas'!$A$5:$A$1241,0)),"No encontrado"))</f>
        <v/>
      </c>
      <c r="F964" s="16"/>
      <c r="G964" s="13" t="str">
        <f aca="false">IF(F964="","",IFERROR(INDEX('Plan de Cuentas'!$B$5:$B$1241,MATCH(F964,'Plan de Cuentas'!$A$5:$A$1241,0)),"No encontrado"))</f>
        <v/>
      </c>
      <c r="H964" s="17"/>
      <c r="I964" s="13"/>
    </row>
    <row r="965" customFormat="false" ht="15" hidden="false" customHeight="true" outlineLevel="0" collapsed="false">
      <c r="A965" s="13"/>
      <c r="B965" s="14"/>
      <c r="C965" s="15"/>
      <c r="D965" s="16"/>
      <c r="E965" s="13" t="str">
        <f aca="false">IF(D965="","",IFERROR(INDEX('Plan de Cuentas'!$B$5:$B$1241,MATCH(D965,'Plan de Cuentas'!$A$5:$A$1241,0)),"No encontrado"))</f>
        <v/>
      </c>
      <c r="F965" s="16"/>
      <c r="G965" s="13" t="str">
        <f aca="false">IF(F965="","",IFERROR(INDEX('Plan de Cuentas'!$B$5:$B$1241,MATCH(F965,'Plan de Cuentas'!$A$5:$A$1241,0)),"No encontrado"))</f>
        <v/>
      </c>
      <c r="H965" s="17"/>
      <c r="I965" s="13"/>
    </row>
    <row r="966" customFormat="false" ht="15" hidden="false" customHeight="true" outlineLevel="0" collapsed="false">
      <c r="A966" s="13"/>
      <c r="B966" s="14"/>
      <c r="C966" s="15"/>
      <c r="D966" s="16"/>
      <c r="E966" s="13" t="str">
        <f aca="false">IF(D966="","",IFERROR(INDEX('Plan de Cuentas'!$B$5:$B$1241,MATCH(D966,'Plan de Cuentas'!$A$5:$A$1241,0)),"No encontrado"))</f>
        <v/>
      </c>
      <c r="F966" s="16"/>
      <c r="G966" s="13" t="str">
        <f aca="false">IF(F966="","",IFERROR(INDEX('Plan de Cuentas'!$B$5:$B$1241,MATCH(F966,'Plan de Cuentas'!$A$5:$A$1241,0)),"No encontrado"))</f>
        <v/>
      </c>
      <c r="H966" s="17"/>
      <c r="I966" s="13"/>
    </row>
    <row r="967" customFormat="false" ht="15" hidden="false" customHeight="true" outlineLevel="0" collapsed="false">
      <c r="A967" s="13"/>
      <c r="B967" s="14"/>
      <c r="C967" s="15"/>
      <c r="D967" s="16"/>
      <c r="E967" s="13" t="str">
        <f aca="false">IF(D967="","",IFERROR(INDEX('Plan de Cuentas'!$B$5:$B$1241,MATCH(D967,'Plan de Cuentas'!$A$5:$A$1241,0)),"No encontrado"))</f>
        <v/>
      </c>
      <c r="F967" s="16"/>
      <c r="G967" s="13" t="str">
        <f aca="false">IF(F967="","",IFERROR(INDEX('Plan de Cuentas'!$B$5:$B$1241,MATCH(F967,'Plan de Cuentas'!$A$5:$A$1241,0)),"No encontrado"))</f>
        <v/>
      </c>
      <c r="H967" s="17"/>
      <c r="I967" s="13"/>
    </row>
    <row r="968" customFormat="false" ht="15" hidden="false" customHeight="true" outlineLevel="0" collapsed="false">
      <c r="A968" s="13"/>
      <c r="B968" s="14"/>
      <c r="C968" s="15"/>
      <c r="D968" s="16"/>
      <c r="E968" s="13" t="str">
        <f aca="false">IF(D968="","",IFERROR(INDEX('Plan de Cuentas'!$B$5:$B$1241,MATCH(D968,'Plan de Cuentas'!$A$5:$A$1241,0)),"No encontrado"))</f>
        <v/>
      </c>
      <c r="F968" s="16"/>
      <c r="G968" s="13" t="str">
        <f aca="false">IF(F968="","",IFERROR(INDEX('Plan de Cuentas'!$B$5:$B$1241,MATCH(F968,'Plan de Cuentas'!$A$5:$A$1241,0)),"No encontrado"))</f>
        <v/>
      </c>
      <c r="H968" s="17"/>
      <c r="I968" s="13"/>
    </row>
    <row r="969" customFormat="false" ht="15" hidden="false" customHeight="true" outlineLevel="0" collapsed="false">
      <c r="A969" s="13"/>
      <c r="B969" s="14"/>
      <c r="C969" s="15"/>
      <c r="D969" s="16"/>
      <c r="E969" s="13" t="str">
        <f aca="false">IF(D969="","",IFERROR(INDEX('Plan de Cuentas'!$B$5:$B$1241,MATCH(D969,'Plan de Cuentas'!$A$5:$A$1241,0)),"No encontrado"))</f>
        <v/>
      </c>
      <c r="F969" s="16"/>
      <c r="G969" s="13" t="str">
        <f aca="false">IF(F969="","",IFERROR(INDEX('Plan de Cuentas'!$B$5:$B$1241,MATCH(F969,'Plan de Cuentas'!$A$5:$A$1241,0)),"No encontrado"))</f>
        <v/>
      </c>
      <c r="H969" s="17"/>
      <c r="I969" s="13"/>
    </row>
    <row r="970" customFormat="false" ht="15" hidden="false" customHeight="true" outlineLevel="0" collapsed="false">
      <c r="A970" s="13"/>
      <c r="B970" s="14"/>
      <c r="C970" s="15"/>
      <c r="D970" s="16"/>
      <c r="E970" s="13" t="str">
        <f aca="false">IF(D970="","",IFERROR(INDEX('Plan de Cuentas'!$B$5:$B$1241,MATCH(D970,'Plan de Cuentas'!$A$5:$A$1241,0)),"No encontrado"))</f>
        <v/>
      </c>
      <c r="F970" s="16"/>
      <c r="G970" s="13" t="str">
        <f aca="false">IF(F970="","",IFERROR(INDEX('Plan de Cuentas'!$B$5:$B$1241,MATCH(F970,'Plan de Cuentas'!$A$5:$A$1241,0)),"No encontrado"))</f>
        <v/>
      </c>
      <c r="H970" s="17"/>
      <c r="I970" s="13"/>
    </row>
    <row r="971" customFormat="false" ht="15" hidden="false" customHeight="true" outlineLevel="0" collapsed="false">
      <c r="A971" s="13"/>
      <c r="B971" s="14"/>
      <c r="C971" s="15"/>
      <c r="D971" s="16"/>
      <c r="E971" s="13" t="str">
        <f aca="false">IF(D971="","",IFERROR(INDEX('Plan de Cuentas'!$B$5:$B$1241,MATCH(D971,'Plan de Cuentas'!$A$5:$A$1241,0)),"No encontrado"))</f>
        <v/>
      </c>
      <c r="F971" s="16"/>
      <c r="G971" s="13" t="str">
        <f aca="false">IF(F971="","",IFERROR(INDEX('Plan de Cuentas'!$B$5:$B$1241,MATCH(F971,'Plan de Cuentas'!$A$5:$A$1241,0)),"No encontrado"))</f>
        <v/>
      </c>
      <c r="H971" s="17"/>
      <c r="I971" s="13"/>
    </row>
    <row r="972" customFormat="false" ht="15" hidden="false" customHeight="true" outlineLevel="0" collapsed="false">
      <c r="A972" s="13"/>
      <c r="B972" s="14"/>
      <c r="C972" s="15"/>
      <c r="D972" s="16"/>
      <c r="E972" s="13" t="str">
        <f aca="false">IF(D972="","",IFERROR(INDEX('Plan de Cuentas'!$B$5:$B$1241,MATCH(D972,'Plan de Cuentas'!$A$5:$A$1241,0)),"No encontrado"))</f>
        <v/>
      </c>
      <c r="F972" s="16"/>
      <c r="G972" s="13" t="str">
        <f aca="false">IF(F972="","",IFERROR(INDEX('Plan de Cuentas'!$B$5:$B$1241,MATCH(F972,'Plan de Cuentas'!$A$5:$A$1241,0)),"No encontrado"))</f>
        <v/>
      </c>
      <c r="H972" s="17"/>
      <c r="I972" s="13"/>
    </row>
    <row r="973" customFormat="false" ht="15" hidden="false" customHeight="true" outlineLevel="0" collapsed="false">
      <c r="A973" s="13"/>
      <c r="B973" s="14"/>
      <c r="C973" s="15"/>
      <c r="D973" s="16"/>
      <c r="E973" s="13" t="str">
        <f aca="false">IF(D973="","",IFERROR(INDEX('Plan de Cuentas'!$B$5:$B$1241,MATCH(D973,'Plan de Cuentas'!$A$5:$A$1241,0)),"No encontrado"))</f>
        <v/>
      </c>
      <c r="F973" s="16"/>
      <c r="G973" s="13" t="str">
        <f aca="false">IF(F973="","",IFERROR(INDEX('Plan de Cuentas'!$B$5:$B$1241,MATCH(F973,'Plan de Cuentas'!$A$5:$A$1241,0)),"No encontrado"))</f>
        <v/>
      </c>
      <c r="H973" s="17"/>
      <c r="I973" s="13"/>
    </row>
    <row r="974" customFormat="false" ht="15" hidden="false" customHeight="true" outlineLevel="0" collapsed="false">
      <c r="A974" s="13"/>
      <c r="B974" s="14"/>
      <c r="C974" s="15"/>
      <c r="D974" s="16"/>
      <c r="E974" s="13" t="str">
        <f aca="false">IF(D974="","",IFERROR(INDEX('Plan de Cuentas'!$B$5:$B$1241,MATCH(D974,'Plan de Cuentas'!$A$5:$A$1241,0)),"No encontrado"))</f>
        <v/>
      </c>
      <c r="F974" s="16"/>
      <c r="G974" s="13" t="str">
        <f aca="false">IF(F974="","",IFERROR(INDEX('Plan de Cuentas'!$B$5:$B$1241,MATCH(F974,'Plan de Cuentas'!$A$5:$A$1241,0)),"No encontrado"))</f>
        <v/>
      </c>
      <c r="H974" s="17"/>
      <c r="I974" s="13"/>
    </row>
    <row r="975" customFormat="false" ht="15" hidden="false" customHeight="true" outlineLevel="0" collapsed="false">
      <c r="A975" s="13"/>
      <c r="B975" s="14"/>
      <c r="C975" s="15"/>
      <c r="D975" s="16"/>
      <c r="E975" s="13" t="str">
        <f aca="false">IF(D975="","",IFERROR(INDEX('Plan de Cuentas'!$B$5:$B$1241,MATCH(D975,'Plan de Cuentas'!$A$5:$A$1241,0)),"No encontrado"))</f>
        <v/>
      </c>
      <c r="F975" s="16"/>
      <c r="G975" s="13" t="str">
        <f aca="false">IF(F975="","",IFERROR(INDEX('Plan de Cuentas'!$B$5:$B$1241,MATCH(F975,'Plan de Cuentas'!$A$5:$A$1241,0)),"No encontrado"))</f>
        <v/>
      </c>
      <c r="H975" s="17"/>
      <c r="I975" s="13"/>
    </row>
    <row r="976" customFormat="false" ht="15" hidden="false" customHeight="true" outlineLevel="0" collapsed="false">
      <c r="A976" s="13"/>
      <c r="B976" s="14"/>
      <c r="C976" s="15"/>
      <c r="D976" s="16"/>
      <c r="E976" s="13" t="str">
        <f aca="false">IF(D976="","",IFERROR(INDEX('Plan de Cuentas'!$B$5:$B$1241,MATCH(D976,'Plan de Cuentas'!$A$5:$A$1241,0)),"No encontrado"))</f>
        <v/>
      </c>
      <c r="F976" s="16"/>
      <c r="G976" s="13" t="str">
        <f aca="false">IF(F976="","",IFERROR(INDEX('Plan de Cuentas'!$B$5:$B$1241,MATCH(F976,'Plan de Cuentas'!$A$5:$A$1241,0)),"No encontrado"))</f>
        <v/>
      </c>
      <c r="H976" s="17"/>
      <c r="I976" s="13"/>
    </row>
    <row r="977" customFormat="false" ht="15" hidden="false" customHeight="true" outlineLevel="0" collapsed="false">
      <c r="A977" s="13"/>
      <c r="B977" s="14"/>
      <c r="C977" s="15"/>
      <c r="D977" s="16"/>
      <c r="E977" s="13" t="str">
        <f aca="false">IF(D977="","",IFERROR(INDEX('Plan de Cuentas'!$B$5:$B$1241,MATCH(D977,'Plan de Cuentas'!$A$5:$A$1241,0)),"No encontrado"))</f>
        <v/>
      </c>
      <c r="F977" s="16"/>
      <c r="G977" s="13" t="str">
        <f aca="false">IF(F977="","",IFERROR(INDEX('Plan de Cuentas'!$B$5:$B$1241,MATCH(F977,'Plan de Cuentas'!$A$5:$A$1241,0)),"No encontrado"))</f>
        <v/>
      </c>
      <c r="H977" s="17"/>
      <c r="I977" s="13"/>
    </row>
    <row r="978" customFormat="false" ht="15" hidden="false" customHeight="true" outlineLevel="0" collapsed="false">
      <c r="A978" s="13"/>
      <c r="B978" s="14"/>
      <c r="C978" s="15"/>
      <c r="D978" s="16"/>
      <c r="E978" s="13" t="str">
        <f aca="false">IF(D978="","",IFERROR(INDEX('Plan de Cuentas'!$B$5:$B$1241,MATCH(D978,'Plan de Cuentas'!$A$5:$A$1241,0)),"No encontrado"))</f>
        <v/>
      </c>
      <c r="F978" s="16"/>
      <c r="G978" s="13" t="str">
        <f aca="false">IF(F978="","",IFERROR(INDEX('Plan de Cuentas'!$B$5:$B$1241,MATCH(F978,'Plan de Cuentas'!$A$5:$A$1241,0)),"No encontrado"))</f>
        <v/>
      </c>
      <c r="H978" s="17"/>
      <c r="I978" s="13"/>
    </row>
    <row r="979" customFormat="false" ht="15" hidden="false" customHeight="true" outlineLevel="0" collapsed="false">
      <c r="A979" s="13"/>
      <c r="B979" s="14"/>
      <c r="C979" s="15"/>
      <c r="D979" s="16"/>
      <c r="E979" s="13" t="str">
        <f aca="false">IF(D979="","",IFERROR(INDEX('Plan de Cuentas'!$B$5:$B$1241,MATCH(D979,'Plan de Cuentas'!$A$5:$A$1241,0)),"No encontrado"))</f>
        <v/>
      </c>
      <c r="F979" s="16"/>
      <c r="G979" s="13" t="str">
        <f aca="false">IF(F979="","",IFERROR(INDEX('Plan de Cuentas'!$B$5:$B$1241,MATCH(F979,'Plan de Cuentas'!$A$5:$A$1241,0)),"No encontrado"))</f>
        <v/>
      </c>
      <c r="H979" s="17"/>
      <c r="I979" s="13"/>
    </row>
    <row r="980" customFormat="false" ht="15" hidden="false" customHeight="true" outlineLevel="0" collapsed="false">
      <c r="A980" s="13"/>
      <c r="B980" s="14"/>
      <c r="C980" s="15"/>
      <c r="D980" s="16"/>
      <c r="E980" s="13" t="str">
        <f aca="false">IF(D980="","",IFERROR(INDEX('Plan de Cuentas'!$B$5:$B$1241,MATCH(D980,'Plan de Cuentas'!$A$5:$A$1241,0)),"No encontrado"))</f>
        <v/>
      </c>
      <c r="F980" s="16"/>
      <c r="G980" s="13" t="str">
        <f aca="false">IF(F980="","",IFERROR(INDEX('Plan de Cuentas'!$B$5:$B$1241,MATCH(F980,'Plan de Cuentas'!$A$5:$A$1241,0)),"No encontrado"))</f>
        <v/>
      </c>
      <c r="H980" s="17"/>
      <c r="I980" s="13"/>
    </row>
    <row r="981" customFormat="false" ht="15" hidden="false" customHeight="true" outlineLevel="0" collapsed="false">
      <c r="A981" s="13"/>
      <c r="B981" s="14"/>
      <c r="C981" s="15"/>
      <c r="D981" s="16"/>
      <c r="E981" s="13" t="str">
        <f aca="false">IF(D981="","",IFERROR(INDEX('Plan de Cuentas'!$B$5:$B$1241,MATCH(D981,'Plan de Cuentas'!$A$5:$A$1241,0)),"No encontrado"))</f>
        <v/>
      </c>
      <c r="F981" s="16"/>
      <c r="G981" s="13" t="str">
        <f aca="false">IF(F981="","",IFERROR(INDEX('Plan de Cuentas'!$B$5:$B$1241,MATCH(F981,'Plan de Cuentas'!$A$5:$A$1241,0)),"No encontrado"))</f>
        <v/>
      </c>
      <c r="H981" s="17"/>
      <c r="I981" s="13"/>
    </row>
    <row r="982" customFormat="false" ht="15" hidden="false" customHeight="true" outlineLevel="0" collapsed="false">
      <c r="A982" s="13"/>
      <c r="B982" s="14"/>
      <c r="C982" s="15"/>
      <c r="D982" s="16"/>
      <c r="E982" s="13" t="str">
        <f aca="false">IF(D982="","",IFERROR(INDEX('Plan de Cuentas'!$B$5:$B$1241,MATCH(D982,'Plan de Cuentas'!$A$5:$A$1241,0)),"No encontrado"))</f>
        <v/>
      </c>
      <c r="F982" s="16"/>
      <c r="G982" s="13" t="str">
        <f aca="false">IF(F982="","",IFERROR(INDEX('Plan de Cuentas'!$B$5:$B$1241,MATCH(F982,'Plan de Cuentas'!$A$5:$A$1241,0)),"No encontrado"))</f>
        <v/>
      </c>
      <c r="H982" s="17"/>
      <c r="I982" s="13"/>
    </row>
    <row r="983" customFormat="false" ht="15" hidden="false" customHeight="true" outlineLevel="0" collapsed="false">
      <c r="A983" s="13"/>
      <c r="B983" s="14"/>
      <c r="C983" s="15"/>
      <c r="D983" s="16"/>
      <c r="E983" s="13" t="str">
        <f aca="false">IF(D983="","",IFERROR(INDEX('Plan de Cuentas'!$B$5:$B$1241,MATCH(D983,'Plan de Cuentas'!$A$5:$A$1241,0)),"No encontrado"))</f>
        <v/>
      </c>
      <c r="F983" s="16"/>
      <c r="G983" s="13" t="str">
        <f aca="false">IF(F983="","",IFERROR(INDEX('Plan de Cuentas'!$B$5:$B$1241,MATCH(F983,'Plan de Cuentas'!$A$5:$A$1241,0)),"No encontrado"))</f>
        <v/>
      </c>
      <c r="H983" s="17"/>
      <c r="I983" s="13"/>
    </row>
    <row r="984" customFormat="false" ht="15" hidden="false" customHeight="true" outlineLevel="0" collapsed="false">
      <c r="A984" s="13"/>
      <c r="B984" s="14"/>
      <c r="C984" s="15"/>
      <c r="D984" s="16"/>
      <c r="E984" s="13" t="str">
        <f aca="false">IF(D984="","",IFERROR(INDEX('Plan de Cuentas'!$B$5:$B$1241,MATCH(D984,'Plan de Cuentas'!$A$5:$A$1241,0)),"No encontrado"))</f>
        <v/>
      </c>
      <c r="F984" s="16"/>
      <c r="G984" s="13" t="str">
        <f aca="false">IF(F984="","",IFERROR(INDEX('Plan de Cuentas'!$B$5:$B$1241,MATCH(F984,'Plan de Cuentas'!$A$5:$A$1241,0)),"No encontrado"))</f>
        <v/>
      </c>
      <c r="H984" s="17"/>
      <c r="I984" s="13"/>
    </row>
    <row r="985" customFormat="false" ht="15" hidden="false" customHeight="true" outlineLevel="0" collapsed="false">
      <c r="A985" s="13"/>
      <c r="B985" s="14"/>
      <c r="C985" s="15"/>
      <c r="D985" s="16"/>
      <c r="E985" s="13" t="str">
        <f aca="false">IF(D985="","",IFERROR(INDEX('Plan de Cuentas'!$B$5:$B$1241,MATCH(D985,'Plan de Cuentas'!$A$5:$A$1241,0)),"No encontrado"))</f>
        <v/>
      </c>
      <c r="F985" s="16"/>
      <c r="G985" s="13" t="str">
        <f aca="false">IF(F985="","",IFERROR(INDEX('Plan de Cuentas'!$B$5:$B$1241,MATCH(F985,'Plan de Cuentas'!$A$5:$A$1241,0)),"No encontrado"))</f>
        <v/>
      </c>
      <c r="H985" s="17"/>
      <c r="I985" s="13"/>
    </row>
    <row r="986" customFormat="false" ht="15" hidden="false" customHeight="true" outlineLevel="0" collapsed="false">
      <c r="A986" s="13"/>
      <c r="B986" s="14"/>
      <c r="C986" s="15"/>
      <c r="D986" s="16"/>
      <c r="E986" s="13" t="str">
        <f aca="false">IF(D986="","",IFERROR(INDEX('Plan de Cuentas'!$B$5:$B$1241,MATCH(D986,'Plan de Cuentas'!$A$5:$A$1241,0)),"No encontrado"))</f>
        <v/>
      </c>
      <c r="F986" s="16"/>
      <c r="G986" s="13" t="str">
        <f aca="false">IF(F986="","",IFERROR(INDEX('Plan de Cuentas'!$B$5:$B$1241,MATCH(F986,'Plan de Cuentas'!$A$5:$A$1241,0)),"No encontrado"))</f>
        <v/>
      </c>
      <c r="H986" s="17"/>
      <c r="I986" s="13"/>
    </row>
    <row r="987" customFormat="false" ht="15" hidden="false" customHeight="true" outlineLevel="0" collapsed="false">
      <c r="A987" s="13"/>
      <c r="B987" s="14"/>
      <c r="C987" s="15"/>
      <c r="D987" s="16"/>
      <c r="E987" s="13" t="str">
        <f aca="false">IF(D987="","",IFERROR(INDEX('Plan de Cuentas'!$B$5:$B$1241,MATCH(D987,'Plan de Cuentas'!$A$5:$A$1241,0)),"No encontrado"))</f>
        <v/>
      </c>
      <c r="F987" s="16"/>
      <c r="G987" s="13" t="str">
        <f aca="false">IF(F987="","",IFERROR(INDEX('Plan de Cuentas'!$B$5:$B$1241,MATCH(F987,'Plan de Cuentas'!$A$5:$A$1241,0)),"No encontrado"))</f>
        <v/>
      </c>
      <c r="H987" s="17"/>
      <c r="I987" s="13"/>
    </row>
    <row r="988" customFormat="false" ht="15" hidden="false" customHeight="true" outlineLevel="0" collapsed="false">
      <c r="A988" s="13"/>
      <c r="B988" s="14"/>
      <c r="C988" s="15"/>
      <c r="D988" s="16"/>
      <c r="E988" s="13" t="str">
        <f aca="false">IF(D988="","",IFERROR(INDEX('Plan de Cuentas'!$B$5:$B$1241,MATCH(D988,'Plan de Cuentas'!$A$5:$A$1241,0)),"No encontrado"))</f>
        <v/>
      </c>
      <c r="F988" s="16"/>
      <c r="G988" s="13" t="str">
        <f aca="false">IF(F988="","",IFERROR(INDEX('Plan de Cuentas'!$B$5:$B$1241,MATCH(F988,'Plan de Cuentas'!$A$5:$A$1241,0)),"No encontrado"))</f>
        <v/>
      </c>
      <c r="H988" s="17"/>
      <c r="I988" s="13"/>
    </row>
    <row r="989" customFormat="false" ht="15" hidden="false" customHeight="true" outlineLevel="0" collapsed="false">
      <c r="A989" s="13"/>
      <c r="B989" s="14"/>
      <c r="C989" s="15"/>
      <c r="D989" s="16"/>
      <c r="E989" s="13" t="str">
        <f aca="false">IF(D989="","",IFERROR(INDEX('Plan de Cuentas'!$B$5:$B$1241,MATCH(D989,'Plan de Cuentas'!$A$5:$A$1241,0)),"No encontrado"))</f>
        <v/>
      </c>
      <c r="F989" s="16"/>
      <c r="G989" s="13" t="str">
        <f aca="false">IF(F989="","",IFERROR(INDEX('Plan de Cuentas'!$B$5:$B$1241,MATCH(F989,'Plan de Cuentas'!$A$5:$A$1241,0)),"No encontrado"))</f>
        <v/>
      </c>
      <c r="H989" s="17"/>
      <c r="I989" s="13"/>
    </row>
    <row r="990" customFormat="false" ht="15" hidden="false" customHeight="true" outlineLevel="0" collapsed="false">
      <c r="A990" s="13"/>
      <c r="B990" s="14"/>
      <c r="C990" s="15"/>
      <c r="D990" s="16"/>
      <c r="E990" s="13" t="str">
        <f aca="false">IF(D990="","",IFERROR(INDEX('Plan de Cuentas'!$B$5:$B$1241,MATCH(D990,'Plan de Cuentas'!$A$5:$A$1241,0)),"No encontrado"))</f>
        <v/>
      </c>
      <c r="F990" s="16"/>
      <c r="G990" s="13" t="str">
        <f aca="false">IF(F990="","",IFERROR(INDEX('Plan de Cuentas'!$B$5:$B$1241,MATCH(F990,'Plan de Cuentas'!$A$5:$A$1241,0)),"No encontrado"))</f>
        <v/>
      </c>
      <c r="H990" s="17"/>
      <c r="I990" s="13"/>
    </row>
    <row r="991" customFormat="false" ht="15" hidden="false" customHeight="true" outlineLevel="0" collapsed="false">
      <c r="A991" s="13"/>
      <c r="B991" s="14"/>
      <c r="C991" s="15"/>
      <c r="D991" s="16"/>
      <c r="E991" s="13" t="str">
        <f aca="false">IF(D991="","",IFERROR(INDEX('Plan de Cuentas'!$B$5:$B$1241,MATCH(D991,'Plan de Cuentas'!$A$5:$A$1241,0)),"No encontrado"))</f>
        <v/>
      </c>
      <c r="F991" s="16"/>
      <c r="G991" s="13" t="str">
        <f aca="false">IF(F991="","",IFERROR(INDEX('Plan de Cuentas'!$B$5:$B$1241,MATCH(F991,'Plan de Cuentas'!$A$5:$A$1241,0)),"No encontrado"))</f>
        <v/>
      </c>
      <c r="H991" s="17"/>
      <c r="I991" s="13"/>
    </row>
    <row r="992" customFormat="false" ht="15" hidden="false" customHeight="true" outlineLevel="0" collapsed="false">
      <c r="A992" s="13"/>
      <c r="B992" s="14"/>
      <c r="C992" s="15"/>
      <c r="D992" s="16"/>
      <c r="E992" s="13" t="str">
        <f aca="false">IF(D992="","",IFERROR(INDEX('Plan de Cuentas'!$B$5:$B$1241,MATCH(D992,'Plan de Cuentas'!$A$5:$A$1241,0)),"No encontrado"))</f>
        <v/>
      </c>
      <c r="F992" s="16"/>
      <c r="G992" s="13" t="str">
        <f aca="false">IF(F992="","",IFERROR(INDEX('Plan de Cuentas'!$B$5:$B$1241,MATCH(F992,'Plan de Cuentas'!$A$5:$A$1241,0)),"No encontrado"))</f>
        <v/>
      </c>
      <c r="H992" s="17"/>
      <c r="I992" s="13"/>
    </row>
    <row r="993" customFormat="false" ht="15" hidden="false" customHeight="true" outlineLevel="0" collapsed="false">
      <c r="A993" s="13"/>
      <c r="B993" s="14"/>
      <c r="C993" s="15"/>
      <c r="D993" s="16"/>
      <c r="E993" s="13" t="str">
        <f aca="false">IF(D993="","",IFERROR(INDEX('Plan de Cuentas'!$B$5:$B$1241,MATCH(D993,'Plan de Cuentas'!$A$5:$A$1241,0)),"No encontrado"))</f>
        <v/>
      </c>
      <c r="F993" s="16"/>
      <c r="G993" s="13" t="str">
        <f aca="false">IF(F993="","",IFERROR(INDEX('Plan de Cuentas'!$B$5:$B$1241,MATCH(F993,'Plan de Cuentas'!$A$5:$A$1241,0)),"No encontrado"))</f>
        <v/>
      </c>
      <c r="H993" s="17"/>
      <c r="I993" s="13"/>
    </row>
    <row r="994" customFormat="false" ht="15" hidden="false" customHeight="true" outlineLevel="0" collapsed="false">
      <c r="A994" s="13"/>
      <c r="B994" s="14"/>
      <c r="C994" s="15"/>
      <c r="D994" s="16"/>
      <c r="E994" s="13" t="str">
        <f aca="false">IF(D994="","",IFERROR(INDEX('Plan de Cuentas'!$B$5:$B$1241,MATCH(D994,'Plan de Cuentas'!$A$5:$A$1241,0)),"No encontrado"))</f>
        <v/>
      </c>
      <c r="F994" s="16"/>
      <c r="G994" s="13" t="str">
        <f aca="false">IF(F994="","",IFERROR(INDEX('Plan de Cuentas'!$B$5:$B$1241,MATCH(F994,'Plan de Cuentas'!$A$5:$A$1241,0)),"No encontrado"))</f>
        <v/>
      </c>
      <c r="H994" s="17"/>
      <c r="I994" s="13"/>
    </row>
    <row r="995" customFormat="false" ht="15" hidden="false" customHeight="true" outlineLevel="0" collapsed="false">
      <c r="A995" s="13"/>
      <c r="B995" s="14"/>
      <c r="C995" s="15"/>
      <c r="D995" s="16"/>
      <c r="E995" s="13" t="str">
        <f aca="false">IF(D995="","",IFERROR(INDEX('Plan de Cuentas'!$B$5:$B$1241,MATCH(D995,'Plan de Cuentas'!$A$5:$A$1241,0)),"No encontrado"))</f>
        <v/>
      </c>
      <c r="F995" s="16"/>
      <c r="G995" s="13" t="str">
        <f aca="false">IF(F995="","",IFERROR(INDEX('Plan de Cuentas'!$B$5:$B$1241,MATCH(F995,'Plan de Cuentas'!$A$5:$A$1241,0)),"No encontrado"))</f>
        <v/>
      </c>
      <c r="H995" s="17"/>
      <c r="I995" s="13"/>
    </row>
    <row r="996" customFormat="false" ht="15" hidden="false" customHeight="true" outlineLevel="0" collapsed="false">
      <c r="A996" s="13"/>
      <c r="B996" s="14"/>
      <c r="C996" s="15"/>
      <c r="D996" s="16"/>
      <c r="E996" s="13" t="str">
        <f aca="false">IF(D996="","",IFERROR(INDEX('Plan de Cuentas'!$B$5:$B$1241,MATCH(D996,'Plan de Cuentas'!$A$5:$A$1241,0)),"No encontrado"))</f>
        <v/>
      </c>
      <c r="F996" s="16"/>
      <c r="G996" s="13" t="str">
        <f aca="false">IF(F996="","",IFERROR(INDEX('Plan de Cuentas'!$B$5:$B$1241,MATCH(F996,'Plan de Cuentas'!$A$5:$A$1241,0)),"No encontrado"))</f>
        <v/>
      </c>
      <c r="H996" s="17"/>
      <c r="I996" s="13"/>
    </row>
    <row r="997" customFormat="false" ht="15" hidden="false" customHeight="true" outlineLevel="0" collapsed="false">
      <c r="A997" s="13"/>
      <c r="B997" s="14"/>
      <c r="C997" s="15"/>
      <c r="D997" s="16"/>
      <c r="E997" s="13" t="str">
        <f aca="false">IF(D997="","",IFERROR(INDEX('Plan de Cuentas'!$B$5:$B$1241,MATCH(D997,'Plan de Cuentas'!$A$5:$A$1241,0)),"No encontrado"))</f>
        <v/>
      </c>
      <c r="F997" s="16"/>
      <c r="G997" s="13" t="str">
        <f aca="false">IF(F997="","",IFERROR(INDEX('Plan de Cuentas'!$B$5:$B$1241,MATCH(F997,'Plan de Cuentas'!$A$5:$A$1241,0)),"No encontrado"))</f>
        <v/>
      </c>
      <c r="H997" s="17"/>
      <c r="I997" s="13"/>
    </row>
    <row r="998" customFormat="false" ht="15" hidden="false" customHeight="true" outlineLevel="0" collapsed="false">
      <c r="A998" s="13"/>
      <c r="B998" s="14"/>
      <c r="C998" s="15"/>
      <c r="D998" s="16"/>
      <c r="E998" s="13" t="str">
        <f aca="false">IF(D998="","",IFERROR(INDEX('Plan de Cuentas'!$B$5:$B$1241,MATCH(D998,'Plan de Cuentas'!$A$5:$A$1241,0)),"No encontrado"))</f>
        <v/>
      </c>
      <c r="F998" s="16"/>
      <c r="G998" s="13" t="str">
        <f aca="false">IF(F998="","",IFERROR(INDEX('Plan de Cuentas'!$B$5:$B$1241,MATCH(F998,'Plan de Cuentas'!$A$5:$A$1241,0)),"No encontrado"))</f>
        <v/>
      </c>
      <c r="H998" s="17"/>
      <c r="I998" s="13"/>
    </row>
    <row r="999" customFormat="false" ht="15" hidden="false" customHeight="true" outlineLevel="0" collapsed="false">
      <c r="A999" s="13"/>
      <c r="B999" s="14"/>
      <c r="C999" s="15"/>
      <c r="D999" s="16"/>
      <c r="E999" s="13" t="str">
        <f aca="false">IF(D999="","",IFERROR(INDEX('Plan de Cuentas'!$B$5:$B$1241,MATCH(D999,'Plan de Cuentas'!$A$5:$A$1241,0)),"No encontrado"))</f>
        <v/>
      </c>
      <c r="F999" s="16"/>
      <c r="G999" s="13" t="str">
        <f aca="false">IF(F999="","",IFERROR(INDEX('Plan de Cuentas'!$B$5:$B$1241,MATCH(F999,'Plan de Cuentas'!$A$5:$A$1241,0)),"No encontrado"))</f>
        <v/>
      </c>
      <c r="H999" s="17"/>
      <c r="I999" s="13"/>
    </row>
    <row r="1000" customFormat="false" ht="15" hidden="false" customHeight="true" outlineLevel="0" collapsed="false">
      <c r="A1000" s="13"/>
      <c r="B1000" s="14"/>
      <c r="C1000" s="15"/>
      <c r="D1000" s="16"/>
      <c r="E1000" s="13" t="str">
        <f aca="false">IF(D1000="","",IFERROR(INDEX('Plan de Cuentas'!$B$5:$B$1241,MATCH(D1000,'Plan de Cuentas'!$A$5:$A$1241,0)),"No encontrado"))</f>
        <v/>
      </c>
      <c r="F1000" s="16"/>
      <c r="G1000" s="13" t="str">
        <f aca="false">IF(F1000="","",IFERROR(INDEX('Plan de Cuentas'!$B$5:$B$1241,MATCH(F1000,'Plan de Cuentas'!$A$5:$A$1241,0)),"No encontrado"))</f>
        <v/>
      </c>
      <c r="H1000" s="17"/>
      <c r="I1000" s="13"/>
    </row>
    <row r="1001" customFormat="false" ht="15" hidden="false" customHeight="true" outlineLevel="0" collapsed="false">
      <c r="A1001" s="13"/>
      <c r="B1001" s="14"/>
      <c r="C1001" s="15"/>
      <c r="D1001" s="16"/>
      <c r="E1001" s="13" t="str">
        <f aca="false">IF(D1001="","",IFERROR(INDEX('Plan de Cuentas'!$B$5:$B$1241,MATCH(D1001,'Plan de Cuentas'!$A$5:$A$1241,0)),"No encontrado"))</f>
        <v/>
      </c>
      <c r="F1001" s="16"/>
      <c r="G1001" s="13" t="str">
        <f aca="false">IF(F1001="","",IFERROR(INDEX('Plan de Cuentas'!$B$5:$B$1241,MATCH(F1001,'Plan de Cuentas'!$A$5:$A$1241,0)),"No encontrado"))</f>
        <v/>
      </c>
      <c r="H1001" s="17"/>
      <c r="I1001" s="13"/>
    </row>
    <row r="1002" customFormat="false" ht="15" hidden="false" customHeight="true" outlineLevel="0" collapsed="false">
      <c r="A1002" s="13"/>
      <c r="B1002" s="14"/>
      <c r="C1002" s="15"/>
      <c r="D1002" s="16"/>
      <c r="E1002" s="13" t="str">
        <f aca="false">IF(D1002="","",IFERROR(INDEX('Plan de Cuentas'!$B$5:$B$1241,MATCH(D1002,'Plan de Cuentas'!$A$5:$A$1241,0)),"No encontrado"))</f>
        <v/>
      </c>
      <c r="F1002" s="16"/>
      <c r="G1002" s="13" t="str">
        <f aca="false">IF(F1002="","",IFERROR(INDEX('Plan de Cuentas'!$B$5:$B$1241,MATCH(F1002,'Plan de Cuentas'!$A$5:$A$1241,0)),"No encontrado"))</f>
        <v/>
      </c>
      <c r="H1002" s="17"/>
      <c r="I1002" s="13"/>
    </row>
    <row r="1003" customFormat="false" ht="15" hidden="false" customHeight="true" outlineLevel="0" collapsed="false">
      <c r="A1003" s="13"/>
      <c r="B1003" s="14"/>
      <c r="C1003" s="15"/>
      <c r="D1003" s="16"/>
      <c r="E1003" s="13" t="str">
        <f aca="false">IF(D1003="","",IFERROR(INDEX('Plan de Cuentas'!$B$5:$B$1241,MATCH(D1003,'Plan de Cuentas'!$A$5:$A$1241,0)),"No encontrado"))</f>
        <v/>
      </c>
      <c r="F1003" s="16"/>
      <c r="G1003" s="13" t="str">
        <f aca="false">IF(F1003="","",IFERROR(INDEX('Plan de Cuentas'!$B$5:$B$1241,MATCH(F1003,'Plan de Cuentas'!$A$5:$A$1241,0)),"No encontrado"))</f>
        <v/>
      </c>
      <c r="H1003" s="17"/>
      <c r="I1003" s="13"/>
    </row>
    <row r="1004" customFormat="false" ht="15" hidden="false" customHeight="true" outlineLevel="0" collapsed="false">
      <c r="A1004" s="13"/>
      <c r="B1004" s="14"/>
      <c r="C1004" s="15"/>
      <c r="D1004" s="16"/>
      <c r="E1004" s="13" t="str">
        <f aca="false">IF(D1004="","",IFERROR(INDEX('Plan de Cuentas'!$B$5:$B$1241,MATCH(D1004,'Plan de Cuentas'!$A$5:$A$1241,0)),"No encontrado"))</f>
        <v/>
      </c>
      <c r="F1004" s="16"/>
      <c r="G1004" s="13" t="str">
        <f aca="false">IF(F1004="","",IFERROR(INDEX('Plan de Cuentas'!$B$5:$B$1241,MATCH(F1004,'Plan de Cuentas'!$A$5:$A$1241,0)),"No encontrado"))</f>
        <v/>
      </c>
      <c r="H1004" s="17"/>
      <c r="I1004" s="13"/>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0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0"/>
    <col collapsed="false" customWidth="true" hidden="false" outlineLevel="0" max="3" min="3" style="1" width="9"/>
    <col collapsed="false" customWidth="true" hidden="false" outlineLevel="0" max="4" min="4" style="1" width="38"/>
    <col collapsed="false" customWidth="true" hidden="false" outlineLevel="0" max="5" min="5" style="1" width="34"/>
    <col collapsed="false" customWidth="true" hidden="false" outlineLevel="0" max="7" min="6" style="1" width="13"/>
  </cols>
  <sheetData>
    <row r="1" customFormat="false" ht="24" hidden="false" customHeight="true" outlineLevel="0" collapsed="false">
      <c r="A1" s="18" t="s">
        <v>24</v>
      </c>
      <c r="B1" s="18"/>
      <c r="C1" s="18"/>
      <c r="D1" s="18"/>
      <c r="E1" s="18"/>
      <c r="F1" s="18"/>
    </row>
    <row r="2" customFormat="false" ht="27.75" hidden="false" customHeight="true" outlineLevel="0" collapsed="false">
      <c r="A2" s="19" t="s">
        <v>25</v>
      </c>
      <c r="B2" s="19"/>
      <c r="C2" s="19"/>
      <c r="D2" s="19"/>
      <c r="E2" s="19"/>
      <c r="F2" s="19"/>
    </row>
    <row r="4" customFormat="false" ht="26.25" hidden="false" customHeight="true" outlineLevel="0" collapsed="false">
      <c r="A4" s="20" t="s">
        <v>13</v>
      </c>
      <c r="B4" s="20" t="s">
        <v>26</v>
      </c>
      <c r="C4" s="20" t="s">
        <v>27</v>
      </c>
      <c r="D4" s="20" t="s">
        <v>28</v>
      </c>
      <c r="E4" s="20" t="s">
        <v>29</v>
      </c>
      <c r="F4" s="20" t="s">
        <v>30</v>
      </c>
      <c r="G4" s="20" t="s">
        <v>31</v>
      </c>
    </row>
    <row r="5" customFormat="false" ht="15" hidden="false" customHeight="true" outlineLevel="0" collapsed="false">
      <c r="A5" s="21" t="n">
        <v>46024</v>
      </c>
      <c r="B5" s="22" t="n">
        <v>1</v>
      </c>
      <c r="C5" s="23" t="s">
        <v>21</v>
      </c>
      <c r="D5" s="24" t="str">
        <f aca="false">IF(C5="","",IFERROR(INDEX('Plan de Cuentas'!$B$5:$B$1241,MATCH(C5,'Plan de Cuentas'!$A$5:$A$1241,0)),"Código no encontrado"))</f>
        <v>Caja</v>
      </c>
      <c r="E5" s="22" t="s">
        <v>32</v>
      </c>
      <c r="F5" s="25" t="n">
        <v>10</v>
      </c>
      <c r="G5" s="25"/>
    </row>
    <row r="6" customFormat="false" ht="15" hidden="false" customHeight="true" outlineLevel="0" collapsed="false">
      <c r="A6" s="21" t="n">
        <v>46024</v>
      </c>
      <c r="B6" s="22" t="n">
        <v>1</v>
      </c>
      <c r="C6" s="23" t="s">
        <v>22</v>
      </c>
      <c r="D6" s="24" t="str">
        <f aca="false">IF(C6="","",IFERROR(INDEX('Plan de Cuentas'!$B$5:$B$1241,MATCH(C6,'Plan de Cuentas'!$A$5:$A$1241,0)),"Código no encontrado"))</f>
        <v>Acciones</v>
      </c>
      <c r="E6" s="22" t="s">
        <v>33</v>
      </c>
      <c r="F6" s="25"/>
      <c r="G6" s="25" t="n">
        <v>10</v>
      </c>
    </row>
    <row r="7" customFormat="false" ht="15" hidden="false" customHeight="true" outlineLevel="0" collapsed="false">
      <c r="A7" s="21"/>
      <c r="B7" s="22"/>
      <c r="C7" s="23"/>
      <c r="D7" s="24"/>
      <c r="E7" s="22"/>
      <c r="F7" s="25"/>
      <c r="G7" s="25"/>
    </row>
    <row r="8" customFormat="false" ht="15" hidden="false" customHeight="true" outlineLevel="0" collapsed="false">
      <c r="A8" s="21"/>
      <c r="B8" s="22"/>
      <c r="C8" s="23"/>
      <c r="D8" s="24"/>
      <c r="E8" s="22"/>
      <c r="F8" s="25"/>
      <c r="G8" s="25"/>
    </row>
    <row r="9" customFormat="false" ht="15" hidden="false" customHeight="true" outlineLevel="0" collapsed="false">
      <c r="A9" s="21"/>
      <c r="B9" s="22"/>
      <c r="C9" s="23"/>
      <c r="D9" s="24" t="str">
        <f aca="false">IF(C9="","",IFERROR(INDEX('Plan de Cuentas'!$B$5:$B$1241,MATCH(C9,'Plan de Cuentas'!$A$5:$A$1241,0)),"Código no encontrado"))</f>
        <v/>
      </c>
      <c r="E9" s="22"/>
      <c r="F9" s="25"/>
      <c r="G9" s="25"/>
    </row>
    <row r="10" customFormat="false" ht="15" hidden="false" customHeight="true" outlineLevel="0" collapsed="false">
      <c r="A10" s="21"/>
      <c r="B10" s="22"/>
      <c r="C10" s="23"/>
      <c r="D10" s="24" t="str">
        <f aca="false">IF(C10="","",IFERROR(INDEX('Plan de Cuentas'!$B$5:$B$1241,MATCH(C10,'Plan de Cuentas'!$A$5:$A$1241,0)),"Código no encontrado"))</f>
        <v/>
      </c>
      <c r="E10" s="22"/>
      <c r="F10" s="25"/>
      <c r="G10" s="25"/>
    </row>
    <row r="11" customFormat="false" ht="15" hidden="false" customHeight="true" outlineLevel="0" collapsed="false">
      <c r="A11" s="21"/>
      <c r="B11" s="22"/>
      <c r="C11" s="23"/>
      <c r="D11" s="24" t="str">
        <f aca="false">IF(C11="","",IFERROR(INDEX('Plan de Cuentas'!$B$5:$B$1241,MATCH(C11,'Plan de Cuentas'!$A$5:$A$1241,0)),"Código no encontrado"))</f>
        <v/>
      </c>
      <c r="E11" s="22"/>
      <c r="F11" s="25"/>
      <c r="G11" s="25"/>
    </row>
    <row r="12" customFormat="false" ht="15" hidden="false" customHeight="true" outlineLevel="0" collapsed="false">
      <c r="A12" s="21"/>
      <c r="B12" s="22"/>
      <c r="C12" s="23"/>
      <c r="D12" s="24" t="str">
        <f aca="false">IF(C12="","",IFERROR(INDEX('Plan de Cuentas'!$B$5:$B$1241,MATCH(C12,'Plan de Cuentas'!$A$5:$A$1241,0)),"Código no encontrado"))</f>
        <v/>
      </c>
      <c r="E12" s="22"/>
      <c r="F12" s="25"/>
      <c r="G12" s="25"/>
    </row>
    <row r="13" customFormat="false" ht="15" hidden="false" customHeight="true" outlineLevel="0" collapsed="false">
      <c r="A13" s="21"/>
      <c r="B13" s="22"/>
      <c r="C13" s="23"/>
      <c r="D13" s="24" t="str">
        <f aca="false">IF(C13="","",IFERROR(INDEX('Plan de Cuentas'!$B$5:$B$1241,MATCH(C13,'Plan de Cuentas'!$A$5:$A$1241,0)),"Código no encontrado"))</f>
        <v/>
      </c>
      <c r="E13" s="22"/>
      <c r="F13" s="25"/>
      <c r="G13" s="25"/>
    </row>
    <row r="14" customFormat="false" ht="15" hidden="false" customHeight="true" outlineLevel="0" collapsed="false">
      <c r="A14" s="21"/>
      <c r="B14" s="22"/>
      <c r="C14" s="23"/>
      <c r="D14" s="24" t="str">
        <f aca="false">IF(C14="","",IFERROR(INDEX('Plan de Cuentas'!$B$5:$B$1241,MATCH(C14,'Plan de Cuentas'!$A$5:$A$1241,0)),"Código no encontrado"))</f>
        <v/>
      </c>
      <c r="E14" s="22"/>
      <c r="F14" s="25"/>
      <c r="G14" s="25"/>
    </row>
    <row r="15" customFormat="false" ht="15" hidden="false" customHeight="true" outlineLevel="0" collapsed="false">
      <c r="A15" s="21"/>
      <c r="B15" s="22"/>
      <c r="C15" s="23"/>
      <c r="D15" s="24" t="str">
        <f aca="false">IF(C15="","",IFERROR(INDEX('Plan de Cuentas'!$B$5:$B$1241,MATCH(C15,'Plan de Cuentas'!$A$5:$A$1241,0)),"Código no encontrado"))</f>
        <v/>
      </c>
      <c r="E15" s="22"/>
      <c r="F15" s="25"/>
      <c r="G15" s="25"/>
    </row>
    <row r="16" customFormat="false" ht="15" hidden="false" customHeight="true" outlineLevel="0" collapsed="false">
      <c r="A16" s="21"/>
      <c r="B16" s="22"/>
      <c r="C16" s="23"/>
      <c r="D16" s="24" t="str">
        <f aca="false">IF(C16="","",IFERROR(INDEX('Plan de Cuentas'!$B$5:$B$1241,MATCH(C16,'Plan de Cuentas'!$A$5:$A$1241,0)),"Código no encontrado"))</f>
        <v/>
      </c>
      <c r="E16" s="22"/>
      <c r="F16" s="25"/>
      <c r="G16" s="25"/>
    </row>
    <row r="17" customFormat="false" ht="15" hidden="false" customHeight="true" outlineLevel="0" collapsed="false">
      <c r="A17" s="21"/>
      <c r="B17" s="22"/>
      <c r="C17" s="23"/>
      <c r="D17" s="24" t="str">
        <f aca="false">IF(C17="","",IFERROR(INDEX('Plan de Cuentas'!$B$5:$B$1241,MATCH(C17,'Plan de Cuentas'!$A$5:$A$1241,0)),"Código no encontrado"))</f>
        <v/>
      </c>
      <c r="E17" s="22"/>
      <c r="F17" s="25"/>
      <c r="G17" s="25"/>
    </row>
    <row r="18" customFormat="false" ht="15" hidden="false" customHeight="true" outlineLevel="0" collapsed="false">
      <c r="A18" s="21"/>
      <c r="B18" s="22"/>
      <c r="C18" s="23"/>
      <c r="D18" s="24" t="str">
        <f aca="false">IF(C18="","",IFERROR(INDEX('Plan de Cuentas'!$B$5:$B$1241,MATCH(C18,'Plan de Cuentas'!$A$5:$A$1241,0)),"Código no encontrado"))</f>
        <v/>
      </c>
      <c r="E18" s="22"/>
      <c r="F18" s="25"/>
      <c r="G18" s="25"/>
    </row>
    <row r="19" customFormat="false" ht="15" hidden="false" customHeight="true" outlineLevel="0" collapsed="false">
      <c r="A19" s="21"/>
      <c r="B19" s="22"/>
      <c r="C19" s="23"/>
      <c r="D19" s="24" t="str">
        <f aca="false">IF(C19="","",IFERROR(INDEX('Plan de Cuentas'!$B$5:$B$1241,MATCH(C19,'Plan de Cuentas'!$A$5:$A$1241,0)),"Código no encontrado"))</f>
        <v/>
      </c>
      <c r="E19" s="22"/>
      <c r="F19" s="25"/>
      <c r="G19" s="25"/>
    </row>
    <row r="20" customFormat="false" ht="15" hidden="false" customHeight="true" outlineLevel="0" collapsed="false">
      <c r="A20" s="21"/>
      <c r="B20" s="22"/>
      <c r="C20" s="23"/>
      <c r="D20" s="24" t="str">
        <f aca="false">IF(C20="","",IFERROR(INDEX('Plan de Cuentas'!$B$5:$B$1241,MATCH(C20,'Plan de Cuentas'!$A$5:$A$1241,0)),"Código no encontrado"))</f>
        <v/>
      </c>
      <c r="E20" s="22"/>
      <c r="F20" s="25"/>
      <c r="G20" s="25"/>
    </row>
    <row r="21" customFormat="false" ht="15" hidden="false" customHeight="true" outlineLevel="0" collapsed="false">
      <c r="A21" s="21"/>
      <c r="B21" s="22"/>
      <c r="C21" s="23"/>
      <c r="D21" s="24" t="str">
        <f aca="false">IF(C21="","",IFERROR(INDEX('Plan de Cuentas'!$B$5:$B$1241,MATCH(C21,'Plan de Cuentas'!$A$5:$A$1241,0)),"Código no encontrado"))</f>
        <v/>
      </c>
      <c r="E21" s="22"/>
      <c r="F21" s="25"/>
      <c r="G21" s="25"/>
    </row>
    <row r="22" customFormat="false" ht="15" hidden="false" customHeight="true" outlineLevel="0" collapsed="false">
      <c r="A22" s="21"/>
      <c r="B22" s="22"/>
      <c r="C22" s="23"/>
      <c r="D22" s="24" t="str">
        <f aca="false">IF(C22="","",IFERROR(INDEX('Plan de Cuentas'!$B$5:$B$1241,MATCH(C22,'Plan de Cuentas'!$A$5:$A$1241,0)),"Código no encontrado"))</f>
        <v/>
      </c>
      <c r="E22" s="22"/>
      <c r="F22" s="25"/>
      <c r="G22" s="25"/>
    </row>
    <row r="23" customFormat="false" ht="15" hidden="false" customHeight="true" outlineLevel="0" collapsed="false">
      <c r="A23" s="21"/>
      <c r="B23" s="22"/>
      <c r="C23" s="23"/>
      <c r="D23" s="24" t="str">
        <f aca="false">IF(C23="","",IFERROR(INDEX('Plan de Cuentas'!$B$5:$B$1241,MATCH(C23,'Plan de Cuentas'!$A$5:$A$1241,0)),"Código no encontrado"))</f>
        <v/>
      </c>
      <c r="E23" s="22"/>
      <c r="F23" s="25"/>
      <c r="G23" s="25"/>
    </row>
    <row r="24" customFormat="false" ht="15" hidden="false" customHeight="true" outlineLevel="0" collapsed="false">
      <c r="A24" s="21"/>
      <c r="B24" s="22"/>
      <c r="C24" s="23"/>
      <c r="D24" s="24" t="str">
        <f aca="false">IF(C24="","",IFERROR(INDEX('Plan de Cuentas'!$B$5:$B$1241,MATCH(C24,'Plan de Cuentas'!$A$5:$A$1241,0)),"Código no encontrado"))</f>
        <v/>
      </c>
      <c r="E24" s="22"/>
      <c r="F24" s="25"/>
      <c r="G24" s="25"/>
    </row>
    <row r="25" customFormat="false" ht="15" hidden="false" customHeight="true" outlineLevel="0" collapsed="false">
      <c r="A25" s="21"/>
      <c r="B25" s="22"/>
      <c r="C25" s="23"/>
      <c r="D25" s="24" t="str">
        <f aca="false">IF(C25="","",IFERROR(INDEX('Plan de Cuentas'!$B$5:$B$1241,MATCH(C25,'Plan de Cuentas'!$A$5:$A$1241,0)),"Código no encontrado"))</f>
        <v/>
      </c>
      <c r="E25" s="22"/>
      <c r="F25" s="25"/>
      <c r="G25" s="25"/>
    </row>
    <row r="26" customFormat="false" ht="15" hidden="false" customHeight="true" outlineLevel="0" collapsed="false">
      <c r="A26" s="21"/>
      <c r="B26" s="22"/>
      <c r="C26" s="23"/>
      <c r="D26" s="24" t="str">
        <f aca="false">IF(C26="","",IFERROR(INDEX('Plan de Cuentas'!$B$5:$B$1241,MATCH(C26,'Plan de Cuentas'!$A$5:$A$1241,0)),"Código no encontrado"))</f>
        <v/>
      </c>
      <c r="E26" s="22"/>
      <c r="F26" s="25"/>
      <c r="G26" s="25"/>
    </row>
    <row r="27" customFormat="false" ht="15" hidden="false" customHeight="true" outlineLevel="0" collapsed="false">
      <c r="A27" s="21"/>
      <c r="B27" s="22"/>
      <c r="C27" s="23"/>
      <c r="D27" s="24" t="str">
        <f aca="false">IF(C27="","",IFERROR(INDEX('Plan de Cuentas'!$B$5:$B$1241,MATCH(C27,'Plan de Cuentas'!$A$5:$A$1241,0)),"Código no encontrado"))</f>
        <v/>
      </c>
      <c r="E27" s="22"/>
      <c r="F27" s="25"/>
      <c r="G27" s="25"/>
    </row>
    <row r="28" customFormat="false" ht="15" hidden="false" customHeight="true" outlineLevel="0" collapsed="false">
      <c r="A28" s="21"/>
      <c r="B28" s="22"/>
      <c r="C28" s="23"/>
      <c r="D28" s="24" t="str">
        <f aca="false">IF(C28="","",IFERROR(INDEX('Plan de Cuentas'!$B$5:$B$1241,MATCH(C28,'Plan de Cuentas'!$A$5:$A$1241,0)),"Código no encontrado"))</f>
        <v/>
      </c>
      <c r="E28" s="22"/>
      <c r="F28" s="25"/>
      <c r="G28" s="25"/>
    </row>
    <row r="29" customFormat="false" ht="15" hidden="false" customHeight="true" outlineLevel="0" collapsed="false">
      <c r="A29" s="21"/>
      <c r="B29" s="22"/>
      <c r="C29" s="23"/>
      <c r="D29" s="24" t="str">
        <f aca="false">IF(C29="","",IFERROR(INDEX('Plan de Cuentas'!$B$5:$B$1241,MATCH(C29,'Plan de Cuentas'!$A$5:$A$1241,0)),"Código no encontrado"))</f>
        <v/>
      </c>
      <c r="E29" s="22"/>
      <c r="F29" s="25"/>
      <c r="G29" s="25"/>
    </row>
    <row r="30" customFormat="false" ht="15" hidden="false" customHeight="true" outlineLevel="0" collapsed="false">
      <c r="A30" s="21"/>
      <c r="B30" s="22"/>
      <c r="C30" s="23"/>
      <c r="D30" s="24" t="str">
        <f aca="false">IF(C30="","",IFERROR(INDEX('Plan de Cuentas'!$B$5:$B$1241,MATCH(C30,'Plan de Cuentas'!$A$5:$A$1241,0)),"Código no encontrado"))</f>
        <v/>
      </c>
      <c r="E30" s="22"/>
      <c r="F30" s="25"/>
      <c r="G30" s="25"/>
    </row>
    <row r="31" customFormat="false" ht="15" hidden="false" customHeight="true" outlineLevel="0" collapsed="false">
      <c r="A31" s="21"/>
      <c r="B31" s="22"/>
      <c r="C31" s="23"/>
      <c r="D31" s="24" t="str">
        <f aca="false">IF(C31="","",IFERROR(INDEX('Plan de Cuentas'!$B$5:$B$1241,MATCH(C31,'Plan de Cuentas'!$A$5:$A$1241,0)),"Código no encontrado"))</f>
        <v/>
      </c>
      <c r="E31" s="22"/>
      <c r="F31" s="25"/>
      <c r="G31" s="25"/>
    </row>
    <row r="32" customFormat="false" ht="15" hidden="false" customHeight="true" outlineLevel="0" collapsed="false">
      <c r="A32" s="21"/>
      <c r="B32" s="22"/>
      <c r="C32" s="23"/>
      <c r="D32" s="24" t="str">
        <f aca="false">IF(C32="","",IFERROR(INDEX('Plan de Cuentas'!$B$5:$B$1241,MATCH(C32,'Plan de Cuentas'!$A$5:$A$1241,0)),"Código no encontrado"))</f>
        <v/>
      </c>
      <c r="E32" s="22"/>
      <c r="F32" s="25"/>
      <c r="G32" s="25"/>
    </row>
    <row r="33" customFormat="false" ht="15" hidden="false" customHeight="true" outlineLevel="0" collapsed="false">
      <c r="A33" s="21"/>
      <c r="B33" s="22"/>
      <c r="C33" s="23"/>
      <c r="D33" s="24" t="str">
        <f aca="false">IF(C33="","",IFERROR(INDEX('Plan de Cuentas'!$B$5:$B$1241,MATCH(C33,'Plan de Cuentas'!$A$5:$A$1241,0)),"Código no encontrado"))</f>
        <v/>
      </c>
      <c r="E33" s="22"/>
      <c r="F33" s="25"/>
      <c r="G33" s="25"/>
    </row>
    <row r="34" customFormat="false" ht="15" hidden="false" customHeight="true" outlineLevel="0" collapsed="false">
      <c r="A34" s="21"/>
      <c r="B34" s="22"/>
      <c r="C34" s="23"/>
      <c r="D34" s="24" t="str">
        <f aca="false">IF(C34="","",IFERROR(INDEX('Plan de Cuentas'!$B$5:$B$1241,MATCH(C34,'Plan de Cuentas'!$A$5:$A$1241,0)),"Código no encontrado"))</f>
        <v/>
      </c>
      <c r="E34" s="22"/>
      <c r="F34" s="25"/>
      <c r="G34" s="25"/>
    </row>
    <row r="35" customFormat="false" ht="15" hidden="false" customHeight="true" outlineLevel="0" collapsed="false">
      <c r="A35" s="21"/>
      <c r="B35" s="22"/>
      <c r="C35" s="23"/>
      <c r="D35" s="24" t="str">
        <f aca="false">IF(C35="","",IFERROR(INDEX('Plan de Cuentas'!$B$5:$B$1241,MATCH(C35,'Plan de Cuentas'!$A$5:$A$1241,0)),"Código no encontrado"))</f>
        <v/>
      </c>
      <c r="E35" s="22"/>
      <c r="F35" s="25"/>
      <c r="G35" s="25"/>
    </row>
    <row r="36" customFormat="false" ht="15" hidden="false" customHeight="true" outlineLevel="0" collapsed="false">
      <c r="A36" s="21"/>
      <c r="B36" s="22"/>
      <c r="C36" s="23"/>
      <c r="D36" s="24" t="str">
        <f aca="false">IF(C36="","",IFERROR(INDEX('Plan de Cuentas'!$B$5:$B$1241,MATCH(C36,'Plan de Cuentas'!$A$5:$A$1241,0)),"Código no encontrado"))</f>
        <v/>
      </c>
      <c r="E36" s="22"/>
      <c r="F36" s="25"/>
      <c r="G36" s="25"/>
    </row>
    <row r="37" customFormat="false" ht="15" hidden="false" customHeight="true" outlineLevel="0" collapsed="false">
      <c r="A37" s="21"/>
      <c r="B37" s="22"/>
      <c r="C37" s="23"/>
      <c r="D37" s="24" t="str">
        <f aca="false">IF(C37="","",IFERROR(INDEX('Plan de Cuentas'!$B$5:$B$1241,MATCH(C37,'Plan de Cuentas'!$A$5:$A$1241,0)),"Código no encontrado"))</f>
        <v/>
      </c>
      <c r="E37" s="22"/>
      <c r="F37" s="25"/>
      <c r="G37" s="25"/>
    </row>
    <row r="38" customFormat="false" ht="15" hidden="false" customHeight="true" outlineLevel="0" collapsed="false">
      <c r="A38" s="21"/>
      <c r="B38" s="22"/>
      <c r="C38" s="23"/>
      <c r="D38" s="24" t="str">
        <f aca="false">IF(C38="","",IFERROR(INDEX('Plan de Cuentas'!$B$5:$B$1241,MATCH(C38,'Plan de Cuentas'!$A$5:$A$1241,0)),"Código no encontrado"))</f>
        <v/>
      </c>
      <c r="E38" s="22"/>
      <c r="F38" s="25"/>
      <c r="G38" s="25"/>
    </row>
    <row r="39" customFormat="false" ht="15" hidden="false" customHeight="true" outlineLevel="0" collapsed="false">
      <c r="A39" s="21"/>
      <c r="B39" s="22"/>
      <c r="C39" s="23"/>
      <c r="D39" s="24" t="str">
        <f aca="false">IF(C39="","",IFERROR(INDEX('Plan de Cuentas'!$B$5:$B$1241,MATCH(C39,'Plan de Cuentas'!$A$5:$A$1241,0)),"Código no encontrado"))</f>
        <v/>
      </c>
      <c r="E39" s="22"/>
      <c r="F39" s="25"/>
      <c r="G39" s="25"/>
    </row>
    <row r="40" customFormat="false" ht="15" hidden="false" customHeight="true" outlineLevel="0" collapsed="false">
      <c r="A40" s="21"/>
      <c r="B40" s="22"/>
      <c r="C40" s="23"/>
      <c r="D40" s="24" t="str">
        <f aca="false">IF(C40="","",IFERROR(INDEX('Plan de Cuentas'!$B$5:$B$1241,MATCH(C40,'Plan de Cuentas'!$A$5:$A$1241,0)),"Código no encontrado"))</f>
        <v/>
      </c>
      <c r="E40" s="22"/>
      <c r="F40" s="25"/>
      <c r="G40" s="25"/>
    </row>
    <row r="41" customFormat="false" ht="15" hidden="false" customHeight="true" outlineLevel="0" collapsed="false">
      <c r="A41" s="21"/>
      <c r="B41" s="22"/>
      <c r="C41" s="23"/>
      <c r="D41" s="24" t="str">
        <f aca="false">IF(C41="","",IFERROR(INDEX('Plan de Cuentas'!$B$5:$B$1241,MATCH(C41,'Plan de Cuentas'!$A$5:$A$1241,0)),"Código no encontrado"))</f>
        <v/>
      </c>
      <c r="E41" s="22"/>
      <c r="F41" s="25"/>
      <c r="G41" s="25"/>
    </row>
    <row r="42" customFormat="false" ht="15" hidden="false" customHeight="true" outlineLevel="0" collapsed="false">
      <c r="A42" s="21"/>
      <c r="B42" s="22"/>
      <c r="C42" s="23"/>
      <c r="D42" s="24" t="str">
        <f aca="false">IF(C42="","",IFERROR(INDEX('Plan de Cuentas'!$B$5:$B$1241,MATCH(C42,'Plan de Cuentas'!$A$5:$A$1241,0)),"Código no encontrado"))</f>
        <v/>
      </c>
      <c r="E42" s="22"/>
      <c r="F42" s="25"/>
      <c r="G42" s="25"/>
    </row>
    <row r="43" customFormat="false" ht="15" hidden="false" customHeight="true" outlineLevel="0" collapsed="false">
      <c r="A43" s="21"/>
      <c r="B43" s="22"/>
      <c r="C43" s="23"/>
      <c r="D43" s="24" t="str">
        <f aca="false">IF(C43="","",IFERROR(INDEX('Plan de Cuentas'!$B$5:$B$1241,MATCH(C43,'Plan de Cuentas'!$A$5:$A$1241,0)),"Código no encontrado"))</f>
        <v/>
      </c>
      <c r="E43" s="22"/>
      <c r="F43" s="25"/>
      <c r="G43" s="25"/>
    </row>
    <row r="44" customFormat="false" ht="15" hidden="false" customHeight="true" outlineLevel="0" collapsed="false">
      <c r="A44" s="21"/>
      <c r="B44" s="22"/>
      <c r="C44" s="23"/>
      <c r="D44" s="24" t="str">
        <f aca="false">IF(C44="","",IFERROR(INDEX('Plan de Cuentas'!$B$5:$B$1241,MATCH(C44,'Plan de Cuentas'!$A$5:$A$1241,0)),"Código no encontrado"))</f>
        <v/>
      </c>
      <c r="E44" s="22"/>
      <c r="F44" s="25"/>
      <c r="G44" s="25"/>
    </row>
    <row r="45" customFormat="false" ht="15" hidden="false" customHeight="true" outlineLevel="0" collapsed="false">
      <c r="A45" s="21"/>
      <c r="B45" s="22"/>
      <c r="C45" s="23"/>
      <c r="D45" s="24" t="str">
        <f aca="false">IF(C45="","",IFERROR(INDEX('Plan de Cuentas'!$B$5:$B$1241,MATCH(C45,'Plan de Cuentas'!$A$5:$A$1241,0)),"Código no encontrado"))</f>
        <v/>
      </c>
      <c r="E45" s="22"/>
      <c r="F45" s="25"/>
      <c r="G45" s="25"/>
    </row>
    <row r="46" customFormat="false" ht="15" hidden="false" customHeight="true" outlineLevel="0" collapsed="false">
      <c r="A46" s="21"/>
      <c r="B46" s="22"/>
      <c r="C46" s="23"/>
      <c r="D46" s="24" t="str">
        <f aca="false">IF(C46="","",IFERROR(INDEX('Plan de Cuentas'!$B$5:$B$1241,MATCH(C46,'Plan de Cuentas'!$A$5:$A$1241,0)),"Código no encontrado"))</f>
        <v/>
      </c>
      <c r="E46" s="22"/>
      <c r="F46" s="25"/>
      <c r="G46" s="25"/>
    </row>
    <row r="47" customFormat="false" ht="15" hidden="false" customHeight="true" outlineLevel="0" collapsed="false">
      <c r="A47" s="21"/>
      <c r="B47" s="22"/>
      <c r="C47" s="23"/>
      <c r="D47" s="24" t="str">
        <f aca="false">IF(C47="","",IFERROR(INDEX('Plan de Cuentas'!$B$5:$B$1241,MATCH(C47,'Plan de Cuentas'!$A$5:$A$1241,0)),"Código no encontrado"))</f>
        <v/>
      </c>
      <c r="E47" s="22"/>
      <c r="F47" s="25"/>
      <c r="G47" s="25"/>
    </row>
    <row r="48" customFormat="false" ht="15" hidden="false" customHeight="true" outlineLevel="0" collapsed="false">
      <c r="A48" s="21"/>
      <c r="B48" s="22"/>
      <c r="C48" s="23"/>
      <c r="D48" s="24" t="str">
        <f aca="false">IF(C48="","",IFERROR(INDEX('Plan de Cuentas'!$B$5:$B$1241,MATCH(C48,'Plan de Cuentas'!$A$5:$A$1241,0)),"Código no encontrado"))</f>
        <v/>
      </c>
      <c r="E48" s="22"/>
      <c r="F48" s="25"/>
      <c r="G48" s="25"/>
    </row>
    <row r="49" customFormat="false" ht="15" hidden="false" customHeight="true" outlineLevel="0" collapsed="false">
      <c r="A49" s="21"/>
      <c r="B49" s="22"/>
      <c r="C49" s="23"/>
      <c r="D49" s="24" t="str">
        <f aca="false">IF(C49="","",IFERROR(INDEX('Plan de Cuentas'!$B$5:$B$1241,MATCH(C49,'Plan de Cuentas'!$A$5:$A$1241,0)),"Código no encontrado"))</f>
        <v/>
      </c>
      <c r="E49" s="22"/>
      <c r="F49" s="25"/>
      <c r="G49" s="25"/>
    </row>
    <row r="50" customFormat="false" ht="15" hidden="false" customHeight="true" outlineLevel="0" collapsed="false">
      <c r="A50" s="21"/>
      <c r="B50" s="22"/>
      <c r="C50" s="23"/>
      <c r="D50" s="24" t="str">
        <f aca="false">IF(C50="","",IFERROR(INDEX('Plan de Cuentas'!$B$5:$B$1241,MATCH(C50,'Plan de Cuentas'!$A$5:$A$1241,0)),"Código no encontrado"))</f>
        <v/>
      </c>
      <c r="E50" s="22"/>
      <c r="F50" s="25"/>
      <c r="G50" s="25"/>
    </row>
    <row r="51" customFormat="false" ht="15" hidden="false" customHeight="true" outlineLevel="0" collapsed="false">
      <c r="A51" s="21"/>
      <c r="B51" s="22"/>
      <c r="C51" s="23"/>
      <c r="D51" s="24" t="str">
        <f aca="false">IF(C51="","",IFERROR(INDEX('Plan de Cuentas'!$B$5:$B$1241,MATCH(C51,'Plan de Cuentas'!$A$5:$A$1241,0)),"Código no encontrado"))</f>
        <v/>
      </c>
      <c r="E51" s="22"/>
      <c r="F51" s="25"/>
      <c r="G51" s="25"/>
    </row>
    <row r="52" customFormat="false" ht="15" hidden="false" customHeight="true" outlineLevel="0" collapsed="false">
      <c r="A52" s="21"/>
      <c r="B52" s="22"/>
      <c r="C52" s="23"/>
      <c r="D52" s="24" t="str">
        <f aca="false">IF(C52="","",IFERROR(INDEX('Plan de Cuentas'!$B$5:$B$1241,MATCH(C52,'Plan de Cuentas'!$A$5:$A$1241,0)),"Código no encontrado"))</f>
        <v/>
      </c>
      <c r="E52" s="22"/>
      <c r="F52" s="25"/>
      <c r="G52" s="25"/>
    </row>
    <row r="53" customFormat="false" ht="15" hidden="false" customHeight="true" outlineLevel="0" collapsed="false">
      <c r="A53" s="21"/>
      <c r="B53" s="22"/>
      <c r="C53" s="23"/>
      <c r="D53" s="24" t="str">
        <f aca="false">IF(C53="","",IFERROR(INDEX('Plan de Cuentas'!$B$5:$B$1241,MATCH(C53,'Plan de Cuentas'!$A$5:$A$1241,0)),"Código no encontrado"))</f>
        <v/>
      </c>
      <c r="E53" s="22"/>
      <c r="F53" s="25"/>
      <c r="G53" s="25"/>
    </row>
    <row r="54" customFormat="false" ht="15" hidden="false" customHeight="true" outlineLevel="0" collapsed="false">
      <c r="A54" s="21"/>
      <c r="B54" s="22"/>
      <c r="C54" s="23"/>
      <c r="D54" s="24" t="str">
        <f aca="false">IF(C54="","",IFERROR(INDEX('Plan de Cuentas'!$B$5:$B$1241,MATCH(C54,'Plan de Cuentas'!$A$5:$A$1241,0)),"Código no encontrado"))</f>
        <v/>
      </c>
      <c r="E54" s="22"/>
      <c r="F54" s="25"/>
      <c r="G54" s="25"/>
    </row>
    <row r="55" customFormat="false" ht="15" hidden="false" customHeight="true" outlineLevel="0" collapsed="false">
      <c r="A55" s="21"/>
      <c r="B55" s="22"/>
      <c r="C55" s="23"/>
      <c r="D55" s="24" t="str">
        <f aca="false">IF(C55="","",IFERROR(INDEX('Plan de Cuentas'!$B$5:$B$1241,MATCH(C55,'Plan de Cuentas'!$A$5:$A$1241,0)),"Código no encontrado"))</f>
        <v/>
      </c>
      <c r="E55" s="22"/>
      <c r="F55" s="25"/>
      <c r="G55" s="25"/>
    </row>
    <row r="56" customFormat="false" ht="15" hidden="false" customHeight="true" outlineLevel="0" collapsed="false">
      <c r="A56" s="21"/>
      <c r="B56" s="22"/>
      <c r="C56" s="23"/>
      <c r="D56" s="24" t="str">
        <f aca="false">IF(C56="","",IFERROR(INDEX('Plan de Cuentas'!$B$5:$B$1241,MATCH(C56,'Plan de Cuentas'!$A$5:$A$1241,0)),"Código no encontrado"))</f>
        <v/>
      </c>
      <c r="E56" s="22"/>
      <c r="F56" s="25"/>
      <c r="G56" s="25"/>
    </row>
    <row r="57" customFormat="false" ht="15" hidden="false" customHeight="true" outlineLevel="0" collapsed="false">
      <c r="A57" s="21"/>
      <c r="B57" s="22"/>
      <c r="C57" s="23"/>
      <c r="D57" s="24" t="str">
        <f aca="false">IF(C57="","",IFERROR(INDEX('Plan de Cuentas'!$B$5:$B$1241,MATCH(C57,'Plan de Cuentas'!$A$5:$A$1241,0)),"Código no encontrado"))</f>
        <v/>
      </c>
      <c r="E57" s="22"/>
      <c r="F57" s="25"/>
      <c r="G57" s="25"/>
    </row>
    <row r="58" customFormat="false" ht="15" hidden="false" customHeight="true" outlineLevel="0" collapsed="false">
      <c r="A58" s="21"/>
      <c r="B58" s="22"/>
      <c r="C58" s="23"/>
      <c r="D58" s="24" t="str">
        <f aca="false">IF(C58="","",IFERROR(INDEX('Plan de Cuentas'!$B$5:$B$1241,MATCH(C58,'Plan de Cuentas'!$A$5:$A$1241,0)),"Código no encontrado"))</f>
        <v/>
      </c>
      <c r="E58" s="22"/>
      <c r="F58" s="25"/>
      <c r="G58" s="25"/>
    </row>
    <row r="59" customFormat="false" ht="15" hidden="false" customHeight="true" outlineLevel="0" collapsed="false">
      <c r="A59" s="21"/>
      <c r="B59" s="22"/>
      <c r="C59" s="23"/>
      <c r="D59" s="24" t="str">
        <f aca="false">IF(C59="","",IFERROR(INDEX('Plan de Cuentas'!$B$5:$B$1241,MATCH(C59,'Plan de Cuentas'!$A$5:$A$1241,0)),"Código no encontrado"))</f>
        <v/>
      </c>
      <c r="E59" s="22"/>
      <c r="F59" s="25"/>
      <c r="G59" s="25"/>
    </row>
    <row r="60" customFormat="false" ht="15" hidden="false" customHeight="true" outlineLevel="0" collapsed="false">
      <c r="A60" s="21"/>
      <c r="B60" s="22"/>
      <c r="C60" s="23"/>
      <c r="D60" s="24" t="str">
        <f aca="false">IF(C60="","",IFERROR(INDEX('Plan de Cuentas'!$B$5:$B$1241,MATCH(C60,'Plan de Cuentas'!$A$5:$A$1241,0)),"Código no encontrado"))</f>
        <v/>
      </c>
      <c r="E60" s="22"/>
      <c r="F60" s="25"/>
      <c r="G60" s="25"/>
    </row>
    <row r="61" customFormat="false" ht="15" hidden="false" customHeight="true" outlineLevel="0" collapsed="false">
      <c r="A61" s="21"/>
      <c r="B61" s="22"/>
      <c r="C61" s="23"/>
      <c r="D61" s="24" t="str">
        <f aca="false">IF(C61="","",IFERROR(INDEX('Plan de Cuentas'!$B$5:$B$1241,MATCH(C61,'Plan de Cuentas'!$A$5:$A$1241,0)),"Código no encontrado"))</f>
        <v/>
      </c>
      <c r="E61" s="22"/>
      <c r="F61" s="25"/>
      <c r="G61" s="25"/>
    </row>
    <row r="62" customFormat="false" ht="15" hidden="false" customHeight="true" outlineLevel="0" collapsed="false">
      <c r="A62" s="21"/>
      <c r="B62" s="22"/>
      <c r="C62" s="23"/>
      <c r="D62" s="24" t="str">
        <f aca="false">IF(C62="","",IFERROR(INDEX('Plan de Cuentas'!$B$5:$B$1241,MATCH(C62,'Plan de Cuentas'!$A$5:$A$1241,0)),"Código no encontrado"))</f>
        <v/>
      </c>
      <c r="E62" s="22"/>
      <c r="F62" s="25"/>
      <c r="G62" s="25"/>
    </row>
    <row r="63" customFormat="false" ht="15" hidden="false" customHeight="true" outlineLevel="0" collapsed="false">
      <c r="A63" s="21"/>
      <c r="B63" s="22"/>
      <c r="C63" s="23"/>
      <c r="D63" s="24" t="str">
        <f aca="false">IF(C63="","",IFERROR(INDEX('Plan de Cuentas'!$B$5:$B$1241,MATCH(C63,'Plan de Cuentas'!$A$5:$A$1241,0)),"Código no encontrado"))</f>
        <v/>
      </c>
      <c r="E63" s="22"/>
      <c r="F63" s="25"/>
      <c r="G63" s="25"/>
    </row>
    <row r="64" customFormat="false" ht="15" hidden="false" customHeight="true" outlineLevel="0" collapsed="false">
      <c r="A64" s="21"/>
      <c r="B64" s="22"/>
      <c r="C64" s="23"/>
      <c r="D64" s="24" t="str">
        <f aca="false">IF(C64="","",IFERROR(INDEX('Plan de Cuentas'!$B$5:$B$1241,MATCH(C64,'Plan de Cuentas'!$A$5:$A$1241,0)),"Código no encontrado"))</f>
        <v/>
      </c>
      <c r="E64" s="22"/>
      <c r="F64" s="25"/>
      <c r="G64" s="25"/>
    </row>
    <row r="65" customFormat="false" ht="15" hidden="false" customHeight="true" outlineLevel="0" collapsed="false">
      <c r="A65" s="21"/>
      <c r="B65" s="22"/>
      <c r="C65" s="23"/>
      <c r="D65" s="24" t="str">
        <f aca="false">IF(C65="","",IFERROR(INDEX('Plan de Cuentas'!$B$5:$B$1241,MATCH(C65,'Plan de Cuentas'!$A$5:$A$1241,0)),"Código no encontrado"))</f>
        <v/>
      </c>
      <c r="E65" s="22"/>
      <c r="F65" s="25"/>
      <c r="G65" s="25"/>
    </row>
    <row r="66" customFormat="false" ht="15" hidden="false" customHeight="true" outlineLevel="0" collapsed="false">
      <c r="A66" s="21"/>
      <c r="B66" s="22"/>
      <c r="C66" s="23"/>
      <c r="D66" s="24" t="str">
        <f aca="false">IF(C66="","",IFERROR(INDEX('Plan de Cuentas'!$B$5:$B$1241,MATCH(C66,'Plan de Cuentas'!$A$5:$A$1241,0)),"Código no encontrado"))</f>
        <v/>
      </c>
      <c r="E66" s="22"/>
      <c r="F66" s="25"/>
      <c r="G66" s="25"/>
    </row>
    <row r="67" customFormat="false" ht="15" hidden="false" customHeight="true" outlineLevel="0" collapsed="false">
      <c r="A67" s="21"/>
      <c r="B67" s="22"/>
      <c r="C67" s="23"/>
      <c r="D67" s="24" t="str">
        <f aca="false">IF(C67="","",IFERROR(INDEX('Plan de Cuentas'!$B$5:$B$1241,MATCH(C67,'Plan de Cuentas'!$A$5:$A$1241,0)),"Código no encontrado"))</f>
        <v/>
      </c>
      <c r="E67" s="22"/>
      <c r="F67" s="25"/>
      <c r="G67" s="25"/>
    </row>
    <row r="68" customFormat="false" ht="15" hidden="false" customHeight="true" outlineLevel="0" collapsed="false">
      <c r="A68" s="21"/>
      <c r="B68" s="22"/>
      <c r="C68" s="23"/>
      <c r="D68" s="24" t="str">
        <f aca="false">IF(C68="","",IFERROR(INDEX('Plan de Cuentas'!$B$5:$B$1241,MATCH(C68,'Plan de Cuentas'!$A$5:$A$1241,0)),"Código no encontrado"))</f>
        <v/>
      </c>
      <c r="E68" s="22"/>
      <c r="F68" s="25"/>
      <c r="G68" s="25"/>
    </row>
    <row r="69" customFormat="false" ht="15" hidden="false" customHeight="true" outlineLevel="0" collapsed="false">
      <c r="A69" s="21"/>
      <c r="B69" s="22"/>
      <c r="C69" s="23"/>
      <c r="D69" s="24" t="str">
        <f aca="false">IF(C69="","",IFERROR(INDEX('Plan de Cuentas'!$B$5:$B$1241,MATCH(C69,'Plan de Cuentas'!$A$5:$A$1241,0)),"Código no encontrado"))</f>
        <v/>
      </c>
      <c r="E69" s="22"/>
      <c r="F69" s="25"/>
      <c r="G69" s="25"/>
    </row>
    <row r="70" customFormat="false" ht="15" hidden="false" customHeight="true" outlineLevel="0" collapsed="false">
      <c r="A70" s="21"/>
      <c r="B70" s="22"/>
      <c r="C70" s="23"/>
      <c r="D70" s="24" t="str">
        <f aca="false">IF(C70="","",IFERROR(INDEX('Plan de Cuentas'!$B$5:$B$1241,MATCH(C70,'Plan de Cuentas'!$A$5:$A$1241,0)),"Código no encontrado"))</f>
        <v/>
      </c>
      <c r="E70" s="22"/>
      <c r="F70" s="25"/>
      <c r="G70" s="25"/>
    </row>
    <row r="71" customFormat="false" ht="15" hidden="false" customHeight="true" outlineLevel="0" collapsed="false">
      <c r="A71" s="21"/>
      <c r="B71" s="22"/>
      <c r="C71" s="23"/>
      <c r="D71" s="24" t="str">
        <f aca="false">IF(C71="","",IFERROR(INDEX('Plan de Cuentas'!$B$5:$B$1241,MATCH(C71,'Plan de Cuentas'!$A$5:$A$1241,0)),"Código no encontrado"))</f>
        <v/>
      </c>
      <c r="E71" s="22"/>
      <c r="F71" s="25"/>
      <c r="G71" s="25"/>
    </row>
    <row r="72" customFormat="false" ht="15" hidden="false" customHeight="true" outlineLevel="0" collapsed="false">
      <c r="A72" s="21"/>
      <c r="B72" s="22"/>
      <c r="C72" s="23"/>
      <c r="D72" s="24" t="str">
        <f aca="false">IF(C72="","",IFERROR(INDEX('Plan de Cuentas'!$B$5:$B$1241,MATCH(C72,'Plan de Cuentas'!$A$5:$A$1241,0)),"Código no encontrado"))</f>
        <v/>
      </c>
      <c r="E72" s="22"/>
      <c r="F72" s="25"/>
      <c r="G72" s="25"/>
    </row>
    <row r="73" customFormat="false" ht="15" hidden="false" customHeight="true" outlineLevel="0" collapsed="false">
      <c r="A73" s="21"/>
      <c r="B73" s="22"/>
      <c r="C73" s="23"/>
      <c r="D73" s="24" t="str">
        <f aca="false">IF(C73="","",IFERROR(INDEX('Plan de Cuentas'!$B$5:$B$1241,MATCH(C73,'Plan de Cuentas'!$A$5:$A$1241,0)),"Código no encontrado"))</f>
        <v/>
      </c>
      <c r="E73" s="22"/>
      <c r="F73" s="25"/>
      <c r="G73" s="25"/>
    </row>
    <row r="74" customFormat="false" ht="15" hidden="false" customHeight="true" outlineLevel="0" collapsed="false">
      <c r="A74" s="21"/>
      <c r="B74" s="22"/>
      <c r="C74" s="23"/>
      <c r="D74" s="24" t="str">
        <f aca="false">IF(C74="","",IFERROR(INDEX('Plan de Cuentas'!$B$5:$B$1241,MATCH(C74,'Plan de Cuentas'!$A$5:$A$1241,0)),"Código no encontrado"))</f>
        <v/>
      </c>
      <c r="E74" s="22"/>
      <c r="F74" s="25"/>
      <c r="G74" s="25"/>
    </row>
    <row r="75" customFormat="false" ht="15" hidden="false" customHeight="true" outlineLevel="0" collapsed="false">
      <c r="A75" s="21"/>
      <c r="B75" s="22"/>
      <c r="C75" s="23"/>
      <c r="D75" s="24" t="str">
        <f aca="false">IF(C75="","",IFERROR(INDEX('Plan de Cuentas'!$B$5:$B$1241,MATCH(C75,'Plan de Cuentas'!$A$5:$A$1241,0)),"Código no encontrado"))</f>
        <v/>
      </c>
      <c r="E75" s="22"/>
      <c r="F75" s="25"/>
      <c r="G75" s="25"/>
    </row>
    <row r="76" customFormat="false" ht="15" hidden="false" customHeight="true" outlineLevel="0" collapsed="false">
      <c r="A76" s="21"/>
      <c r="B76" s="22"/>
      <c r="C76" s="23"/>
      <c r="D76" s="24" t="str">
        <f aca="false">IF(C76="","",IFERROR(INDEX('Plan de Cuentas'!$B$5:$B$1241,MATCH(C76,'Plan de Cuentas'!$A$5:$A$1241,0)),"Código no encontrado"))</f>
        <v/>
      </c>
      <c r="E76" s="22"/>
      <c r="F76" s="25"/>
      <c r="G76" s="25"/>
    </row>
    <row r="77" customFormat="false" ht="15" hidden="false" customHeight="true" outlineLevel="0" collapsed="false">
      <c r="A77" s="21"/>
      <c r="B77" s="22"/>
      <c r="C77" s="23"/>
      <c r="D77" s="24" t="str">
        <f aca="false">IF(C77="","",IFERROR(INDEX('Plan de Cuentas'!$B$5:$B$1241,MATCH(C77,'Plan de Cuentas'!$A$5:$A$1241,0)),"Código no encontrado"))</f>
        <v/>
      </c>
      <c r="E77" s="22"/>
      <c r="F77" s="25"/>
      <c r="G77" s="25"/>
    </row>
    <row r="78" customFormat="false" ht="15" hidden="false" customHeight="true" outlineLevel="0" collapsed="false">
      <c r="A78" s="21"/>
      <c r="B78" s="22"/>
      <c r="C78" s="23"/>
      <c r="D78" s="24" t="str">
        <f aca="false">IF(C78="","",IFERROR(INDEX('Plan de Cuentas'!$B$5:$B$1241,MATCH(C78,'Plan de Cuentas'!$A$5:$A$1241,0)),"Código no encontrado"))</f>
        <v/>
      </c>
      <c r="E78" s="22"/>
      <c r="F78" s="25"/>
      <c r="G78" s="25"/>
    </row>
    <row r="79" customFormat="false" ht="15" hidden="false" customHeight="true" outlineLevel="0" collapsed="false">
      <c r="A79" s="21"/>
      <c r="B79" s="22"/>
      <c r="C79" s="23"/>
      <c r="D79" s="24" t="str">
        <f aca="false">IF(C79="","",IFERROR(INDEX('Plan de Cuentas'!$B$5:$B$1241,MATCH(C79,'Plan de Cuentas'!$A$5:$A$1241,0)),"Código no encontrado"))</f>
        <v/>
      </c>
      <c r="E79" s="22"/>
      <c r="F79" s="25"/>
      <c r="G79" s="25"/>
    </row>
    <row r="80" customFormat="false" ht="15" hidden="false" customHeight="true" outlineLevel="0" collapsed="false">
      <c r="A80" s="21"/>
      <c r="B80" s="22"/>
      <c r="C80" s="23"/>
      <c r="D80" s="24" t="str">
        <f aca="false">IF(C80="","",IFERROR(INDEX('Plan de Cuentas'!$B$5:$B$1241,MATCH(C80,'Plan de Cuentas'!$A$5:$A$1241,0)),"Código no encontrado"))</f>
        <v/>
      </c>
      <c r="E80" s="22"/>
      <c r="F80" s="25"/>
      <c r="G80" s="25"/>
    </row>
    <row r="81" customFormat="false" ht="15" hidden="false" customHeight="true" outlineLevel="0" collapsed="false">
      <c r="A81" s="21"/>
      <c r="B81" s="22"/>
      <c r="C81" s="23"/>
      <c r="D81" s="24" t="str">
        <f aca="false">IF(C81="","",IFERROR(INDEX('Plan de Cuentas'!$B$5:$B$1241,MATCH(C81,'Plan de Cuentas'!$A$5:$A$1241,0)),"Código no encontrado"))</f>
        <v/>
      </c>
      <c r="E81" s="22"/>
      <c r="F81" s="25"/>
      <c r="G81" s="25"/>
    </row>
    <row r="82" customFormat="false" ht="15" hidden="false" customHeight="true" outlineLevel="0" collapsed="false">
      <c r="A82" s="21"/>
      <c r="B82" s="22"/>
      <c r="C82" s="23"/>
      <c r="D82" s="24" t="str">
        <f aca="false">IF(C82="","",IFERROR(INDEX('Plan de Cuentas'!$B$5:$B$1241,MATCH(C82,'Plan de Cuentas'!$A$5:$A$1241,0)),"Código no encontrado"))</f>
        <v/>
      </c>
      <c r="E82" s="22"/>
      <c r="F82" s="25"/>
      <c r="G82" s="25"/>
    </row>
    <row r="83" customFormat="false" ht="15" hidden="false" customHeight="true" outlineLevel="0" collapsed="false">
      <c r="A83" s="21"/>
      <c r="B83" s="22"/>
      <c r="C83" s="23"/>
      <c r="D83" s="24" t="str">
        <f aca="false">IF(C83="","",IFERROR(INDEX('Plan de Cuentas'!$B$5:$B$1241,MATCH(C83,'Plan de Cuentas'!$A$5:$A$1241,0)),"Código no encontrado"))</f>
        <v/>
      </c>
      <c r="E83" s="22"/>
      <c r="F83" s="25"/>
      <c r="G83" s="25"/>
    </row>
    <row r="84" customFormat="false" ht="15" hidden="false" customHeight="true" outlineLevel="0" collapsed="false">
      <c r="A84" s="21"/>
      <c r="B84" s="22"/>
      <c r="C84" s="23"/>
      <c r="D84" s="24" t="str">
        <f aca="false">IF(C84="","",IFERROR(INDEX('Plan de Cuentas'!$B$5:$B$1241,MATCH(C84,'Plan de Cuentas'!$A$5:$A$1241,0)),"Código no encontrado"))</f>
        <v/>
      </c>
      <c r="E84" s="22"/>
      <c r="F84" s="25"/>
      <c r="G84" s="25"/>
    </row>
    <row r="85" customFormat="false" ht="15" hidden="false" customHeight="true" outlineLevel="0" collapsed="false">
      <c r="A85" s="21"/>
      <c r="B85" s="22"/>
      <c r="C85" s="23"/>
      <c r="D85" s="24" t="str">
        <f aca="false">IF(C85="","",IFERROR(INDEX('Plan de Cuentas'!$B$5:$B$1241,MATCH(C85,'Plan de Cuentas'!$A$5:$A$1241,0)),"Código no encontrado"))</f>
        <v/>
      </c>
      <c r="E85" s="22"/>
      <c r="F85" s="25"/>
      <c r="G85" s="25"/>
    </row>
    <row r="86" customFormat="false" ht="15" hidden="false" customHeight="true" outlineLevel="0" collapsed="false">
      <c r="A86" s="21"/>
      <c r="B86" s="22"/>
      <c r="C86" s="23"/>
      <c r="D86" s="24" t="str">
        <f aca="false">IF(C86="","",IFERROR(INDEX('Plan de Cuentas'!$B$5:$B$1241,MATCH(C86,'Plan de Cuentas'!$A$5:$A$1241,0)),"Código no encontrado"))</f>
        <v/>
      </c>
      <c r="E86" s="22"/>
      <c r="F86" s="25"/>
      <c r="G86" s="25"/>
    </row>
    <row r="87" customFormat="false" ht="15" hidden="false" customHeight="true" outlineLevel="0" collapsed="false">
      <c r="A87" s="21"/>
      <c r="B87" s="22"/>
      <c r="C87" s="23"/>
      <c r="D87" s="24" t="str">
        <f aca="false">IF(C87="","",IFERROR(INDEX('Plan de Cuentas'!$B$5:$B$1241,MATCH(C87,'Plan de Cuentas'!$A$5:$A$1241,0)),"Código no encontrado"))</f>
        <v/>
      </c>
      <c r="E87" s="22"/>
      <c r="F87" s="25"/>
      <c r="G87" s="25"/>
    </row>
    <row r="88" customFormat="false" ht="15" hidden="false" customHeight="true" outlineLevel="0" collapsed="false">
      <c r="A88" s="21"/>
      <c r="B88" s="22"/>
      <c r="C88" s="23"/>
      <c r="D88" s="24" t="str">
        <f aca="false">IF(C88="","",IFERROR(INDEX('Plan de Cuentas'!$B$5:$B$1241,MATCH(C88,'Plan de Cuentas'!$A$5:$A$1241,0)),"Código no encontrado"))</f>
        <v/>
      </c>
      <c r="E88" s="22"/>
      <c r="F88" s="25"/>
      <c r="G88" s="25"/>
    </row>
    <row r="89" customFormat="false" ht="15" hidden="false" customHeight="true" outlineLevel="0" collapsed="false">
      <c r="A89" s="21"/>
      <c r="B89" s="22"/>
      <c r="C89" s="23"/>
      <c r="D89" s="24" t="str">
        <f aca="false">IF(C89="","",IFERROR(INDEX('Plan de Cuentas'!$B$5:$B$1241,MATCH(C89,'Plan de Cuentas'!$A$5:$A$1241,0)),"Código no encontrado"))</f>
        <v/>
      </c>
      <c r="E89" s="22"/>
      <c r="F89" s="25"/>
      <c r="G89" s="25"/>
    </row>
    <row r="90" customFormat="false" ht="15" hidden="false" customHeight="true" outlineLevel="0" collapsed="false">
      <c r="A90" s="21"/>
      <c r="B90" s="22"/>
      <c r="C90" s="23"/>
      <c r="D90" s="24" t="str">
        <f aca="false">IF(C90="","",IFERROR(INDEX('Plan de Cuentas'!$B$5:$B$1241,MATCH(C90,'Plan de Cuentas'!$A$5:$A$1241,0)),"Código no encontrado"))</f>
        <v/>
      </c>
      <c r="E90" s="22"/>
      <c r="F90" s="25"/>
      <c r="G90" s="25"/>
    </row>
    <row r="91" customFormat="false" ht="15" hidden="false" customHeight="true" outlineLevel="0" collapsed="false">
      <c r="A91" s="21"/>
      <c r="B91" s="22"/>
      <c r="C91" s="23"/>
      <c r="D91" s="24" t="str">
        <f aca="false">IF(C91="","",IFERROR(INDEX('Plan de Cuentas'!$B$5:$B$1241,MATCH(C91,'Plan de Cuentas'!$A$5:$A$1241,0)),"Código no encontrado"))</f>
        <v/>
      </c>
      <c r="E91" s="22"/>
      <c r="F91" s="25"/>
      <c r="G91" s="25"/>
    </row>
    <row r="92" customFormat="false" ht="15" hidden="false" customHeight="true" outlineLevel="0" collapsed="false">
      <c r="A92" s="21"/>
      <c r="B92" s="22"/>
      <c r="C92" s="23"/>
      <c r="D92" s="24" t="str">
        <f aca="false">IF(C92="","",IFERROR(INDEX('Plan de Cuentas'!$B$5:$B$1241,MATCH(C92,'Plan de Cuentas'!$A$5:$A$1241,0)),"Código no encontrado"))</f>
        <v/>
      </c>
      <c r="E92" s="22"/>
      <c r="F92" s="25"/>
      <c r="G92" s="25"/>
    </row>
    <row r="93" customFormat="false" ht="15" hidden="false" customHeight="true" outlineLevel="0" collapsed="false">
      <c r="A93" s="21"/>
      <c r="B93" s="22"/>
      <c r="C93" s="23"/>
      <c r="D93" s="24" t="str">
        <f aca="false">IF(C93="","",IFERROR(INDEX('Plan de Cuentas'!$B$5:$B$1241,MATCH(C93,'Plan de Cuentas'!$A$5:$A$1241,0)),"Código no encontrado"))</f>
        <v/>
      </c>
      <c r="E93" s="22"/>
      <c r="F93" s="25"/>
      <c r="G93" s="25"/>
    </row>
    <row r="94" customFormat="false" ht="15" hidden="false" customHeight="true" outlineLevel="0" collapsed="false">
      <c r="A94" s="21"/>
      <c r="B94" s="22"/>
      <c r="C94" s="23"/>
      <c r="D94" s="24" t="str">
        <f aca="false">IF(C94="","",IFERROR(INDEX('Plan de Cuentas'!$B$5:$B$1241,MATCH(C94,'Plan de Cuentas'!$A$5:$A$1241,0)),"Código no encontrado"))</f>
        <v/>
      </c>
      <c r="E94" s="22"/>
      <c r="F94" s="25"/>
      <c r="G94" s="25"/>
    </row>
    <row r="95" customFormat="false" ht="15" hidden="false" customHeight="true" outlineLevel="0" collapsed="false">
      <c r="A95" s="21"/>
      <c r="B95" s="22"/>
      <c r="C95" s="23"/>
      <c r="D95" s="24" t="str">
        <f aca="false">IF(C95="","",IFERROR(INDEX('Plan de Cuentas'!$B$5:$B$1241,MATCH(C95,'Plan de Cuentas'!$A$5:$A$1241,0)),"Código no encontrado"))</f>
        <v/>
      </c>
      <c r="E95" s="22"/>
      <c r="F95" s="25"/>
      <c r="G95" s="25"/>
    </row>
    <row r="96" customFormat="false" ht="15" hidden="false" customHeight="true" outlineLevel="0" collapsed="false">
      <c r="A96" s="21"/>
      <c r="B96" s="22"/>
      <c r="C96" s="23"/>
      <c r="D96" s="24" t="str">
        <f aca="false">IF(C96="","",IFERROR(INDEX('Plan de Cuentas'!$B$5:$B$1241,MATCH(C96,'Plan de Cuentas'!$A$5:$A$1241,0)),"Código no encontrado"))</f>
        <v/>
      </c>
      <c r="E96" s="22"/>
      <c r="F96" s="25"/>
      <c r="G96" s="25"/>
    </row>
    <row r="97" customFormat="false" ht="15" hidden="false" customHeight="true" outlineLevel="0" collapsed="false">
      <c r="A97" s="21"/>
      <c r="B97" s="22"/>
      <c r="C97" s="23"/>
      <c r="D97" s="24" t="str">
        <f aca="false">IF(C97="","",IFERROR(INDEX('Plan de Cuentas'!$B$5:$B$1241,MATCH(C97,'Plan de Cuentas'!$A$5:$A$1241,0)),"Código no encontrado"))</f>
        <v/>
      </c>
      <c r="E97" s="22"/>
      <c r="F97" s="25"/>
      <c r="G97" s="25"/>
    </row>
    <row r="98" customFormat="false" ht="15" hidden="false" customHeight="true" outlineLevel="0" collapsed="false">
      <c r="A98" s="21"/>
      <c r="B98" s="22"/>
      <c r="C98" s="23"/>
      <c r="D98" s="24" t="str">
        <f aca="false">IF(C98="","",IFERROR(INDEX('Plan de Cuentas'!$B$5:$B$1241,MATCH(C98,'Plan de Cuentas'!$A$5:$A$1241,0)),"Código no encontrado"))</f>
        <v/>
      </c>
      <c r="E98" s="22"/>
      <c r="F98" s="25"/>
      <c r="G98" s="25"/>
    </row>
    <row r="99" customFormat="false" ht="15" hidden="false" customHeight="true" outlineLevel="0" collapsed="false">
      <c r="A99" s="21"/>
      <c r="B99" s="22"/>
      <c r="C99" s="23"/>
      <c r="D99" s="24" t="str">
        <f aca="false">IF(C99="","",IFERROR(INDEX('Plan de Cuentas'!$B$5:$B$1241,MATCH(C99,'Plan de Cuentas'!$A$5:$A$1241,0)),"Código no encontrado"))</f>
        <v/>
      </c>
      <c r="E99" s="22"/>
      <c r="F99" s="25"/>
      <c r="G99" s="25"/>
    </row>
    <row r="100" customFormat="false" ht="15" hidden="false" customHeight="true" outlineLevel="0" collapsed="false">
      <c r="A100" s="21"/>
      <c r="B100" s="22"/>
      <c r="C100" s="23"/>
      <c r="D100" s="24" t="str">
        <f aca="false">IF(C100="","",IFERROR(INDEX('Plan de Cuentas'!$B$5:$B$1241,MATCH(C100,'Plan de Cuentas'!$A$5:$A$1241,0)),"Código no encontrado"))</f>
        <v/>
      </c>
      <c r="E100" s="22"/>
      <c r="F100" s="25"/>
      <c r="G100" s="25"/>
    </row>
    <row r="101" customFormat="false" ht="15" hidden="false" customHeight="true" outlineLevel="0" collapsed="false">
      <c r="A101" s="21"/>
      <c r="B101" s="22"/>
      <c r="C101" s="23"/>
      <c r="D101" s="24" t="str">
        <f aca="false">IF(C101="","",IFERROR(INDEX('Plan de Cuentas'!$B$5:$B$1241,MATCH(C101,'Plan de Cuentas'!$A$5:$A$1241,0)),"Código no encontrado"))</f>
        <v/>
      </c>
      <c r="E101" s="22"/>
      <c r="F101" s="25"/>
      <c r="G101" s="25"/>
    </row>
    <row r="102" customFormat="false" ht="15" hidden="false" customHeight="true" outlineLevel="0" collapsed="false">
      <c r="A102" s="21"/>
      <c r="B102" s="22"/>
      <c r="C102" s="23"/>
      <c r="D102" s="24" t="str">
        <f aca="false">IF(C102="","",IFERROR(INDEX('Plan de Cuentas'!$B$5:$B$1241,MATCH(C102,'Plan de Cuentas'!$A$5:$A$1241,0)),"Código no encontrado"))</f>
        <v/>
      </c>
      <c r="E102" s="22"/>
      <c r="F102" s="25"/>
      <c r="G102" s="25"/>
    </row>
    <row r="103" customFormat="false" ht="15" hidden="false" customHeight="true" outlineLevel="0" collapsed="false">
      <c r="A103" s="21"/>
      <c r="B103" s="22"/>
      <c r="C103" s="23"/>
      <c r="D103" s="24" t="str">
        <f aca="false">IF(C103="","",IFERROR(INDEX('Plan de Cuentas'!$B$5:$B$1241,MATCH(C103,'Plan de Cuentas'!$A$5:$A$1241,0)),"Código no encontrado"))</f>
        <v/>
      </c>
      <c r="E103" s="22"/>
      <c r="F103" s="25"/>
      <c r="G103" s="25"/>
    </row>
    <row r="104" customFormat="false" ht="15" hidden="false" customHeight="true" outlineLevel="0" collapsed="false">
      <c r="A104" s="21"/>
      <c r="B104" s="22"/>
      <c r="C104" s="23"/>
      <c r="D104" s="24" t="str">
        <f aca="false">IF(C104="","",IFERROR(INDEX('Plan de Cuentas'!$B$5:$B$1241,MATCH(C104,'Plan de Cuentas'!$A$5:$A$1241,0)),"Código no encontrado"))</f>
        <v/>
      </c>
      <c r="E104" s="22"/>
      <c r="F104" s="25"/>
      <c r="G104" s="25"/>
    </row>
    <row r="105" customFormat="false" ht="15" hidden="false" customHeight="true" outlineLevel="0" collapsed="false">
      <c r="A105" s="21"/>
      <c r="B105" s="22"/>
      <c r="C105" s="23"/>
      <c r="D105" s="24" t="str">
        <f aca="false">IF(C105="","",IFERROR(INDEX('Plan de Cuentas'!$B$5:$B$1241,MATCH(C105,'Plan de Cuentas'!$A$5:$A$1241,0)),"Código no encontrado"))</f>
        <v/>
      </c>
      <c r="E105" s="22"/>
      <c r="F105" s="25"/>
      <c r="G105" s="25"/>
    </row>
    <row r="106" customFormat="false" ht="15" hidden="false" customHeight="true" outlineLevel="0" collapsed="false">
      <c r="A106" s="21"/>
      <c r="B106" s="22"/>
      <c r="C106" s="23"/>
      <c r="D106" s="24" t="str">
        <f aca="false">IF(C106="","",IFERROR(INDEX('Plan de Cuentas'!$B$5:$B$1241,MATCH(C106,'Plan de Cuentas'!$A$5:$A$1241,0)),"Código no encontrado"))</f>
        <v/>
      </c>
      <c r="E106" s="22"/>
      <c r="F106" s="25"/>
      <c r="G106" s="25"/>
    </row>
    <row r="107" customFormat="false" ht="15" hidden="false" customHeight="true" outlineLevel="0" collapsed="false">
      <c r="A107" s="21"/>
      <c r="B107" s="22"/>
      <c r="C107" s="23"/>
      <c r="D107" s="24" t="str">
        <f aca="false">IF(C107="","",IFERROR(INDEX('Plan de Cuentas'!$B$5:$B$1241,MATCH(C107,'Plan de Cuentas'!$A$5:$A$1241,0)),"Código no encontrado"))</f>
        <v/>
      </c>
      <c r="E107" s="22"/>
      <c r="F107" s="25"/>
      <c r="G107" s="25"/>
    </row>
    <row r="108" customFormat="false" ht="15" hidden="false" customHeight="true" outlineLevel="0" collapsed="false">
      <c r="A108" s="21"/>
      <c r="B108" s="22"/>
      <c r="C108" s="23"/>
      <c r="D108" s="24" t="str">
        <f aca="false">IF(C108="","",IFERROR(INDEX('Plan de Cuentas'!$B$5:$B$1241,MATCH(C108,'Plan de Cuentas'!$A$5:$A$1241,0)),"Código no encontrado"))</f>
        <v/>
      </c>
      <c r="E108" s="22"/>
      <c r="F108" s="25"/>
      <c r="G108" s="25"/>
    </row>
    <row r="109" customFormat="false" ht="15" hidden="false" customHeight="true" outlineLevel="0" collapsed="false">
      <c r="A109" s="21"/>
      <c r="B109" s="22"/>
      <c r="C109" s="23"/>
      <c r="D109" s="24" t="str">
        <f aca="false">IF(C109="","",IFERROR(INDEX('Plan de Cuentas'!$B$5:$B$1241,MATCH(C109,'Plan de Cuentas'!$A$5:$A$1241,0)),"Código no encontrado"))</f>
        <v/>
      </c>
      <c r="E109" s="22"/>
      <c r="F109" s="25"/>
      <c r="G109" s="25"/>
    </row>
    <row r="110" customFormat="false" ht="15" hidden="false" customHeight="true" outlineLevel="0" collapsed="false">
      <c r="A110" s="21"/>
      <c r="B110" s="22"/>
      <c r="C110" s="23"/>
      <c r="D110" s="24" t="str">
        <f aca="false">IF(C110="","",IFERROR(INDEX('Plan de Cuentas'!$B$5:$B$1241,MATCH(C110,'Plan de Cuentas'!$A$5:$A$1241,0)),"Código no encontrado"))</f>
        <v/>
      </c>
      <c r="E110" s="22"/>
      <c r="F110" s="25"/>
      <c r="G110" s="25"/>
    </row>
    <row r="111" customFormat="false" ht="15" hidden="false" customHeight="true" outlineLevel="0" collapsed="false">
      <c r="A111" s="21"/>
      <c r="B111" s="22"/>
      <c r="C111" s="23"/>
      <c r="D111" s="24" t="str">
        <f aca="false">IF(C111="","",IFERROR(INDEX('Plan de Cuentas'!$B$5:$B$1241,MATCH(C111,'Plan de Cuentas'!$A$5:$A$1241,0)),"Código no encontrado"))</f>
        <v/>
      </c>
      <c r="E111" s="22"/>
      <c r="F111" s="25"/>
      <c r="G111" s="25"/>
    </row>
    <row r="112" customFormat="false" ht="15" hidden="false" customHeight="true" outlineLevel="0" collapsed="false">
      <c r="A112" s="21"/>
      <c r="B112" s="22"/>
      <c r="C112" s="23"/>
      <c r="D112" s="24" t="str">
        <f aca="false">IF(C112="","",IFERROR(INDEX('Plan de Cuentas'!$B$5:$B$1241,MATCH(C112,'Plan de Cuentas'!$A$5:$A$1241,0)),"Código no encontrado"))</f>
        <v/>
      </c>
      <c r="E112" s="22"/>
      <c r="F112" s="25"/>
      <c r="G112" s="25"/>
    </row>
    <row r="113" customFormat="false" ht="15" hidden="false" customHeight="true" outlineLevel="0" collapsed="false">
      <c r="A113" s="21"/>
      <c r="B113" s="22"/>
      <c r="C113" s="23"/>
      <c r="D113" s="24" t="str">
        <f aca="false">IF(C113="","",IFERROR(INDEX('Plan de Cuentas'!$B$5:$B$1241,MATCH(C113,'Plan de Cuentas'!$A$5:$A$1241,0)),"Código no encontrado"))</f>
        <v/>
      </c>
      <c r="E113" s="22"/>
      <c r="F113" s="25"/>
      <c r="G113" s="25"/>
    </row>
    <row r="114" customFormat="false" ht="15" hidden="false" customHeight="true" outlineLevel="0" collapsed="false">
      <c r="A114" s="21"/>
      <c r="B114" s="22"/>
      <c r="C114" s="23"/>
      <c r="D114" s="24" t="str">
        <f aca="false">IF(C114="","",IFERROR(INDEX('Plan de Cuentas'!$B$5:$B$1241,MATCH(C114,'Plan de Cuentas'!$A$5:$A$1241,0)),"Código no encontrado"))</f>
        <v/>
      </c>
      <c r="E114" s="22"/>
      <c r="F114" s="25"/>
      <c r="G114" s="25"/>
    </row>
    <row r="115" customFormat="false" ht="15" hidden="false" customHeight="true" outlineLevel="0" collapsed="false">
      <c r="A115" s="21"/>
      <c r="B115" s="22"/>
      <c r="C115" s="23"/>
      <c r="D115" s="24" t="str">
        <f aca="false">IF(C115="","",IFERROR(INDEX('Plan de Cuentas'!$B$5:$B$1241,MATCH(C115,'Plan de Cuentas'!$A$5:$A$1241,0)),"Código no encontrado"))</f>
        <v/>
      </c>
      <c r="E115" s="22"/>
      <c r="F115" s="25"/>
      <c r="G115" s="25"/>
    </row>
    <row r="116" customFormat="false" ht="15" hidden="false" customHeight="true" outlineLevel="0" collapsed="false">
      <c r="A116" s="21"/>
      <c r="B116" s="22"/>
      <c r="C116" s="23"/>
      <c r="D116" s="24" t="str">
        <f aca="false">IF(C116="","",IFERROR(INDEX('Plan de Cuentas'!$B$5:$B$1241,MATCH(C116,'Plan de Cuentas'!$A$5:$A$1241,0)),"Código no encontrado"))</f>
        <v/>
      </c>
      <c r="E116" s="22"/>
      <c r="F116" s="25"/>
      <c r="G116" s="25"/>
    </row>
    <row r="117" customFormat="false" ht="15" hidden="false" customHeight="true" outlineLevel="0" collapsed="false">
      <c r="A117" s="21"/>
      <c r="B117" s="22"/>
      <c r="C117" s="23"/>
      <c r="D117" s="24" t="str">
        <f aca="false">IF(C117="","",IFERROR(INDEX('Plan de Cuentas'!$B$5:$B$1241,MATCH(C117,'Plan de Cuentas'!$A$5:$A$1241,0)),"Código no encontrado"))</f>
        <v/>
      </c>
      <c r="E117" s="22"/>
      <c r="F117" s="25"/>
      <c r="G117" s="25"/>
    </row>
    <row r="118" customFormat="false" ht="15" hidden="false" customHeight="true" outlineLevel="0" collapsed="false">
      <c r="A118" s="21"/>
      <c r="B118" s="22"/>
      <c r="C118" s="23"/>
      <c r="D118" s="24" t="str">
        <f aca="false">IF(C118="","",IFERROR(INDEX('Plan de Cuentas'!$B$5:$B$1241,MATCH(C118,'Plan de Cuentas'!$A$5:$A$1241,0)),"Código no encontrado"))</f>
        <v/>
      </c>
      <c r="E118" s="22"/>
      <c r="F118" s="25"/>
      <c r="G118" s="25"/>
    </row>
    <row r="119" customFormat="false" ht="15" hidden="false" customHeight="true" outlineLevel="0" collapsed="false">
      <c r="A119" s="21"/>
      <c r="B119" s="22"/>
      <c r="C119" s="23"/>
      <c r="D119" s="24" t="str">
        <f aca="false">IF(C119="","",IFERROR(INDEX('Plan de Cuentas'!$B$5:$B$1241,MATCH(C119,'Plan de Cuentas'!$A$5:$A$1241,0)),"Código no encontrado"))</f>
        <v/>
      </c>
      <c r="E119" s="22"/>
      <c r="F119" s="25"/>
      <c r="G119" s="25"/>
    </row>
    <row r="120" customFormat="false" ht="15" hidden="false" customHeight="true" outlineLevel="0" collapsed="false">
      <c r="A120" s="21"/>
      <c r="B120" s="22"/>
      <c r="C120" s="23"/>
      <c r="D120" s="24" t="str">
        <f aca="false">IF(C120="","",IFERROR(INDEX('Plan de Cuentas'!$B$5:$B$1241,MATCH(C120,'Plan de Cuentas'!$A$5:$A$1241,0)),"Código no encontrado"))</f>
        <v/>
      </c>
      <c r="E120" s="22"/>
      <c r="F120" s="25"/>
      <c r="G120" s="25"/>
    </row>
    <row r="121" customFormat="false" ht="15" hidden="false" customHeight="true" outlineLevel="0" collapsed="false">
      <c r="A121" s="21"/>
      <c r="B121" s="22"/>
      <c r="C121" s="23"/>
      <c r="D121" s="24" t="str">
        <f aca="false">IF(C121="","",IFERROR(INDEX('Plan de Cuentas'!$B$5:$B$1241,MATCH(C121,'Plan de Cuentas'!$A$5:$A$1241,0)),"Código no encontrado"))</f>
        <v/>
      </c>
      <c r="E121" s="22"/>
      <c r="F121" s="25"/>
      <c r="G121" s="25"/>
    </row>
    <row r="122" customFormat="false" ht="15" hidden="false" customHeight="true" outlineLevel="0" collapsed="false">
      <c r="A122" s="21"/>
      <c r="B122" s="22"/>
      <c r="C122" s="23"/>
      <c r="D122" s="24" t="str">
        <f aca="false">IF(C122="","",IFERROR(INDEX('Plan de Cuentas'!$B$5:$B$1241,MATCH(C122,'Plan de Cuentas'!$A$5:$A$1241,0)),"Código no encontrado"))</f>
        <v/>
      </c>
      <c r="E122" s="22"/>
      <c r="F122" s="25"/>
      <c r="G122" s="25"/>
    </row>
    <row r="123" customFormat="false" ht="15" hidden="false" customHeight="true" outlineLevel="0" collapsed="false">
      <c r="A123" s="21"/>
      <c r="B123" s="22"/>
      <c r="C123" s="23"/>
      <c r="D123" s="24" t="str">
        <f aca="false">IF(C123="","",IFERROR(INDEX('Plan de Cuentas'!$B$5:$B$1241,MATCH(C123,'Plan de Cuentas'!$A$5:$A$1241,0)),"Código no encontrado"))</f>
        <v/>
      </c>
      <c r="E123" s="22"/>
      <c r="F123" s="25"/>
      <c r="G123" s="25"/>
    </row>
    <row r="124" customFormat="false" ht="15" hidden="false" customHeight="true" outlineLevel="0" collapsed="false">
      <c r="A124" s="21"/>
      <c r="B124" s="22"/>
      <c r="C124" s="23"/>
      <c r="D124" s="24" t="str">
        <f aca="false">IF(C124="","",IFERROR(INDEX('Plan de Cuentas'!$B$5:$B$1241,MATCH(C124,'Plan de Cuentas'!$A$5:$A$1241,0)),"Código no encontrado"))</f>
        <v/>
      </c>
      <c r="E124" s="22"/>
      <c r="F124" s="25"/>
      <c r="G124" s="25"/>
    </row>
    <row r="125" customFormat="false" ht="15" hidden="false" customHeight="true" outlineLevel="0" collapsed="false">
      <c r="A125" s="21"/>
      <c r="B125" s="22"/>
      <c r="C125" s="23"/>
      <c r="D125" s="24" t="str">
        <f aca="false">IF(C125="","",IFERROR(INDEX('Plan de Cuentas'!$B$5:$B$1241,MATCH(C125,'Plan de Cuentas'!$A$5:$A$1241,0)),"Código no encontrado"))</f>
        <v/>
      </c>
      <c r="E125" s="22"/>
      <c r="F125" s="25"/>
      <c r="G125" s="25"/>
    </row>
    <row r="126" customFormat="false" ht="15" hidden="false" customHeight="true" outlineLevel="0" collapsed="false">
      <c r="A126" s="21"/>
      <c r="B126" s="22"/>
      <c r="C126" s="23"/>
      <c r="D126" s="24" t="str">
        <f aca="false">IF(C126="","",IFERROR(INDEX('Plan de Cuentas'!$B$5:$B$1241,MATCH(C126,'Plan de Cuentas'!$A$5:$A$1241,0)),"Código no encontrado"))</f>
        <v/>
      </c>
      <c r="E126" s="22"/>
      <c r="F126" s="25"/>
      <c r="G126" s="25"/>
    </row>
    <row r="127" customFormat="false" ht="15" hidden="false" customHeight="true" outlineLevel="0" collapsed="false">
      <c r="A127" s="21"/>
      <c r="B127" s="22"/>
      <c r="C127" s="23"/>
      <c r="D127" s="24" t="str">
        <f aca="false">IF(C127="","",IFERROR(INDEX('Plan de Cuentas'!$B$5:$B$1241,MATCH(C127,'Plan de Cuentas'!$A$5:$A$1241,0)),"Código no encontrado"))</f>
        <v/>
      </c>
      <c r="E127" s="22"/>
      <c r="F127" s="25"/>
      <c r="G127" s="25"/>
    </row>
    <row r="128" customFormat="false" ht="15" hidden="false" customHeight="true" outlineLevel="0" collapsed="false">
      <c r="A128" s="21"/>
      <c r="B128" s="22"/>
      <c r="C128" s="23"/>
      <c r="D128" s="24" t="str">
        <f aca="false">IF(C128="","",IFERROR(INDEX('Plan de Cuentas'!$B$5:$B$1241,MATCH(C128,'Plan de Cuentas'!$A$5:$A$1241,0)),"Código no encontrado"))</f>
        <v/>
      </c>
      <c r="E128" s="22"/>
      <c r="F128" s="25"/>
      <c r="G128" s="25"/>
    </row>
    <row r="129" customFormat="false" ht="15" hidden="false" customHeight="true" outlineLevel="0" collapsed="false">
      <c r="A129" s="21"/>
      <c r="B129" s="22"/>
      <c r="C129" s="23"/>
      <c r="D129" s="24" t="str">
        <f aca="false">IF(C129="","",IFERROR(INDEX('Plan de Cuentas'!$B$5:$B$1241,MATCH(C129,'Plan de Cuentas'!$A$5:$A$1241,0)),"Código no encontrado"))</f>
        <v/>
      </c>
      <c r="E129" s="22"/>
      <c r="F129" s="25"/>
      <c r="G129" s="25"/>
    </row>
    <row r="130" customFormat="false" ht="15" hidden="false" customHeight="true" outlineLevel="0" collapsed="false">
      <c r="A130" s="21"/>
      <c r="B130" s="22"/>
      <c r="C130" s="23"/>
      <c r="D130" s="24" t="str">
        <f aca="false">IF(C130="","",IFERROR(INDEX('Plan de Cuentas'!$B$5:$B$1241,MATCH(C130,'Plan de Cuentas'!$A$5:$A$1241,0)),"Código no encontrado"))</f>
        <v/>
      </c>
      <c r="E130" s="22"/>
      <c r="F130" s="25"/>
      <c r="G130" s="25"/>
    </row>
    <row r="131" customFormat="false" ht="15" hidden="false" customHeight="true" outlineLevel="0" collapsed="false">
      <c r="A131" s="21"/>
      <c r="B131" s="22"/>
      <c r="C131" s="23"/>
      <c r="D131" s="24" t="str">
        <f aca="false">IF(C131="","",IFERROR(INDEX('Plan de Cuentas'!$B$5:$B$1241,MATCH(C131,'Plan de Cuentas'!$A$5:$A$1241,0)),"Código no encontrado"))</f>
        <v/>
      </c>
      <c r="E131" s="22"/>
      <c r="F131" s="25"/>
      <c r="G131" s="25"/>
    </row>
    <row r="132" customFormat="false" ht="15" hidden="false" customHeight="true" outlineLevel="0" collapsed="false">
      <c r="A132" s="21"/>
      <c r="B132" s="22"/>
      <c r="C132" s="23"/>
      <c r="D132" s="24" t="str">
        <f aca="false">IF(C132="","",IFERROR(INDEX('Plan de Cuentas'!$B$5:$B$1241,MATCH(C132,'Plan de Cuentas'!$A$5:$A$1241,0)),"Código no encontrado"))</f>
        <v/>
      </c>
      <c r="E132" s="22"/>
      <c r="F132" s="25"/>
      <c r="G132" s="25"/>
    </row>
    <row r="133" customFormat="false" ht="15" hidden="false" customHeight="true" outlineLevel="0" collapsed="false">
      <c r="A133" s="21"/>
      <c r="B133" s="22"/>
      <c r="C133" s="23"/>
      <c r="D133" s="24" t="str">
        <f aca="false">IF(C133="","",IFERROR(INDEX('Plan de Cuentas'!$B$5:$B$1241,MATCH(C133,'Plan de Cuentas'!$A$5:$A$1241,0)),"Código no encontrado"))</f>
        <v/>
      </c>
      <c r="E133" s="22"/>
      <c r="F133" s="25"/>
      <c r="G133" s="25"/>
    </row>
    <row r="134" customFormat="false" ht="15" hidden="false" customHeight="true" outlineLevel="0" collapsed="false">
      <c r="A134" s="21"/>
      <c r="B134" s="22"/>
      <c r="C134" s="23"/>
      <c r="D134" s="24" t="str">
        <f aca="false">IF(C134="","",IFERROR(INDEX('Plan de Cuentas'!$B$5:$B$1241,MATCH(C134,'Plan de Cuentas'!$A$5:$A$1241,0)),"Código no encontrado"))</f>
        <v/>
      </c>
      <c r="E134" s="22"/>
      <c r="F134" s="25"/>
      <c r="G134" s="25"/>
    </row>
    <row r="135" customFormat="false" ht="15" hidden="false" customHeight="true" outlineLevel="0" collapsed="false">
      <c r="A135" s="21"/>
      <c r="B135" s="22"/>
      <c r="C135" s="23"/>
      <c r="D135" s="24" t="str">
        <f aca="false">IF(C135="","",IFERROR(INDEX('Plan de Cuentas'!$B$5:$B$1241,MATCH(C135,'Plan de Cuentas'!$A$5:$A$1241,0)),"Código no encontrado"))</f>
        <v/>
      </c>
      <c r="E135" s="22"/>
      <c r="F135" s="25"/>
      <c r="G135" s="25"/>
    </row>
    <row r="136" customFormat="false" ht="15" hidden="false" customHeight="true" outlineLevel="0" collapsed="false">
      <c r="A136" s="21"/>
      <c r="B136" s="22"/>
      <c r="C136" s="23"/>
      <c r="D136" s="24" t="str">
        <f aca="false">IF(C136="","",IFERROR(INDEX('Plan de Cuentas'!$B$5:$B$1241,MATCH(C136,'Plan de Cuentas'!$A$5:$A$1241,0)),"Código no encontrado"))</f>
        <v/>
      </c>
      <c r="E136" s="22"/>
      <c r="F136" s="25"/>
      <c r="G136" s="25"/>
    </row>
    <row r="137" customFormat="false" ht="15" hidden="false" customHeight="true" outlineLevel="0" collapsed="false">
      <c r="A137" s="21"/>
      <c r="B137" s="22"/>
      <c r="C137" s="23"/>
      <c r="D137" s="24" t="str">
        <f aca="false">IF(C137="","",IFERROR(INDEX('Plan de Cuentas'!$B$5:$B$1241,MATCH(C137,'Plan de Cuentas'!$A$5:$A$1241,0)),"Código no encontrado"))</f>
        <v/>
      </c>
      <c r="E137" s="22"/>
      <c r="F137" s="25"/>
      <c r="G137" s="25"/>
    </row>
    <row r="138" customFormat="false" ht="15" hidden="false" customHeight="true" outlineLevel="0" collapsed="false">
      <c r="A138" s="21"/>
      <c r="B138" s="22"/>
      <c r="C138" s="23"/>
      <c r="D138" s="24" t="str">
        <f aca="false">IF(C138="","",IFERROR(INDEX('Plan de Cuentas'!$B$5:$B$1241,MATCH(C138,'Plan de Cuentas'!$A$5:$A$1241,0)),"Código no encontrado"))</f>
        <v/>
      </c>
      <c r="E138" s="22"/>
      <c r="F138" s="25"/>
      <c r="G138" s="25"/>
    </row>
    <row r="139" customFormat="false" ht="15" hidden="false" customHeight="true" outlineLevel="0" collapsed="false">
      <c r="A139" s="21"/>
      <c r="B139" s="22"/>
      <c r="C139" s="23"/>
      <c r="D139" s="24" t="str">
        <f aca="false">IF(C139="","",IFERROR(INDEX('Plan de Cuentas'!$B$5:$B$1241,MATCH(C139,'Plan de Cuentas'!$A$5:$A$1241,0)),"Código no encontrado"))</f>
        <v/>
      </c>
      <c r="E139" s="22"/>
      <c r="F139" s="25"/>
      <c r="G139" s="25"/>
    </row>
    <row r="140" customFormat="false" ht="15" hidden="false" customHeight="true" outlineLevel="0" collapsed="false">
      <c r="A140" s="21"/>
      <c r="B140" s="22"/>
      <c r="C140" s="23"/>
      <c r="D140" s="24" t="str">
        <f aca="false">IF(C140="","",IFERROR(INDEX('Plan de Cuentas'!$B$5:$B$1241,MATCH(C140,'Plan de Cuentas'!$A$5:$A$1241,0)),"Código no encontrado"))</f>
        <v/>
      </c>
      <c r="E140" s="22"/>
      <c r="F140" s="25"/>
      <c r="G140" s="25"/>
    </row>
    <row r="141" customFormat="false" ht="15" hidden="false" customHeight="true" outlineLevel="0" collapsed="false">
      <c r="A141" s="21"/>
      <c r="B141" s="22"/>
      <c r="C141" s="23"/>
      <c r="D141" s="24" t="str">
        <f aca="false">IF(C141="","",IFERROR(INDEX('Plan de Cuentas'!$B$5:$B$1241,MATCH(C141,'Plan de Cuentas'!$A$5:$A$1241,0)),"Código no encontrado"))</f>
        <v/>
      </c>
      <c r="E141" s="22"/>
      <c r="F141" s="25"/>
      <c r="G141" s="25"/>
    </row>
    <row r="142" customFormat="false" ht="15" hidden="false" customHeight="true" outlineLevel="0" collapsed="false">
      <c r="A142" s="21"/>
      <c r="B142" s="22"/>
      <c r="C142" s="23"/>
      <c r="D142" s="24" t="str">
        <f aca="false">IF(C142="","",IFERROR(INDEX('Plan de Cuentas'!$B$5:$B$1241,MATCH(C142,'Plan de Cuentas'!$A$5:$A$1241,0)),"Código no encontrado"))</f>
        <v/>
      </c>
      <c r="E142" s="22"/>
      <c r="F142" s="25"/>
      <c r="G142" s="25"/>
    </row>
    <row r="143" customFormat="false" ht="15" hidden="false" customHeight="true" outlineLevel="0" collapsed="false">
      <c r="A143" s="21"/>
      <c r="B143" s="22"/>
      <c r="C143" s="23"/>
      <c r="D143" s="24" t="str">
        <f aca="false">IF(C143="","",IFERROR(INDEX('Plan de Cuentas'!$B$5:$B$1241,MATCH(C143,'Plan de Cuentas'!$A$5:$A$1241,0)),"Código no encontrado"))</f>
        <v/>
      </c>
      <c r="E143" s="22"/>
      <c r="F143" s="25"/>
      <c r="G143" s="25"/>
    </row>
    <row r="144" customFormat="false" ht="15" hidden="false" customHeight="true" outlineLevel="0" collapsed="false">
      <c r="A144" s="21"/>
      <c r="B144" s="22"/>
      <c r="C144" s="23"/>
      <c r="D144" s="24" t="str">
        <f aca="false">IF(C144="","",IFERROR(INDEX('Plan de Cuentas'!$B$5:$B$1241,MATCH(C144,'Plan de Cuentas'!$A$5:$A$1241,0)),"Código no encontrado"))</f>
        <v/>
      </c>
      <c r="E144" s="22"/>
      <c r="F144" s="25"/>
      <c r="G144" s="25"/>
    </row>
    <row r="145" customFormat="false" ht="15" hidden="false" customHeight="true" outlineLevel="0" collapsed="false">
      <c r="A145" s="21"/>
      <c r="B145" s="22"/>
      <c r="C145" s="23"/>
      <c r="D145" s="24" t="str">
        <f aca="false">IF(C145="","",IFERROR(INDEX('Plan de Cuentas'!$B$5:$B$1241,MATCH(C145,'Plan de Cuentas'!$A$5:$A$1241,0)),"Código no encontrado"))</f>
        <v/>
      </c>
      <c r="E145" s="22"/>
      <c r="F145" s="25"/>
      <c r="G145" s="25"/>
    </row>
    <row r="146" customFormat="false" ht="15" hidden="false" customHeight="true" outlineLevel="0" collapsed="false">
      <c r="A146" s="21"/>
      <c r="B146" s="22"/>
      <c r="C146" s="23"/>
      <c r="D146" s="24" t="str">
        <f aca="false">IF(C146="","",IFERROR(INDEX('Plan de Cuentas'!$B$5:$B$1241,MATCH(C146,'Plan de Cuentas'!$A$5:$A$1241,0)),"Código no encontrado"))</f>
        <v/>
      </c>
      <c r="E146" s="22"/>
      <c r="F146" s="25"/>
      <c r="G146" s="25"/>
    </row>
    <row r="147" customFormat="false" ht="15" hidden="false" customHeight="true" outlineLevel="0" collapsed="false">
      <c r="A147" s="21"/>
      <c r="B147" s="22"/>
      <c r="C147" s="23"/>
      <c r="D147" s="24" t="str">
        <f aca="false">IF(C147="","",IFERROR(INDEX('Plan de Cuentas'!$B$5:$B$1241,MATCH(C147,'Plan de Cuentas'!$A$5:$A$1241,0)),"Código no encontrado"))</f>
        <v/>
      </c>
      <c r="E147" s="22"/>
      <c r="F147" s="25"/>
      <c r="G147" s="25"/>
    </row>
    <row r="148" customFormat="false" ht="15" hidden="false" customHeight="true" outlineLevel="0" collapsed="false">
      <c r="A148" s="21"/>
      <c r="B148" s="22"/>
      <c r="C148" s="23"/>
      <c r="D148" s="24" t="str">
        <f aca="false">IF(C148="","",IFERROR(INDEX('Plan de Cuentas'!$B$5:$B$1241,MATCH(C148,'Plan de Cuentas'!$A$5:$A$1241,0)),"Código no encontrado"))</f>
        <v/>
      </c>
      <c r="E148" s="22"/>
      <c r="F148" s="25"/>
      <c r="G148" s="25"/>
    </row>
    <row r="149" customFormat="false" ht="15" hidden="false" customHeight="true" outlineLevel="0" collapsed="false">
      <c r="A149" s="21"/>
      <c r="B149" s="22"/>
      <c r="C149" s="23"/>
      <c r="D149" s="24" t="str">
        <f aca="false">IF(C149="","",IFERROR(INDEX('Plan de Cuentas'!$B$5:$B$1241,MATCH(C149,'Plan de Cuentas'!$A$5:$A$1241,0)),"Código no encontrado"))</f>
        <v/>
      </c>
      <c r="E149" s="22"/>
      <c r="F149" s="25"/>
      <c r="G149" s="25"/>
    </row>
    <row r="150" customFormat="false" ht="15" hidden="false" customHeight="true" outlineLevel="0" collapsed="false">
      <c r="A150" s="21"/>
      <c r="B150" s="22"/>
      <c r="C150" s="23"/>
      <c r="D150" s="24" t="str">
        <f aca="false">IF(C150="","",IFERROR(INDEX('Plan de Cuentas'!$B$5:$B$1241,MATCH(C150,'Plan de Cuentas'!$A$5:$A$1241,0)),"Código no encontrado"))</f>
        <v/>
      </c>
      <c r="E150" s="22"/>
      <c r="F150" s="25"/>
      <c r="G150" s="25"/>
    </row>
    <row r="151" customFormat="false" ht="15" hidden="false" customHeight="true" outlineLevel="0" collapsed="false">
      <c r="A151" s="21"/>
      <c r="B151" s="22"/>
      <c r="C151" s="23"/>
      <c r="D151" s="24" t="str">
        <f aca="false">IF(C151="","",IFERROR(INDEX('Plan de Cuentas'!$B$5:$B$1241,MATCH(C151,'Plan de Cuentas'!$A$5:$A$1241,0)),"Código no encontrado"))</f>
        <v/>
      </c>
      <c r="E151" s="22"/>
      <c r="F151" s="25"/>
      <c r="G151" s="25"/>
    </row>
    <row r="152" customFormat="false" ht="15" hidden="false" customHeight="true" outlineLevel="0" collapsed="false">
      <c r="A152" s="21"/>
      <c r="B152" s="22"/>
      <c r="C152" s="23"/>
      <c r="D152" s="24" t="str">
        <f aca="false">IF(C152="","",IFERROR(INDEX('Plan de Cuentas'!$B$5:$B$1241,MATCH(C152,'Plan de Cuentas'!$A$5:$A$1241,0)),"Código no encontrado"))</f>
        <v/>
      </c>
      <c r="E152" s="22"/>
      <c r="F152" s="25"/>
      <c r="G152" s="25"/>
    </row>
    <row r="153" customFormat="false" ht="15" hidden="false" customHeight="true" outlineLevel="0" collapsed="false">
      <c r="A153" s="21"/>
      <c r="B153" s="22"/>
      <c r="C153" s="23"/>
      <c r="D153" s="24" t="str">
        <f aca="false">IF(C153="","",IFERROR(INDEX('Plan de Cuentas'!$B$5:$B$1241,MATCH(C153,'Plan de Cuentas'!$A$5:$A$1241,0)),"Código no encontrado"))</f>
        <v/>
      </c>
      <c r="E153" s="22"/>
      <c r="F153" s="25"/>
      <c r="G153" s="25"/>
    </row>
    <row r="154" customFormat="false" ht="15" hidden="false" customHeight="true" outlineLevel="0" collapsed="false">
      <c r="A154" s="21"/>
      <c r="B154" s="22"/>
      <c r="C154" s="23"/>
      <c r="D154" s="24" t="str">
        <f aca="false">IF(C154="","",IFERROR(INDEX('Plan de Cuentas'!$B$5:$B$1241,MATCH(C154,'Plan de Cuentas'!$A$5:$A$1241,0)),"Código no encontrado"))</f>
        <v/>
      </c>
      <c r="E154" s="22"/>
      <c r="F154" s="25"/>
      <c r="G154" s="25"/>
    </row>
    <row r="155" customFormat="false" ht="15" hidden="false" customHeight="true" outlineLevel="0" collapsed="false">
      <c r="A155" s="21"/>
      <c r="B155" s="22"/>
      <c r="C155" s="23"/>
      <c r="D155" s="24" t="str">
        <f aca="false">IF(C155="","",IFERROR(INDEX('Plan de Cuentas'!$B$5:$B$1241,MATCH(C155,'Plan de Cuentas'!$A$5:$A$1241,0)),"Código no encontrado"))</f>
        <v/>
      </c>
      <c r="E155" s="22"/>
      <c r="F155" s="25"/>
      <c r="G155" s="25"/>
    </row>
    <row r="156" customFormat="false" ht="15" hidden="false" customHeight="true" outlineLevel="0" collapsed="false">
      <c r="A156" s="21"/>
      <c r="B156" s="22"/>
      <c r="C156" s="23"/>
      <c r="D156" s="24" t="str">
        <f aca="false">IF(C156="","",IFERROR(INDEX('Plan de Cuentas'!$B$5:$B$1241,MATCH(C156,'Plan de Cuentas'!$A$5:$A$1241,0)),"Código no encontrado"))</f>
        <v/>
      </c>
      <c r="E156" s="22"/>
      <c r="F156" s="25"/>
      <c r="G156" s="25"/>
    </row>
    <row r="157" customFormat="false" ht="15" hidden="false" customHeight="true" outlineLevel="0" collapsed="false">
      <c r="A157" s="21"/>
      <c r="B157" s="22"/>
      <c r="C157" s="23"/>
      <c r="D157" s="24" t="str">
        <f aca="false">IF(C157="","",IFERROR(INDEX('Plan de Cuentas'!$B$5:$B$1241,MATCH(C157,'Plan de Cuentas'!$A$5:$A$1241,0)),"Código no encontrado"))</f>
        <v/>
      </c>
      <c r="E157" s="22"/>
      <c r="F157" s="25"/>
      <c r="G157" s="25"/>
    </row>
    <row r="158" customFormat="false" ht="15" hidden="false" customHeight="true" outlineLevel="0" collapsed="false">
      <c r="A158" s="21"/>
      <c r="B158" s="22"/>
      <c r="C158" s="23"/>
      <c r="D158" s="24" t="str">
        <f aca="false">IF(C158="","",IFERROR(INDEX('Plan de Cuentas'!$B$5:$B$1241,MATCH(C158,'Plan de Cuentas'!$A$5:$A$1241,0)),"Código no encontrado"))</f>
        <v/>
      </c>
      <c r="E158" s="22"/>
      <c r="F158" s="25"/>
      <c r="G158" s="25"/>
    </row>
    <row r="159" customFormat="false" ht="15" hidden="false" customHeight="true" outlineLevel="0" collapsed="false">
      <c r="A159" s="21"/>
      <c r="B159" s="22"/>
      <c r="C159" s="23"/>
      <c r="D159" s="24" t="str">
        <f aca="false">IF(C159="","",IFERROR(INDEX('Plan de Cuentas'!$B$5:$B$1241,MATCH(C159,'Plan de Cuentas'!$A$5:$A$1241,0)),"Código no encontrado"))</f>
        <v/>
      </c>
      <c r="E159" s="22"/>
      <c r="F159" s="25"/>
      <c r="G159" s="25"/>
    </row>
    <row r="160" customFormat="false" ht="15" hidden="false" customHeight="true" outlineLevel="0" collapsed="false">
      <c r="A160" s="21"/>
      <c r="B160" s="22"/>
      <c r="C160" s="23"/>
      <c r="D160" s="24" t="str">
        <f aca="false">IF(C160="","",IFERROR(INDEX('Plan de Cuentas'!$B$5:$B$1241,MATCH(C160,'Plan de Cuentas'!$A$5:$A$1241,0)),"Código no encontrado"))</f>
        <v/>
      </c>
      <c r="E160" s="22"/>
      <c r="F160" s="25"/>
      <c r="G160" s="25"/>
    </row>
    <row r="161" customFormat="false" ht="15" hidden="false" customHeight="true" outlineLevel="0" collapsed="false">
      <c r="A161" s="21"/>
      <c r="B161" s="22"/>
      <c r="C161" s="23"/>
      <c r="D161" s="24" t="str">
        <f aca="false">IF(C161="","",IFERROR(INDEX('Plan de Cuentas'!$B$5:$B$1241,MATCH(C161,'Plan de Cuentas'!$A$5:$A$1241,0)),"Código no encontrado"))</f>
        <v/>
      </c>
      <c r="E161" s="22"/>
      <c r="F161" s="25"/>
      <c r="G161" s="25"/>
    </row>
    <row r="162" customFormat="false" ht="15" hidden="false" customHeight="true" outlineLevel="0" collapsed="false">
      <c r="A162" s="21"/>
      <c r="B162" s="22"/>
      <c r="C162" s="23"/>
      <c r="D162" s="24" t="str">
        <f aca="false">IF(C162="","",IFERROR(INDEX('Plan de Cuentas'!$B$5:$B$1241,MATCH(C162,'Plan de Cuentas'!$A$5:$A$1241,0)),"Código no encontrado"))</f>
        <v/>
      </c>
      <c r="E162" s="22"/>
      <c r="F162" s="25"/>
      <c r="G162" s="25"/>
    </row>
    <row r="163" customFormat="false" ht="15" hidden="false" customHeight="true" outlineLevel="0" collapsed="false">
      <c r="A163" s="21"/>
      <c r="B163" s="22"/>
      <c r="C163" s="23"/>
      <c r="D163" s="24" t="str">
        <f aca="false">IF(C163="","",IFERROR(INDEX('Plan de Cuentas'!$B$5:$B$1241,MATCH(C163,'Plan de Cuentas'!$A$5:$A$1241,0)),"Código no encontrado"))</f>
        <v/>
      </c>
      <c r="E163" s="22"/>
      <c r="F163" s="25"/>
      <c r="G163" s="25"/>
    </row>
    <row r="164" customFormat="false" ht="15" hidden="false" customHeight="true" outlineLevel="0" collapsed="false">
      <c r="A164" s="21"/>
      <c r="B164" s="22"/>
      <c r="C164" s="23"/>
      <c r="D164" s="24" t="str">
        <f aca="false">IF(C164="","",IFERROR(INDEX('Plan de Cuentas'!$B$5:$B$1241,MATCH(C164,'Plan de Cuentas'!$A$5:$A$1241,0)),"Código no encontrado"))</f>
        <v/>
      </c>
      <c r="E164" s="22"/>
      <c r="F164" s="25"/>
      <c r="G164" s="25"/>
    </row>
    <row r="165" customFormat="false" ht="15" hidden="false" customHeight="true" outlineLevel="0" collapsed="false">
      <c r="A165" s="21"/>
      <c r="B165" s="22"/>
      <c r="C165" s="23"/>
      <c r="D165" s="24" t="str">
        <f aca="false">IF(C165="","",IFERROR(INDEX('Plan de Cuentas'!$B$5:$B$1241,MATCH(C165,'Plan de Cuentas'!$A$5:$A$1241,0)),"Código no encontrado"))</f>
        <v/>
      </c>
      <c r="E165" s="22"/>
      <c r="F165" s="25"/>
      <c r="G165" s="25"/>
    </row>
    <row r="166" customFormat="false" ht="15" hidden="false" customHeight="true" outlineLevel="0" collapsed="false">
      <c r="A166" s="21"/>
      <c r="B166" s="22"/>
      <c r="C166" s="23"/>
      <c r="D166" s="24" t="str">
        <f aca="false">IF(C166="","",IFERROR(INDEX('Plan de Cuentas'!$B$5:$B$1241,MATCH(C166,'Plan de Cuentas'!$A$5:$A$1241,0)),"Código no encontrado"))</f>
        <v/>
      </c>
      <c r="E166" s="22"/>
      <c r="F166" s="25"/>
      <c r="G166" s="25"/>
    </row>
    <row r="167" customFormat="false" ht="15" hidden="false" customHeight="true" outlineLevel="0" collapsed="false">
      <c r="A167" s="21"/>
      <c r="B167" s="22"/>
      <c r="C167" s="23"/>
      <c r="D167" s="24" t="str">
        <f aca="false">IF(C167="","",IFERROR(INDEX('Plan de Cuentas'!$B$5:$B$1241,MATCH(C167,'Plan de Cuentas'!$A$5:$A$1241,0)),"Código no encontrado"))</f>
        <v/>
      </c>
      <c r="E167" s="22"/>
      <c r="F167" s="25"/>
      <c r="G167" s="25"/>
    </row>
    <row r="168" customFormat="false" ht="15" hidden="false" customHeight="true" outlineLevel="0" collapsed="false">
      <c r="A168" s="21"/>
      <c r="B168" s="22"/>
      <c r="C168" s="23"/>
      <c r="D168" s="24" t="str">
        <f aca="false">IF(C168="","",IFERROR(INDEX('Plan de Cuentas'!$B$5:$B$1241,MATCH(C168,'Plan de Cuentas'!$A$5:$A$1241,0)),"Código no encontrado"))</f>
        <v/>
      </c>
      <c r="E168" s="22"/>
      <c r="F168" s="25"/>
      <c r="G168" s="25"/>
    </row>
    <row r="169" customFormat="false" ht="15" hidden="false" customHeight="true" outlineLevel="0" collapsed="false">
      <c r="A169" s="21"/>
      <c r="B169" s="22"/>
      <c r="C169" s="23"/>
      <c r="D169" s="24" t="str">
        <f aca="false">IF(C169="","",IFERROR(INDEX('Plan de Cuentas'!$B$5:$B$1241,MATCH(C169,'Plan de Cuentas'!$A$5:$A$1241,0)),"Código no encontrado"))</f>
        <v/>
      </c>
      <c r="E169" s="22"/>
      <c r="F169" s="25"/>
      <c r="G169" s="25"/>
    </row>
    <row r="170" customFormat="false" ht="15" hidden="false" customHeight="true" outlineLevel="0" collapsed="false">
      <c r="A170" s="21"/>
      <c r="B170" s="22"/>
      <c r="C170" s="23"/>
      <c r="D170" s="24" t="str">
        <f aca="false">IF(C170="","",IFERROR(INDEX('Plan de Cuentas'!$B$5:$B$1241,MATCH(C170,'Plan de Cuentas'!$A$5:$A$1241,0)),"Código no encontrado"))</f>
        <v/>
      </c>
      <c r="E170" s="22"/>
      <c r="F170" s="25"/>
      <c r="G170" s="25"/>
    </row>
    <row r="171" customFormat="false" ht="15" hidden="false" customHeight="true" outlineLevel="0" collapsed="false">
      <c r="A171" s="21"/>
      <c r="B171" s="22"/>
      <c r="C171" s="23"/>
      <c r="D171" s="24" t="str">
        <f aca="false">IF(C171="","",IFERROR(INDEX('Plan de Cuentas'!$B$5:$B$1241,MATCH(C171,'Plan de Cuentas'!$A$5:$A$1241,0)),"Código no encontrado"))</f>
        <v/>
      </c>
      <c r="E171" s="22"/>
      <c r="F171" s="25"/>
      <c r="G171" s="25"/>
    </row>
    <row r="172" customFormat="false" ht="15" hidden="false" customHeight="true" outlineLevel="0" collapsed="false">
      <c r="A172" s="21"/>
      <c r="B172" s="22"/>
      <c r="C172" s="23"/>
      <c r="D172" s="24" t="str">
        <f aca="false">IF(C172="","",IFERROR(INDEX('Plan de Cuentas'!$B$5:$B$1241,MATCH(C172,'Plan de Cuentas'!$A$5:$A$1241,0)),"Código no encontrado"))</f>
        <v/>
      </c>
      <c r="E172" s="22"/>
      <c r="F172" s="25"/>
      <c r="G172" s="25"/>
    </row>
    <row r="173" customFormat="false" ht="15" hidden="false" customHeight="true" outlineLevel="0" collapsed="false">
      <c r="A173" s="21"/>
      <c r="B173" s="22"/>
      <c r="C173" s="23"/>
      <c r="D173" s="24" t="str">
        <f aca="false">IF(C173="","",IFERROR(INDEX('Plan de Cuentas'!$B$5:$B$1241,MATCH(C173,'Plan de Cuentas'!$A$5:$A$1241,0)),"Código no encontrado"))</f>
        <v/>
      </c>
      <c r="E173" s="22"/>
      <c r="F173" s="25"/>
      <c r="G173" s="25"/>
    </row>
    <row r="174" customFormat="false" ht="15" hidden="false" customHeight="true" outlineLevel="0" collapsed="false">
      <c r="A174" s="21"/>
      <c r="B174" s="22"/>
      <c r="C174" s="23"/>
      <c r="D174" s="24" t="str">
        <f aca="false">IF(C174="","",IFERROR(INDEX('Plan de Cuentas'!$B$5:$B$1241,MATCH(C174,'Plan de Cuentas'!$A$5:$A$1241,0)),"Código no encontrado"))</f>
        <v/>
      </c>
      <c r="E174" s="22"/>
      <c r="F174" s="25"/>
      <c r="G174" s="25"/>
    </row>
    <row r="175" customFormat="false" ht="15" hidden="false" customHeight="true" outlineLevel="0" collapsed="false">
      <c r="A175" s="21"/>
      <c r="B175" s="22"/>
      <c r="C175" s="23"/>
      <c r="D175" s="24" t="str">
        <f aca="false">IF(C175="","",IFERROR(INDEX('Plan de Cuentas'!$B$5:$B$1241,MATCH(C175,'Plan de Cuentas'!$A$5:$A$1241,0)),"Código no encontrado"))</f>
        <v/>
      </c>
      <c r="E175" s="22"/>
      <c r="F175" s="25"/>
      <c r="G175" s="25"/>
    </row>
    <row r="176" customFormat="false" ht="15" hidden="false" customHeight="true" outlineLevel="0" collapsed="false">
      <c r="A176" s="21"/>
      <c r="B176" s="22"/>
      <c r="C176" s="23"/>
      <c r="D176" s="24" t="str">
        <f aca="false">IF(C176="","",IFERROR(INDEX('Plan de Cuentas'!$B$5:$B$1241,MATCH(C176,'Plan de Cuentas'!$A$5:$A$1241,0)),"Código no encontrado"))</f>
        <v/>
      </c>
      <c r="E176" s="22"/>
      <c r="F176" s="25"/>
      <c r="G176" s="25"/>
    </row>
    <row r="177" customFormat="false" ht="15" hidden="false" customHeight="true" outlineLevel="0" collapsed="false">
      <c r="A177" s="21"/>
      <c r="B177" s="22"/>
      <c r="C177" s="23"/>
      <c r="D177" s="24" t="str">
        <f aca="false">IF(C177="","",IFERROR(INDEX('Plan de Cuentas'!$B$5:$B$1241,MATCH(C177,'Plan de Cuentas'!$A$5:$A$1241,0)),"Código no encontrado"))</f>
        <v/>
      </c>
      <c r="E177" s="22"/>
      <c r="F177" s="25"/>
      <c r="G177" s="25"/>
    </row>
    <row r="178" customFormat="false" ht="15" hidden="false" customHeight="true" outlineLevel="0" collapsed="false">
      <c r="A178" s="21"/>
      <c r="B178" s="22"/>
      <c r="C178" s="23"/>
      <c r="D178" s="24" t="str">
        <f aca="false">IF(C178="","",IFERROR(INDEX('Plan de Cuentas'!$B$5:$B$1241,MATCH(C178,'Plan de Cuentas'!$A$5:$A$1241,0)),"Código no encontrado"))</f>
        <v/>
      </c>
      <c r="E178" s="22"/>
      <c r="F178" s="25"/>
      <c r="G178" s="25"/>
    </row>
    <row r="179" customFormat="false" ht="15" hidden="false" customHeight="true" outlineLevel="0" collapsed="false">
      <c r="A179" s="21"/>
      <c r="B179" s="22"/>
      <c r="C179" s="23"/>
      <c r="D179" s="24" t="str">
        <f aca="false">IF(C179="","",IFERROR(INDEX('Plan de Cuentas'!$B$5:$B$1241,MATCH(C179,'Plan de Cuentas'!$A$5:$A$1241,0)),"Código no encontrado"))</f>
        <v/>
      </c>
      <c r="E179" s="22"/>
      <c r="F179" s="25"/>
      <c r="G179" s="25"/>
    </row>
    <row r="180" customFormat="false" ht="15" hidden="false" customHeight="true" outlineLevel="0" collapsed="false">
      <c r="A180" s="21"/>
      <c r="B180" s="22"/>
      <c r="C180" s="23"/>
      <c r="D180" s="24" t="str">
        <f aca="false">IF(C180="","",IFERROR(INDEX('Plan de Cuentas'!$B$5:$B$1241,MATCH(C180,'Plan de Cuentas'!$A$5:$A$1241,0)),"Código no encontrado"))</f>
        <v/>
      </c>
      <c r="E180" s="22"/>
      <c r="F180" s="25"/>
      <c r="G180" s="25"/>
    </row>
    <row r="181" customFormat="false" ht="15" hidden="false" customHeight="true" outlineLevel="0" collapsed="false">
      <c r="A181" s="21"/>
      <c r="B181" s="22"/>
      <c r="C181" s="23"/>
      <c r="D181" s="24" t="str">
        <f aca="false">IF(C181="","",IFERROR(INDEX('Plan de Cuentas'!$B$5:$B$1241,MATCH(C181,'Plan de Cuentas'!$A$5:$A$1241,0)),"Código no encontrado"))</f>
        <v/>
      </c>
      <c r="E181" s="22"/>
      <c r="F181" s="25"/>
      <c r="G181" s="25"/>
    </row>
    <row r="182" customFormat="false" ht="15" hidden="false" customHeight="true" outlineLevel="0" collapsed="false">
      <c r="A182" s="21"/>
      <c r="B182" s="22"/>
      <c r="C182" s="23"/>
      <c r="D182" s="24" t="str">
        <f aca="false">IF(C182="","",IFERROR(INDEX('Plan de Cuentas'!$B$5:$B$1241,MATCH(C182,'Plan de Cuentas'!$A$5:$A$1241,0)),"Código no encontrado"))</f>
        <v/>
      </c>
      <c r="E182" s="22"/>
      <c r="F182" s="25"/>
      <c r="G182" s="25"/>
    </row>
    <row r="183" customFormat="false" ht="15" hidden="false" customHeight="true" outlineLevel="0" collapsed="false">
      <c r="A183" s="21"/>
      <c r="B183" s="22"/>
      <c r="C183" s="23"/>
      <c r="D183" s="24" t="str">
        <f aca="false">IF(C183="","",IFERROR(INDEX('Plan de Cuentas'!$B$5:$B$1241,MATCH(C183,'Plan de Cuentas'!$A$5:$A$1241,0)),"Código no encontrado"))</f>
        <v/>
      </c>
      <c r="E183" s="22"/>
      <c r="F183" s="25"/>
      <c r="G183" s="25"/>
    </row>
    <row r="184" customFormat="false" ht="15" hidden="false" customHeight="true" outlineLevel="0" collapsed="false">
      <c r="A184" s="21"/>
      <c r="B184" s="22"/>
      <c r="C184" s="23"/>
      <c r="D184" s="24" t="str">
        <f aca="false">IF(C184="","",IFERROR(INDEX('Plan de Cuentas'!$B$5:$B$1241,MATCH(C184,'Plan de Cuentas'!$A$5:$A$1241,0)),"Código no encontrado"))</f>
        <v/>
      </c>
      <c r="E184" s="22"/>
      <c r="F184" s="25"/>
      <c r="G184" s="25"/>
    </row>
    <row r="185" customFormat="false" ht="15" hidden="false" customHeight="true" outlineLevel="0" collapsed="false">
      <c r="A185" s="21"/>
      <c r="B185" s="22"/>
      <c r="C185" s="23"/>
      <c r="D185" s="24" t="str">
        <f aca="false">IF(C185="","",IFERROR(INDEX('Plan de Cuentas'!$B$5:$B$1241,MATCH(C185,'Plan de Cuentas'!$A$5:$A$1241,0)),"Código no encontrado"))</f>
        <v/>
      </c>
      <c r="E185" s="22"/>
      <c r="F185" s="25"/>
      <c r="G185" s="25"/>
    </row>
    <row r="186" customFormat="false" ht="15" hidden="false" customHeight="true" outlineLevel="0" collapsed="false">
      <c r="A186" s="21"/>
      <c r="B186" s="22"/>
      <c r="C186" s="23"/>
      <c r="D186" s="24" t="str">
        <f aca="false">IF(C186="","",IFERROR(INDEX('Plan de Cuentas'!$B$5:$B$1241,MATCH(C186,'Plan de Cuentas'!$A$5:$A$1241,0)),"Código no encontrado"))</f>
        <v/>
      </c>
      <c r="E186" s="22"/>
      <c r="F186" s="25"/>
      <c r="G186" s="25"/>
    </row>
    <row r="187" customFormat="false" ht="15" hidden="false" customHeight="true" outlineLevel="0" collapsed="false">
      <c r="A187" s="21"/>
      <c r="B187" s="22"/>
      <c r="C187" s="23"/>
      <c r="D187" s="24" t="str">
        <f aca="false">IF(C187="","",IFERROR(INDEX('Plan de Cuentas'!$B$5:$B$1241,MATCH(C187,'Plan de Cuentas'!$A$5:$A$1241,0)),"Código no encontrado"))</f>
        <v/>
      </c>
      <c r="E187" s="22"/>
      <c r="F187" s="25"/>
      <c r="G187" s="25"/>
    </row>
    <row r="188" customFormat="false" ht="15" hidden="false" customHeight="true" outlineLevel="0" collapsed="false">
      <c r="A188" s="21"/>
      <c r="B188" s="22"/>
      <c r="C188" s="23"/>
      <c r="D188" s="24" t="str">
        <f aca="false">IF(C188="","",IFERROR(INDEX('Plan de Cuentas'!$B$5:$B$1241,MATCH(C188,'Plan de Cuentas'!$A$5:$A$1241,0)),"Código no encontrado"))</f>
        <v/>
      </c>
      <c r="E188" s="22"/>
      <c r="F188" s="25"/>
      <c r="G188" s="25"/>
    </row>
    <row r="189" customFormat="false" ht="15" hidden="false" customHeight="true" outlineLevel="0" collapsed="false">
      <c r="A189" s="21"/>
      <c r="B189" s="22"/>
      <c r="C189" s="23"/>
      <c r="D189" s="24" t="str">
        <f aca="false">IF(C189="","",IFERROR(INDEX('Plan de Cuentas'!$B$5:$B$1241,MATCH(C189,'Plan de Cuentas'!$A$5:$A$1241,0)),"Código no encontrado"))</f>
        <v/>
      </c>
      <c r="E189" s="22"/>
      <c r="F189" s="25"/>
      <c r="G189" s="25"/>
    </row>
    <row r="190" customFormat="false" ht="15" hidden="false" customHeight="true" outlineLevel="0" collapsed="false">
      <c r="A190" s="21"/>
      <c r="B190" s="22"/>
      <c r="C190" s="23"/>
      <c r="D190" s="24" t="str">
        <f aca="false">IF(C190="","",IFERROR(INDEX('Plan de Cuentas'!$B$5:$B$1241,MATCH(C190,'Plan de Cuentas'!$A$5:$A$1241,0)),"Código no encontrado"))</f>
        <v/>
      </c>
      <c r="E190" s="22"/>
      <c r="F190" s="25"/>
      <c r="G190" s="25"/>
    </row>
    <row r="191" customFormat="false" ht="15" hidden="false" customHeight="true" outlineLevel="0" collapsed="false">
      <c r="A191" s="21"/>
      <c r="B191" s="22"/>
      <c r="C191" s="23"/>
      <c r="D191" s="24" t="str">
        <f aca="false">IF(C191="","",IFERROR(INDEX('Plan de Cuentas'!$B$5:$B$1241,MATCH(C191,'Plan de Cuentas'!$A$5:$A$1241,0)),"Código no encontrado"))</f>
        <v/>
      </c>
      <c r="E191" s="22"/>
      <c r="F191" s="25"/>
      <c r="G191" s="25"/>
    </row>
    <row r="192" customFormat="false" ht="15" hidden="false" customHeight="true" outlineLevel="0" collapsed="false">
      <c r="A192" s="21"/>
      <c r="B192" s="22"/>
      <c r="C192" s="23"/>
      <c r="D192" s="24" t="str">
        <f aca="false">IF(C192="","",IFERROR(INDEX('Plan de Cuentas'!$B$5:$B$1241,MATCH(C192,'Plan de Cuentas'!$A$5:$A$1241,0)),"Código no encontrado"))</f>
        <v/>
      </c>
      <c r="E192" s="22"/>
      <c r="F192" s="25"/>
      <c r="G192" s="25"/>
    </row>
    <row r="193" customFormat="false" ht="15" hidden="false" customHeight="true" outlineLevel="0" collapsed="false">
      <c r="A193" s="21"/>
      <c r="B193" s="22"/>
      <c r="C193" s="23"/>
      <c r="D193" s="24" t="str">
        <f aca="false">IF(C193="","",IFERROR(INDEX('Plan de Cuentas'!$B$5:$B$1241,MATCH(C193,'Plan de Cuentas'!$A$5:$A$1241,0)),"Código no encontrado"))</f>
        <v/>
      </c>
      <c r="E193" s="22"/>
      <c r="F193" s="25"/>
      <c r="G193" s="25"/>
    </row>
    <row r="194" customFormat="false" ht="15" hidden="false" customHeight="true" outlineLevel="0" collapsed="false">
      <c r="A194" s="21"/>
      <c r="B194" s="22"/>
      <c r="C194" s="23"/>
      <c r="D194" s="24" t="str">
        <f aca="false">IF(C194="","",IFERROR(INDEX('Plan de Cuentas'!$B$5:$B$1241,MATCH(C194,'Plan de Cuentas'!$A$5:$A$1241,0)),"Código no encontrado"))</f>
        <v/>
      </c>
      <c r="E194" s="22"/>
      <c r="F194" s="25"/>
      <c r="G194" s="25"/>
    </row>
    <row r="195" customFormat="false" ht="15" hidden="false" customHeight="true" outlineLevel="0" collapsed="false">
      <c r="A195" s="21"/>
      <c r="B195" s="22"/>
      <c r="C195" s="23"/>
      <c r="D195" s="24" t="str">
        <f aca="false">IF(C195="","",IFERROR(INDEX('Plan de Cuentas'!$B$5:$B$1241,MATCH(C195,'Plan de Cuentas'!$A$5:$A$1241,0)),"Código no encontrado"))</f>
        <v/>
      </c>
      <c r="E195" s="22"/>
      <c r="F195" s="25"/>
      <c r="G195" s="25"/>
    </row>
    <row r="196" customFormat="false" ht="15" hidden="false" customHeight="true" outlineLevel="0" collapsed="false">
      <c r="A196" s="21"/>
      <c r="B196" s="22"/>
      <c r="C196" s="23"/>
      <c r="D196" s="24" t="str">
        <f aca="false">IF(C196="","",IFERROR(INDEX('Plan de Cuentas'!$B$5:$B$1241,MATCH(C196,'Plan de Cuentas'!$A$5:$A$1241,0)),"Código no encontrado"))</f>
        <v/>
      </c>
      <c r="E196" s="22"/>
      <c r="F196" s="25"/>
      <c r="G196" s="25"/>
    </row>
    <row r="197" customFormat="false" ht="15" hidden="false" customHeight="true" outlineLevel="0" collapsed="false">
      <c r="A197" s="21"/>
      <c r="B197" s="22"/>
      <c r="C197" s="23"/>
      <c r="D197" s="24" t="str">
        <f aca="false">IF(C197="","",IFERROR(INDEX('Plan de Cuentas'!$B$5:$B$1241,MATCH(C197,'Plan de Cuentas'!$A$5:$A$1241,0)),"Código no encontrado"))</f>
        <v/>
      </c>
      <c r="E197" s="22"/>
      <c r="F197" s="25"/>
      <c r="G197" s="25"/>
    </row>
    <row r="198" customFormat="false" ht="15" hidden="false" customHeight="true" outlineLevel="0" collapsed="false">
      <c r="A198" s="21"/>
      <c r="B198" s="22"/>
      <c r="C198" s="23"/>
      <c r="D198" s="24" t="str">
        <f aca="false">IF(C198="","",IFERROR(INDEX('Plan de Cuentas'!$B$5:$B$1241,MATCH(C198,'Plan de Cuentas'!$A$5:$A$1241,0)),"Código no encontrado"))</f>
        <v/>
      </c>
      <c r="E198" s="22"/>
      <c r="F198" s="25"/>
      <c r="G198" s="25"/>
    </row>
    <row r="199" customFormat="false" ht="15" hidden="false" customHeight="true" outlineLevel="0" collapsed="false">
      <c r="A199" s="21"/>
      <c r="B199" s="22"/>
      <c r="C199" s="23"/>
      <c r="D199" s="24" t="str">
        <f aca="false">IF(C199="","",IFERROR(INDEX('Plan de Cuentas'!$B$5:$B$1241,MATCH(C199,'Plan de Cuentas'!$A$5:$A$1241,0)),"Código no encontrado"))</f>
        <v/>
      </c>
      <c r="E199" s="22"/>
      <c r="F199" s="25"/>
      <c r="G199" s="25"/>
    </row>
    <row r="200" customFormat="false" ht="15" hidden="false" customHeight="true" outlineLevel="0" collapsed="false">
      <c r="A200" s="21"/>
      <c r="B200" s="22"/>
      <c r="C200" s="23"/>
      <c r="D200" s="24" t="str">
        <f aca="false">IF(C200="","",IFERROR(INDEX('Plan de Cuentas'!$B$5:$B$1241,MATCH(C200,'Plan de Cuentas'!$A$5:$A$1241,0)),"Código no encontrado"))</f>
        <v/>
      </c>
      <c r="E200" s="22"/>
      <c r="F200" s="25"/>
      <c r="G200" s="25"/>
    </row>
    <row r="201" customFormat="false" ht="15" hidden="false" customHeight="true" outlineLevel="0" collapsed="false">
      <c r="A201" s="21"/>
      <c r="B201" s="22"/>
      <c r="C201" s="23"/>
      <c r="D201" s="24" t="str">
        <f aca="false">IF(C201="","",IFERROR(INDEX('Plan de Cuentas'!$B$5:$B$1241,MATCH(C201,'Plan de Cuentas'!$A$5:$A$1241,0)),"Código no encontrado"))</f>
        <v/>
      </c>
      <c r="E201" s="22"/>
      <c r="F201" s="25"/>
      <c r="G201" s="25"/>
    </row>
    <row r="202" customFormat="false" ht="15" hidden="false" customHeight="true" outlineLevel="0" collapsed="false">
      <c r="A202" s="21"/>
      <c r="B202" s="22"/>
      <c r="C202" s="23"/>
      <c r="D202" s="24" t="str">
        <f aca="false">IF(C202="","",IFERROR(INDEX('Plan de Cuentas'!$B$5:$B$1241,MATCH(C202,'Plan de Cuentas'!$A$5:$A$1241,0)),"Código no encontrado"))</f>
        <v/>
      </c>
      <c r="E202" s="22"/>
      <c r="F202" s="25"/>
      <c r="G202" s="25"/>
    </row>
    <row r="203" customFormat="false" ht="15" hidden="false" customHeight="true" outlineLevel="0" collapsed="false">
      <c r="A203" s="21"/>
      <c r="B203" s="22"/>
      <c r="C203" s="23"/>
      <c r="D203" s="24" t="str">
        <f aca="false">IF(C203="","",IFERROR(INDEX('Plan de Cuentas'!$B$5:$B$1241,MATCH(C203,'Plan de Cuentas'!$A$5:$A$1241,0)),"Código no encontrado"))</f>
        <v/>
      </c>
      <c r="E203" s="22"/>
      <c r="F203" s="25"/>
      <c r="G203" s="25"/>
    </row>
    <row r="204" customFormat="false" ht="15" hidden="false" customHeight="true" outlineLevel="0" collapsed="false">
      <c r="A204" s="21"/>
      <c r="B204" s="22"/>
      <c r="C204" s="23"/>
      <c r="D204" s="24" t="str">
        <f aca="false">IF(C204="","",IFERROR(INDEX('Plan de Cuentas'!$B$5:$B$1241,MATCH(C204,'Plan de Cuentas'!$A$5:$A$1241,0)),"Código no encontrado"))</f>
        <v/>
      </c>
      <c r="E204" s="22"/>
      <c r="F204" s="25"/>
      <c r="G204" s="25"/>
    </row>
    <row r="205" customFormat="false" ht="15" hidden="false" customHeight="true" outlineLevel="0" collapsed="false">
      <c r="A205" s="21"/>
      <c r="B205" s="22"/>
      <c r="C205" s="23"/>
      <c r="D205" s="24" t="str">
        <f aca="false">IF(C205="","",IFERROR(INDEX('Plan de Cuentas'!$B$5:$B$1241,MATCH(C205,'Plan de Cuentas'!$A$5:$A$1241,0)),"Código no encontrado"))</f>
        <v/>
      </c>
      <c r="E205" s="22"/>
      <c r="F205" s="25"/>
      <c r="G205" s="25"/>
    </row>
    <row r="206" customFormat="false" ht="15" hidden="false" customHeight="true" outlineLevel="0" collapsed="false">
      <c r="A206" s="21"/>
      <c r="B206" s="22"/>
      <c r="C206" s="23"/>
      <c r="D206" s="24" t="str">
        <f aca="false">IF(C206="","",IFERROR(INDEX('Plan de Cuentas'!$B$5:$B$1241,MATCH(C206,'Plan de Cuentas'!$A$5:$A$1241,0)),"Código no encontrado"))</f>
        <v/>
      </c>
      <c r="E206" s="22"/>
      <c r="F206" s="25"/>
      <c r="G206" s="25"/>
    </row>
    <row r="207" customFormat="false" ht="15" hidden="false" customHeight="true" outlineLevel="0" collapsed="false">
      <c r="A207" s="21"/>
      <c r="B207" s="22"/>
      <c r="C207" s="23"/>
      <c r="D207" s="24" t="str">
        <f aca="false">IF(C207="","",IFERROR(INDEX('Plan de Cuentas'!$B$5:$B$1241,MATCH(C207,'Plan de Cuentas'!$A$5:$A$1241,0)),"Código no encontrado"))</f>
        <v/>
      </c>
      <c r="E207" s="22"/>
      <c r="F207" s="25"/>
      <c r="G207" s="25"/>
    </row>
    <row r="208" customFormat="false" ht="15" hidden="false" customHeight="true" outlineLevel="0" collapsed="false">
      <c r="A208" s="21"/>
      <c r="B208" s="22"/>
      <c r="C208" s="23"/>
      <c r="D208" s="24" t="str">
        <f aca="false">IF(C208="","",IFERROR(INDEX('Plan de Cuentas'!$B$5:$B$1241,MATCH(C208,'Plan de Cuentas'!$A$5:$A$1241,0)),"Código no encontrado"))</f>
        <v/>
      </c>
      <c r="E208" s="22"/>
      <c r="F208" s="25"/>
      <c r="G208" s="25"/>
    </row>
    <row r="209" customFormat="false" ht="15" hidden="false" customHeight="true" outlineLevel="0" collapsed="false">
      <c r="A209" s="21"/>
      <c r="B209" s="22"/>
      <c r="C209" s="23"/>
      <c r="D209" s="24" t="str">
        <f aca="false">IF(C209="","",IFERROR(INDEX('Plan de Cuentas'!$B$5:$B$1241,MATCH(C209,'Plan de Cuentas'!$A$5:$A$1241,0)),"Código no encontrado"))</f>
        <v/>
      </c>
      <c r="E209" s="22"/>
      <c r="F209" s="25"/>
      <c r="G209" s="25"/>
    </row>
    <row r="210" customFormat="false" ht="15" hidden="false" customHeight="true" outlineLevel="0" collapsed="false">
      <c r="A210" s="21"/>
      <c r="B210" s="22"/>
      <c r="C210" s="23"/>
      <c r="D210" s="24" t="str">
        <f aca="false">IF(C210="","",IFERROR(INDEX('Plan de Cuentas'!$B$5:$B$1241,MATCH(C210,'Plan de Cuentas'!$A$5:$A$1241,0)),"Código no encontrado"))</f>
        <v/>
      </c>
      <c r="E210" s="22"/>
      <c r="F210" s="25"/>
      <c r="G210" s="25"/>
    </row>
    <row r="211" customFormat="false" ht="15" hidden="false" customHeight="true" outlineLevel="0" collapsed="false">
      <c r="A211" s="21"/>
      <c r="B211" s="22"/>
      <c r="C211" s="23"/>
      <c r="D211" s="24" t="str">
        <f aca="false">IF(C211="","",IFERROR(INDEX('Plan de Cuentas'!$B$5:$B$1241,MATCH(C211,'Plan de Cuentas'!$A$5:$A$1241,0)),"Código no encontrado"))</f>
        <v/>
      </c>
      <c r="E211" s="22"/>
      <c r="F211" s="25"/>
      <c r="G211" s="25"/>
    </row>
    <row r="212" customFormat="false" ht="15" hidden="false" customHeight="true" outlineLevel="0" collapsed="false">
      <c r="A212" s="21"/>
      <c r="B212" s="22"/>
      <c r="C212" s="23"/>
      <c r="D212" s="24" t="str">
        <f aca="false">IF(C212="","",IFERROR(INDEX('Plan de Cuentas'!$B$5:$B$1241,MATCH(C212,'Plan de Cuentas'!$A$5:$A$1241,0)),"Código no encontrado"))</f>
        <v/>
      </c>
      <c r="E212" s="22"/>
      <c r="F212" s="25"/>
      <c r="G212" s="25"/>
    </row>
    <row r="213" customFormat="false" ht="15" hidden="false" customHeight="true" outlineLevel="0" collapsed="false">
      <c r="A213" s="21"/>
      <c r="B213" s="22"/>
      <c r="C213" s="23"/>
      <c r="D213" s="24" t="str">
        <f aca="false">IF(C213="","",IFERROR(INDEX('Plan de Cuentas'!$B$5:$B$1241,MATCH(C213,'Plan de Cuentas'!$A$5:$A$1241,0)),"Código no encontrado"))</f>
        <v/>
      </c>
      <c r="E213" s="22"/>
      <c r="F213" s="25"/>
      <c r="G213" s="25"/>
    </row>
    <row r="214" customFormat="false" ht="15" hidden="false" customHeight="true" outlineLevel="0" collapsed="false">
      <c r="A214" s="21"/>
      <c r="B214" s="22"/>
      <c r="C214" s="23"/>
      <c r="D214" s="24" t="str">
        <f aca="false">IF(C214="","",IFERROR(INDEX('Plan de Cuentas'!$B$5:$B$1241,MATCH(C214,'Plan de Cuentas'!$A$5:$A$1241,0)),"Código no encontrado"))</f>
        <v/>
      </c>
      <c r="E214" s="22"/>
      <c r="F214" s="25"/>
      <c r="G214" s="25"/>
    </row>
    <row r="215" customFormat="false" ht="15" hidden="false" customHeight="true" outlineLevel="0" collapsed="false">
      <c r="A215" s="21"/>
      <c r="B215" s="22"/>
      <c r="C215" s="23"/>
      <c r="D215" s="24" t="str">
        <f aca="false">IF(C215="","",IFERROR(INDEX('Plan de Cuentas'!$B$5:$B$1241,MATCH(C215,'Plan de Cuentas'!$A$5:$A$1241,0)),"Código no encontrado"))</f>
        <v/>
      </c>
      <c r="E215" s="22"/>
      <c r="F215" s="25"/>
      <c r="G215" s="25"/>
    </row>
    <row r="216" customFormat="false" ht="15" hidden="false" customHeight="true" outlineLevel="0" collapsed="false">
      <c r="A216" s="21"/>
      <c r="B216" s="22"/>
      <c r="C216" s="23"/>
      <c r="D216" s="24" t="str">
        <f aca="false">IF(C216="","",IFERROR(INDEX('Plan de Cuentas'!$B$5:$B$1241,MATCH(C216,'Plan de Cuentas'!$A$5:$A$1241,0)),"Código no encontrado"))</f>
        <v/>
      </c>
      <c r="E216" s="22"/>
      <c r="F216" s="25"/>
      <c r="G216" s="25"/>
    </row>
    <row r="217" customFormat="false" ht="15" hidden="false" customHeight="true" outlineLevel="0" collapsed="false">
      <c r="A217" s="21"/>
      <c r="B217" s="22"/>
      <c r="C217" s="23"/>
      <c r="D217" s="24" t="str">
        <f aca="false">IF(C217="","",IFERROR(INDEX('Plan de Cuentas'!$B$5:$B$1241,MATCH(C217,'Plan de Cuentas'!$A$5:$A$1241,0)),"Código no encontrado"))</f>
        <v/>
      </c>
      <c r="E217" s="22"/>
      <c r="F217" s="25"/>
      <c r="G217" s="25"/>
    </row>
    <row r="218" customFormat="false" ht="15" hidden="false" customHeight="true" outlineLevel="0" collapsed="false">
      <c r="A218" s="21"/>
      <c r="B218" s="22"/>
      <c r="C218" s="23"/>
      <c r="D218" s="24" t="str">
        <f aca="false">IF(C218="","",IFERROR(INDEX('Plan de Cuentas'!$B$5:$B$1241,MATCH(C218,'Plan de Cuentas'!$A$5:$A$1241,0)),"Código no encontrado"))</f>
        <v/>
      </c>
      <c r="E218" s="22"/>
      <c r="F218" s="25"/>
      <c r="G218" s="25"/>
    </row>
    <row r="219" customFormat="false" ht="15" hidden="false" customHeight="true" outlineLevel="0" collapsed="false">
      <c r="A219" s="21"/>
      <c r="B219" s="22"/>
      <c r="C219" s="23"/>
      <c r="D219" s="24" t="str">
        <f aca="false">IF(C219="","",IFERROR(INDEX('Plan de Cuentas'!$B$5:$B$1241,MATCH(C219,'Plan de Cuentas'!$A$5:$A$1241,0)),"Código no encontrado"))</f>
        <v/>
      </c>
      <c r="E219" s="22"/>
      <c r="F219" s="25"/>
      <c r="G219" s="25"/>
    </row>
    <row r="220" customFormat="false" ht="15" hidden="false" customHeight="true" outlineLevel="0" collapsed="false">
      <c r="A220" s="21"/>
      <c r="B220" s="22"/>
      <c r="C220" s="23"/>
      <c r="D220" s="24" t="str">
        <f aca="false">IF(C220="","",IFERROR(INDEX('Plan de Cuentas'!$B$5:$B$1241,MATCH(C220,'Plan de Cuentas'!$A$5:$A$1241,0)),"Código no encontrado"))</f>
        <v/>
      </c>
      <c r="E220" s="22"/>
      <c r="F220" s="25"/>
      <c r="G220" s="25"/>
    </row>
    <row r="221" customFormat="false" ht="15" hidden="false" customHeight="true" outlineLevel="0" collapsed="false">
      <c r="A221" s="21"/>
      <c r="B221" s="22"/>
      <c r="C221" s="23"/>
      <c r="D221" s="24" t="str">
        <f aca="false">IF(C221="","",IFERROR(INDEX('Plan de Cuentas'!$B$5:$B$1241,MATCH(C221,'Plan de Cuentas'!$A$5:$A$1241,0)),"Código no encontrado"))</f>
        <v/>
      </c>
      <c r="E221" s="22"/>
      <c r="F221" s="25"/>
      <c r="G221" s="25"/>
    </row>
    <row r="222" customFormat="false" ht="15" hidden="false" customHeight="true" outlineLevel="0" collapsed="false">
      <c r="A222" s="21"/>
      <c r="B222" s="22"/>
      <c r="C222" s="23"/>
      <c r="D222" s="24" t="str">
        <f aca="false">IF(C222="","",IFERROR(INDEX('Plan de Cuentas'!$B$5:$B$1241,MATCH(C222,'Plan de Cuentas'!$A$5:$A$1241,0)),"Código no encontrado"))</f>
        <v/>
      </c>
      <c r="E222" s="22"/>
      <c r="F222" s="25"/>
      <c r="G222" s="25"/>
    </row>
    <row r="223" customFormat="false" ht="15" hidden="false" customHeight="true" outlineLevel="0" collapsed="false">
      <c r="A223" s="21"/>
      <c r="B223" s="22"/>
      <c r="C223" s="23"/>
      <c r="D223" s="24" t="str">
        <f aca="false">IF(C223="","",IFERROR(INDEX('Plan de Cuentas'!$B$5:$B$1241,MATCH(C223,'Plan de Cuentas'!$A$5:$A$1241,0)),"Código no encontrado"))</f>
        <v/>
      </c>
      <c r="E223" s="22"/>
      <c r="F223" s="25"/>
      <c r="G223" s="25"/>
    </row>
    <row r="224" customFormat="false" ht="15" hidden="false" customHeight="true" outlineLevel="0" collapsed="false">
      <c r="A224" s="21"/>
      <c r="B224" s="22"/>
      <c r="C224" s="23"/>
      <c r="D224" s="24" t="str">
        <f aca="false">IF(C224="","",IFERROR(INDEX('Plan de Cuentas'!$B$5:$B$1241,MATCH(C224,'Plan de Cuentas'!$A$5:$A$1241,0)),"Código no encontrado"))</f>
        <v/>
      </c>
      <c r="E224" s="22"/>
      <c r="F224" s="25"/>
      <c r="G224" s="25"/>
    </row>
    <row r="225" customFormat="false" ht="15" hidden="false" customHeight="true" outlineLevel="0" collapsed="false">
      <c r="A225" s="21"/>
      <c r="B225" s="22"/>
      <c r="C225" s="23"/>
      <c r="D225" s="24" t="str">
        <f aca="false">IF(C225="","",IFERROR(INDEX('Plan de Cuentas'!$B$5:$B$1241,MATCH(C225,'Plan de Cuentas'!$A$5:$A$1241,0)),"Código no encontrado"))</f>
        <v/>
      </c>
      <c r="E225" s="22"/>
      <c r="F225" s="25"/>
      <c r="G225" s="25"/>
    </row>
    <row r="226" customFormat="false" ht="15" hidden="false" customHeight="true" outlineLevel="0" collapsed="false">
      <c r="A226" s="21"/>
      <c r="B226" s="22"/>
      <c r="C226" s="23"/>
      <c r="D226" s="24" t="str">
        <f aca="false">IF(C226="","",IFERROR(INDEX('Plan de Cuentas'!$B$5:$B$1241,MATCH(C226,'Plan de Cuentas'!$A$5:$A$1241,0)),"Código no encontrado"))</f>
        <v/>
      </c>
      <c r="E226" s="22"/>
      <c r="F226" s="25"/>
      <c r="G226" s="25"/>
    </row>
    <row r="227" customFormat="false" ht="15" hidden="false" customHeight="true" outlineLevel="0" collapsed="false">
      <c r="A227" s="21"/>
      <c r="B227" s="22"/>
      <c r="C227" s="23"/>
      <c r="D227" s="24" t="str">
        <f aca="false">IF(C227="","",IFERROR(INDEX('Plan de Cuentas'!$B$5:$B$1241,MATCH(C227,'Plan de Cuentas'!$A$5:$A$1241,0)),"Código no encontrado"))</f>
        <v/>
      </c>
      <c r="E227" s="22"/>
      <c r="F227" s="25"/>
      <c r="G227" s="25"/>
    </row>
    <row r="228" customFormat="false" ht="15" hidden="false" customHeight="true" outlineLevel="0" collapsed="false">
      <c r="A228" s="21"/>
      <c r="B228" s="22"/>
      <c r="C228" s="23"/>
      <c r="D228" s="24" t="str">
        <f aca="false">IF(C228="","",IFERROR(INDEX('Plan de Cuentas'!$B$5:$B$1241,MATCH(C228,'Plan de Cuentas'!$A$5:$A$1241,0)),"Código no encontrado"))</f>
        <v/>
      </c>
      <c r="E228" s="22"/>
      <c r="F228" s="25"/>
      <c r="G228" s="25"/>
    </row>
    <row r="229" customFormat="false" ht="15" hidden="false" customHeight="true" outlineLevel="0" collapsed="false">
      <c r="A229" s="21"/>
      <c r="B229" s="22"/>
      <c r="C229" s="23"/>
      <c r="D229" s="24" t="str">
        <f aca="false">IF(C229="","",IFERROR(INDEX('Plan de Cuentas'!$B$5:$B$1241,MATCH(C229,'Plan de Cuentas'!$A$5:$A$1241,0)),"Código no encontrado"))</f>
        <v/>
      </c>
      <c r="E229" s="22"/>
      <c r="F229" s="25"/>
      <c r="G229" s="25"/>
    </row>
    <row r="230" customFormat="false" ht="15" hidden="false" customHeight="true" outlineLevel="0" collapsed="false">
      <c r="A230" s="21"/>
      <c r="B230" s="22"/>
      <c r="C230" s="23"/>
      <c r="D230" s="24" t="str">
        <f aca="false">IF(C230="","",IFERROR(INDEX('Plan de Cuentas'!$B$5:$B$1241,MATCH(C230,'Plan de Cuentas'!$A$5:$A$1241,0)),"Código no encontrado"))</f>
        <v/>
      </c>
      <c r="E230" s="22"/>
      <c r="F230" s="25"/>
      <c r="G230" s="25"/>
    </row>
    <row r="231" customFormat="false" ht="15" hidden="false" customHeight="true" outlineLevel="0" collapsed="false">
      <c r="A231" s="21"/>
      <c r="B231" s="22"/>
      <c r="C231" s="23"/>
      <c r="D231" s="24" t="str">
        <f aca="false">IF(C231="","",IFERROR(INDEX('Plan de Cuentas'!$B$5:$B$1241,MATCH(C231,'Plan de Cuentas'!$A$5:$A$1241,0)),"Código no encontrado"))</f>
        <v/>
      </c>
      <c r="E231" s="22"/>
      <c r="F231" s="25"/>
      <c r="G231" s="25"/>
    </row>
    <row r="232" customFormat="false" ht="15" hidden="false" customHeight="true" outlineLevel="0" collapsed="false">
      <c r="A232" s="21"/>
      <c r="B232" s="22"/>
      <c r="C232" s="23"/>
      <c r="D232" s="24" t="str">
        <f aca="false">IF(C232="","",IFERROR(INDEX('Plan de Cuentas'!$B$5:$B$1241,MATCH(C232,'Plan de Cuentas'!$A$5:$A$1241,0)),"Código no encontrado"))</f>
        <v/>
      </c>
      <c r="E232" s="22"/>
      <c r="F232" s="25"/>
      <c r="G232" s="25"/>
    </row>
    <row r="233" customFormat="false" ht="15" hidden="false" customHeight="true" outlineLevel="0" collapsed="false">
      <c r="A233" s="21"/>
      <c r="B233" s="22"/>
      <c r="C233" s="23"/>
      <c r="D233" s="24" t="str">
        <f aca="false">IF(C233="","",IFERROR(INDEX('Plan de Cuentas'!$B$5:$B$1241,MATCH(C233,'Plan de Cuentas'!$A$5:$A$1241,0)),"Código no encontrado"))</f>
        <v/>
      </c>
      <c r="E233" s="22"/>
      <c r="F233" s="25"/>
      <c r="G233" s="25"/>
    </row>
    <row r="234" customFormat="false" ht="15" hidden="false" customHeight="true" outlineLevel="0" collapsed="false">
      <c r="A234" s="21"/>
      <c r="B234" s="22"/>
      <c r="C234" s="23"/>
      <c r="D234" s="24" t="str">
        <f aca="false">IF(C234="","",IFERROR(INDEX('Plan de Cuentas'!$B$5:$B$1241,MATCH(C234,'Plan de Cuentas'!$A$5:$A$1241,0)),"Código no encontrado"))</f>
        <v/>
      </c>
      <c r="E234" s="22"/>
      <c r="F234" s="25"/>
      <c r="G234" s="25"/>
    </row>
    <row r="235" customFormat="false" ht="15" hidden="false" customHeight="true" outlineLevel="0" collapsed="false">
      <c r="A235" s="21"/>
      <c r="B235" s="22"/>
      <c r="C235" s="23"/>
      <c r="D235" s="24" t="str">
        <f aca="false">IF(C235="","",IFERROR(INDEX('Plan de Cuentas'!$B$5:$B$1241,MATCH(C235,'Plan de Cuentas'!$A$5:$A$1241,0)),"Código no encontrado"))</f>
        <v/>
      </c>
      <c r="E235" s="22"/>
      <c r="F235" s="25"/>
      <c r="G235" s="25"/>
    </row>
    <row r="236" customFormat="false" ht="15" hidden="false" customHeight="true" outlineLevel="0" collapsed="false">
      <c r="A236" s="21"/>
      <c r="B236" s="22"/>
      <c r="C236" s="23"/>
      <c r="D236" s="24" t="str">
        <f aca="false">IF(C236="","",IFERROR(INDEX('Plan de Cuentas'!$B$5:$B$1241,MATCH(C236,'Plan de Cuentas'!$A$5:$A$1241,0)),"Código no encontrado"))</f>
        <v/>
      </c>
      <c r="E236" s="22"/>
      <c r="F236" s="25"/>
      <c r="G236" s="25"/>
    </row>
    <row r="237" customFormat="false" ht="15" hidden="false" customHeight="true" outlineLevel="0" collapsed="false">
      <c r="A237" s="21"/>
      <c r="B237" s="22"/>
      <c r="C237" s="23"/>
      <c r="D237" s="24" t="str">
        <f aca="false">IF(C237="","",IFERROR(INDEX('Plan de Cuentas'!$B$5:$B$1241,MATCH(C237,'Plan de Cuentas'!$A$5:$A$1241,0)),"Código no encontrado"))</f>
        <v/>
      </c>
      <c r="E237" s="22"/>
      <c r="F237" s="25"/>
      <c r="G237" s="25"/>
    </row>
    <row r="238" customFormat="false" ht="15" hidden="false" customHeight="true" outlineLevel="0" collapsed="false">
      <c r="A238" s="21"/>
      <c r="B238" s="22"/>
      <c r="C238" s="23"/>
      <c r="D238" s="24" t="str">
        <f aca="false">IF(C238="","",IFERROR(INDEX('Plan de Cuentas'!$B$5:$B$1241,MATCH(C238,'Plan de Cuentas'!$A$5:$A$1241,0)),"Código no encontrado"))</f>
        <v/>
      </c>
      <c r="E238" s="22"/>
      <c r="F238" s="25"/>
      <c r="G238" s="25"/>
    </row>
    <row r="239" customFormat="false" ht="15" hidden="false" customHeight="true" outlineLevel="0" collapsed="false">
      <c r="A239" s="21"/>
      <c r="B239" s="22"/>
      <c r="C239" s="23"/>
      <c r="D239" s="24" t="str">
        <f aca="false">IF(C239="","",IFERROR(INDEX('Plan de Cuentas'!$B$5:$B$1241,MATCH(C239,'Plan de Cuentas'!$A$5:$A$1241,0)),"Código no encontrado"))</f>
        <v/>
      </c>
      <c r="E239" s="22"/>
      <c r="F239" s="25"/>
      <c r="G239" s="25"/>
    </row>
    <row r="240" customFormat="false" ht="15" hidden="false" customHeight="true" outlineLevel="0" collapsed="false">
      <c r="A240" s="21"/>
      <c r="B240" s="22"/>
      <c r="C240" s="23"/>
      <c r="D240" s="24" t="str">
        <f aca="false">IF(C240="","",IFERROR(INDEX('Plan de Cuentas'!$B$5:$B$1241,MATCH(C240,'Plan de Cuentas'!$A$5:$A$1241,0)),"Código no encontrado"))</f>
        <v/>
      </c>
      <c r="E240" s="22"/>
      <c r="F240" s="25"/>
      <c r="G240" s="25"/>
    </row>
    <row r="241" customFormat="false" ht="15" hidden="false" customHeight="true" outlineLevel="0" collapsed="false">
      <c r="A241" s="21"/>
      <c r="B241" s="22"/>
      <c r="C241" s="23"/>
      <c r="D241" s="24" t="str">
        <f aca="false">IF(C241="","",IFERROR(INDEX('Plan de Cuentas'!$B$5:$B$1241,MATCH(C241,'Plan de Cuentas'!$A$5:$A$1241,0)),"Código no encontrado"))</f>
        <v/>
      </c>
      <c r="E241" s="22"/>
      <c r="F241" s="25"/>
      <c r="G241" s="25"/>
    </row>
    <row r="242" customFormat="false" ht="15" hidden="false" customHeight="true" outlineLevel="0" collapsed="false">
      <c r="A242" s="21"/>
      <c r="B242" s="22"/>
      <c r="C242" s="23"/>
      <c r="D242" s="24" t="str">
        <f aca="false">IF(C242="","",IFERROR(INDEX('Plan de Cuentas'!$B$5:$B$1241,MATCH(C242,'Plan de Cuentas'!$A$5:$A$1241,0)),"Código no encontrado"))</f>
        <v/>
      </c>
      <c r="E242" s="22"/>
      <c r="F242" s="25"/>
      <c r="G242" s="25"/>
    </row>
    <row r="243" customFormat="false" ht="15" hidden="false" customHeight="true" outlineLevel="0" collapsed="false">
      <c r="A243" s="21"/>
      <c r="B243" s="22"/>
      <c r="C243" s="23"/>
      <c r="D243" s="24" t="str">
        <f aca="false">IF(C243="","",IFERROR(INDEX('Plan de Cuentas'!$B$5:$B$1241,MATCH(C243,'Plan de Cuentas'!$A$5:$A$1241,0)),"Código no encontrado"))</f>
        <v/>
      </c>
      <c r="E243" s="22"/>
      <c r="F243" s="25"/>
      <c r="G243" s="25"/>
    </row>
    <row r="244" customFormat="false" ht="15" hidden="false" customHeight="true" outlineLevel="0" collapsed="false">
      <c r="A244" s="21"/>
      <c r="B244" s="22"/>
      <c r="C244" s="23"/>
      <c r="D244" s="24" t="str">
        <f aca="false">IF(C244="","",IFERROR(INDEX('Plan de Cuentas'!$B$5:$B$1241,MATCH(C244,'Plan de Cuentas'!$A$5:$A$1241,0)),"Código no encontrado"))</f>
        <v/>
      </c>
      <c r="E244" s="22"/>
      <c r="F244" s="25"/>
      <c r="G244" s="25"/>
    </row>
    <row r="245" customFormat="false" ht="15" hidden="false" customHeight="true" outlineLevel="0" collapsed="false">
      <c r="A245" s="21"/>
      <c r="B245" s="22"/>
      <c r="C245" s="23"/>
      <c r="D245" s="24" t="str">
        <f aca="false">IF(C245="","",IFERROR(INDEX('Plan de Cuentas'!$B$5:$B$1241,MATCH(C245,'Plan de Cuentas'!$A$5:$A$1241,0)),"Código no encontrado"))</f>
        <v/>
      </c>
      <c r="E245" s="22"/>
      <c r="F245" s="25"/>
      <c r="G245" s="25"/>
    </row>
    <row r="246" customFormat="false" ht="15" hidden="false" customHeight="true" outlineLevel="0" collapsed="false">
      <c r="A246" s="21"/>
      <c r="B246" s="22"/>
      <c r="C246" s="23"/>
      <c r="D246" s="24" t="str">
        <f aca="false">IF(C246="","",IFERROR(INDEX('Plan de Cuentas'!$B$5:$B$1241,MATCH(C246,'Plan de Cuentas'!$A$5:$A$1241,0)),"Código no encontrado"))</f>
        <v/>
      </c>
      <c r="E246" s="22"/>
      <c r="F246" s="25"/>
      <c r="G246" s="25"/>
    </row>
    <row r="247" customFormat="false" ht="15" hidden="false" customHeight="true" outlineLevel="0" collapsed="false">
      <c r="A247" s="21"/>
      <c r="B247" s="22"/>
      <c r="C247" s="23"/>
      <c r="D247" s="24" t="str">
        <f aca="false">IF(C247="","",IFERROR(INDEX('Plan de Cuentas'!$B$5:$B$1241,MATCH(C247,'Plan de Cuentas'!$A$5:$A$1241,0)),"Código no encontrado"))</f>
        <v/>
      </c>
      <c r="E247" s="22"/>
      <c r="F247" s="25"/>
      <c r="G247" s="25"/>
    </row>
    <row r="248" customFormat="false" ht="15" hidden="false" customHeight="true" outlineLevel="0" collapsed="false">
      <c r="A248" s="21"/>
      <c r="B248" s="22"/>
      <c r="C248" s="23"/>
      <c r="D248" s="24" t="str">
        <f aca="false">IF(C248="","",IFERROR(INDEX('Plan de Cuentas'!$B$5:$B$1241,MATCH(C248,'Plan de Cuentas'!$A$5:$A$1241,0)),"Código no encontrado"))</f>
        <v/>
      </c>
      <c r="E248" s="22"/>
      <c r="F248" s="25"/>
      <c r="G248" s="25"/>
    </row>
    <row r="249" customFormat="false" ht="15" hidden="false" customHeight="true" outlineLevel="0" collapsed="false">
      <c r="A249" s="21"/>
      <c r="B249" s="22"/>
      <c r="C249" s="23"/>
      <c r="D249" s="24" t="str">
        <f aca="false">IF(C249="","",IFERROR(INDEX('Plan de Cuentas'!$B$5:$B$1241,MATCH(C249,'Plan de Cuentas'!$A$5:$A$1241,0)),"Código no encontrado"))</f>
        <v/>
      </c>
      <c r="E249" s="22"/>
      <c r="F249" s="25"/>
      <c r="G249" s="25"/>
    </row>
    <row r="250" customFormat="false" ht="15" hidden="false" customHeight="true" outlineLevel="0" collapsed="false">
      <c r="A250" s="21"/>
      <c r="B250" s="22"/>
      <c r="C250" s="23"/>
      <c r="D250" s="24" t="str">
        <f aca="false">IF(C250="","",IFERROR(INDEX('Plan de Cuentas'!$B$5:$B$1241,MATCH(C250,'Plan de Cuentas'!$A$5:$A$1241,0)),"Código no encontrado"))</f>
        <v/>
      </c>
      <c r="E250" s="22"/>
      <c r="F250" s="25"/>
      <c r="G250" s="25"/>
    </row>
    <row r="251" customFormat="false" ht="15" hidden="false" customHeight="true" outlineLevel="0" collapsed="false">
      <c r="A251" s="21"/>
      <c r="B251" s="22"/>
      <c r="C251" s="23"/>
      <c r="D251" s="24" t="str">
        <f aca="false">IF(C251="","",IFERROR(INDEX('Plan de Cuentas'!$B$5:$B$1241,MATCH(C251,'Plan de Cuentas'!$A$5:$A$1241,0)),"Código no encontrado"))</f>
        <v/>
      </c>
      <c r="E251" s="22"/>
      <c r="F251" s="25"/>
      <c r="G251" s="25"/>
    </row>
    <row r="252" customFormat="false" ht="15" hidden="false" customHeight="true" outlineLevel="0" collapsed="false">
      <c r="A252" s="21"/>
      <c r="B252" s="22"/>
      <c r="C252" s="23"/>
      <c r="D252" s="24" t="str">
        <f aca="false">IF(C252="","",IFERROR(INDEX('Plan de Cuentas'!$B$5:$B$1241,MATCH(C252,'Plan de Cuentas'!$A$5:$A$1241,0)),"Código no encontrado"))</f>
        <v/>
      </c>
      <c r="E252" s="22"/>
      <c r="F252" s="25"/>
      <c r="G252" s="25"/>
    </row>
    <row r="253" customFormat="false" ht="15" hidden="false" customHeight="true" outlineLevel="0" collapsed="false">
      <c r="A253" s="21"/>
      <c r="B253" s="22"/>
      <c r="C253" s="23"/>
      <c r="D253" s="24" t="str">
        <f aca="false">IF(C253="","",IFERROR(INDEX('Plan de Cuentas'!$B$5:$B$1241,MATCH(C253,'Plan de Cuentas'!$A$5:$A$1241,0)),"Código no encontrado"))</f>
        <v/>
      </c>
      <c r="E253" s="22"/>
      <c r="F253" s="25"/>
      <c r="G253" s="25"/>
    </row>
    <row r="254" customFormat="false" ht="15" hidden="false" customHeight="true" outlineLevel="0" collapsed="false">
      <c r="A254" s="21"/>
      <c r="B254" s="22"/>
      <c r="C254" s="23"/>
      <c r="D254" s="24" t="str">
        <f aca="false">IF(C254="","",IFERROR(INDEX('Plan de Cuentas'!$B$5:$B$1241,MATCH(C254,'Plan de Cuentas'!$A$5:$A$1241,0)),"Código no encontrado"))</f>
        <v/>
      </c>
      <c r="E254" s="22"/>
      <c r="F254" s="25"/>
      <c r="G254" s="25"/>
    </row>
    <row r="255" customFormat="false" ht="15" hidden="false" customHeight="true" outlineLevel="0" collapsed="false">
      <c r="A255" s="21"/>
      <c r="B255" s="22"/>
      <c r="C255" s="23"/>
      <c r="D255" s="24" t="str">
        <f aca="false">IF(C255="","",IFERROR(INDEX('Plan de Cuentas'!$B$5:$B$1241,MATCH(C255,'Plan de Cuentas'!$A$5:$A$1241,0)),"Código no encontrado"))</f>
        <v/>
      </c>
      <c r="E255" s="22"/>
      <c r="F255" s="25"/>
      <c r="G255" s="25"/>
    </row>
    <row r="256" customFormat="false" ht="15" hidden="false" customHeight="true" outlineLevel="0" collapsed="false">
      <c r="A256" s="21"/>
      <c r="B256" s="22"/>
      <c r="C256" s="23"/>
      <c r="D256" s="24" t="str">
        <f aca="false">IF(C256="","",IFERROR(INDEX('Plan de Cuentas'!$B$5:$B$1241,MATCH(C256,'Plan de Cuentas'!$A$5:$A$1241,0)),"Código no encontrado"))</f>
        <v/>
      </c>
      <c r="E256" s="22"/>
      <c r="F256" s="25"/>
      <c r="G256" s="25"/>
    </row>
    <row r="257" customFormat="false" ht="15" hidden="false" customHeight="true" outlineLevel="0" collapsed="false">
      <c r="A257" s="21"/>
      <c r="B257" s="22"/>
      <c r="C257" s="23"/>
      <c r="D257" s="24" t="str">
        <f aca="false">IF(C257="","",IFERROR(INDEX('Plan de Cuentas'!$B$5:$B$1241,MATCH(C257,'Plan de Cuentas'!$A$5:$A$1241,0)),"Código no encontrado"))</f>
        <v/>
      </c>
      <c r="E257" s="22"/>
      <c r="F257" s="25"/>
      <c r="G257" s="25"/>
    </row>
    <row r="258" customFormat="false" ht="15" hidden="false" customHeight="true" outlineLevel="0" collapsed="false">
      <c r="A258" s="21"/>
      <c r="B258" s="22"/>
      <c r="C258" s="23"/>
      <c r="D258" s="24" t="str">
        <f aca="false">IF(C258="","",IFERROR(INDEX('Plan de Cuentas'!$B$5:$B$1241,MATCH(C258,'Plan de Cuentas'!$A$5:$A$1241,0)),"Código no encontrado"))</f>
        <v/>
      </c>
      <c r="E258" s="22"/>
      <c r="F258" s="25"/>
      <c r="G258" s="25"/>
    </row>
    <row r="259" customFormat="false" ht="15" hidden="false" customHeight="true" outlineLevel="0" collapsed="false">
      <c r="A259" s="21"/>
      <c r="B259" s="22"/>
      <c r="C259" s="23"/>
      <c r="D259" s="24" t="str">
        <f aca="false">IF(C259="","",IFERROR(INDEX('Plan de Cuentas'!$B$5:$B$1241,MATCH(C259,'Plan de Cuentas'!$A$5:$A$1241,0)),"Código no encontrado"))</f>
        <v/>
      </c>
      <c r="E259" s="22"/>
      <c r="F259" s="25"/>
      <c r="G259" s="25"/>
    </row>
    <row r="260" customFormat="false" ht="15" hidden="false" customHeight="true" outlineLevel="0" collapsed="false">
      <c r="A260" s="21"/>
      <c r="B260" s="22"/>
      <c r="C260" s="23"/>
      <c r="D260" s="24" t="str">
        <f aca="false">IF(C260="","",IFERROR(INDEX('Plan de Cuentas'!$B$5:$B$1241,MATCH(C260,'Plan de Cuentas'!$A$5:$A$1241,0)),"Código no encontrado"))</f>
        <v/>
      </c>
      <c r="E260" s="22"/>
      <c r="F260" s="25"/>
      <c r="G260" s="25"/>
    </row>
    <row r="261" customFormat="false" ht="15" hidden="false" customHeight="true" outlineLevel="0" collapsed="false">
      <c r="A261" s="21"/>
      <c r="B261" s="22"/>
      <c r="C261" s="23"/>
      <c r="D261" s="24" t="str">
        <f aca="false">IF(C261="","",IFERROR(INDEX('Plan de Cuentas'!$B$5:$B$1241,MATCH(C261,'Plan de Cuentas'!$A$5:$A$1241,0)),"Código no encontrado"))</f>
        <v/>
      </c>
      <c r="E261" s="22"/>
      <c r="F261" s="25"/>
      <c r="G261" s="25"/>
    </row>
    <row r="262" customFormat="false" ht="15" hidden="false" customHeight="true" outlineLevel="0" collapsed="false">
      <c r="A262" s="21"/>
      <c r="B262" s="22"/>
      <c r="C262" s="23"/>
      <c r="D262" s="24" t="str">
        <f aca="false">IF(C262="","",IFERROR(INDEX('Plan de Cuentas'!$B$5:$B$1241,MATCH(C262,'Plan de Cuentas'!$A$5:$A$1241,0)),"Código no encontrado"))</f>
        <v/>
      </c>
      <c r="E262" s="22"/>
      <c r="F262" s="25"/>
      <c r="G262" s="25"/>
    </row>
    <row r="263" customFormat="false" ht="15" hidden="false" customHeight="true" outlineLevel="0" collapsed="false">
      <c r="A263" s="21"/>
      <c r="B263" s="22"/>
      <c r="C263" s="23"/>
      <c r="D263" s="24" t="str">
        <f aca="false">IF(C263="","",IFERROR(INDEX('Plan de Cuentas'!$B$5:$B$1241,MATCH(C263,'Plan de Cuentas'!$A$5:$A$1241,0)),"Código no encontrado"))</f>
        <v/>
      </c>
      <c r="E263" s="22"/>
      <c r="F263" s="25"/>
      <c r="G263" s="25"/>
    </row>
    <row r="264" customFormat="false" ht="15" hidden="false" customHeight="true" outlineLevel="0" collapsed="false">
      <c r="A264" s="21"/>
      <c r="B264" s="22"/>
      <c r="C264" s="23"/>
      <c r="D264" s="24" t="str">
        <f aca="false">IF(C264="","",IFERROR(INDEX('Plan de Cuentas'!$B$5:$B$1241,MATCH(C264,'Plan de Cuentas'!$A$5:$A$1241,0)),"Código no encontrado"))</f>
        <v/>
      </c>
      <c r="E264" s="22"/>
      <c r="F264" s="25"/>
      <c r="G264" s="25"/>
    </row>
    <row r="265" customFormat="false" ht="15" hidden="false" customHeight="true" outlineLevel="0" collapsed="false">
      <c r="A265" s="21"/>
      <c r="B265" s="22"/>
      <c r="C265" s="23"/>
      <c r="D265" s="24" t="str">
        <f aca="false">IF(C265="","",IFERROR(INDEX('Plan de Cuentas'!$B$5:$B$1241,MATCH(C265,'Plan de Cuentas'!$A$5:$A$1241,0)),"Código no encontrado"))</f>
        <v/>
      </c>
      <c r="E265" s="22"/>
      <c r="F265" s="25"/>
      <c r="G265" s="25"/>
    </row>
    <row r="266" customFormat="false" ht="15" hidden="false" customHeight="true" outlineLevel="0" collapsed="false">
      <c r="A266" s="21"/>
      <c r="B266" s="22"/>
      <c r="C266" s="23"/>
      <c r="D266" s="24" t="str">
        <f aca="false">IF(C266="","",IFERROR(INDEX('Plan de Cuentas'!$B$5:$B$1241,MATCH(C266,'Plan de Cuentas'!$A$5:$A$1241,0)),"Código no encontrado"))</f>
        <v/>
      </c>
      <c r="E266" s="22"/>
      <c r="F266" s="25"/>
      <c r="G266" s="25"/>
    </row>
    <row r="267" customFormat="false" ht="15" hidden="false" customHeight="true" outlineLevel="0" collapsed="false">
      <c r="A267" s="21"/>
      <c r="B267" s="22"/>
      <c r="C267" s="23"/>
      <c r="D267" s="24" t="str">
        <f aca="false">IF(C267="","",IFERROR(INDEX('Plan de Cuentas'!$B$5:$B$1241,MATCH(C267,'Plan de Cuentas'!$A$5:$A$1241,0)),"Código no encontrado"))</f>
        <v/>
      </c>
      <c r="E267" s="22"/>
      <c r="F267" s="25"/>
      <c r="G267" s="25"/>
    </row>
    <row r="268" customFormat="false" ht="15" hidden="false" customHeight="true" outlineLevel="0" collapsed="false">
      <c r="A268" s="21"/>
      <c r="B268" s="22"/>
      <c r="C268" s="23"/>
      <c r="D268" s="24" t="str">
        <f aca="false">IF(C268="","",IFERROR(INDEX('Plan de Cuentas'!$B$5:$B$1241,MATCH(C268,'Plan de Cuentas'!$A$5:$A$1241,0)),"Código no encontrado"))</f>
        <v/>
      </c>
      <c r="E268" s="22"/>
      <c r="F268" s="25"/>
      <c r="G268" s="25"/>
    </row>
    <row r="269" customFormat="false" ht="15" hidden="false" customHeight="true" outlineLevel="0" collapsed="false">
      <c r="A269" s="21"/>
      <c r="B269" s="22"/>
      <c r="C269" s="23"/>
      <c r="D269" s="24" t="str">
        <f aca="false">IF(C269="","",IFERROR(INDEX('Plan de Cuentas'!$B$5:$B$1241,MATCH(C269,'Plan de Cuentas'!$A$5:$A$1241,0)),"Código no encontrado"))</f>
        <v/>
      </c>
      <c r="E269" s="22"/>
      <c r="F269" s="25"/>
      <c r="G269" s="25"/>
    </row>
    <row r="270" customFormat="false" ht="15" hidden="false" customHeight="true" outlineLevel="0" collapsed="false">
      <c r="A270" s="21"/>
      <c r="B270" s="22"/>
      <c r="C270" s="23"/>
      <c r="D270" s="24" t="str">
        <f aca="false">IF(C270="","",IFERROR(INDEX('Plan de Cuentas'!$B$5:$B$1241,MATCH(C270,'Plan de Cuentas'!$A$5:$A$1241,0)),"Código no encontrado"))</f>
        <v/>
      </c>
      <c r="E270" s="22"/>
      <c r="F270" s="25"/>
      <c r="G270" s="25"/>
    </row>
    <row r="271" customFormat="false" ht="15" hidden="false" customHeight="true" outlineLevel="0" collapsed="false">
      <c r="A271" s="21"/>
      <c r="B271" s="22"/>
      <c r="C271" s="23"/>
      <c r="D271" s="24" t="str">
        <f aca="false">IF(C271="","",IFERROR(INDEX('Plan de Cuentas'!$B$5:$B$1241,MATCH(C271,'Plan de Cuentas'!$A$5:$A$1241,0)),"Código no encontrado"))</f>
        <v/>
      </c>
      <c r="E271" s="22"/>
      <c r="F271" s="25"/>
      <c r="G271" s="25"/>
    </row>
    <row r="272" customFormat="false" ht="15" hidden="false" customHeight="true" outlineLevel="0" collapsed="false">
      <c r="A272" s="21"/>
      <c r="B272" s="22"/>
      <c r="C272" s="23"/>
      <c r="D272" s="24" t="str">
        <f aca="false">IF(C272="","",IFERROR(INDEX('Plan de Cuentas'!$B$5:$B$1241,MATCH(C272,'Plan de Cuentas'!$A$5:$A$1241,0)),"Código no encontrado"))</f>
        <v/>
      </c>
      <c r="E272" s="22"/>
      <c r="F272" s="25"/>
      <c r="G272" s="25"/>
    </row>
    <row r="273" customFormat="false" ht="15" hidden="false" customHeight="true" outlineLevel="0" collapsed="false">
      <c r="A273" s="21"/>
      <c r="B273" s="22"/>
      <c r="C273" s="23"/>
      <c r="D273" s="24" t="str">
        <f aca="false">IF(C273="","",IFERROR(INDEX('Plan de Cuentas'!$B$5:$B$1241,MATCH(C273,'Plan de Cuentas'!$A$5:$A$1241,0)),"Código no encontrado"))</f>
        <v/>
      </c>
      <c r="E273" s="22"/>
      <c r="F273" s="25"/>
      <c r="G273" s="25"/>
    </row>
    <row r="274" customFormat="false" ht="15" hidden="false" customHeight="true" outlineLevel="0" collapsed="false">
      <c r="A274" s="21"/>
      <c r="B274" s="22"/>
      <c r="C274" s="23"/>
      <c r="D274" s="24" t="str">
        <f aca="false">IF(C274="","",IFERROR(INDEX('Plan de Cuentas'!$B$5:$B$1241,MATCH(C274,'Plan de Cuentas'!$A$5:$A$1241,0)),"Código no encontrado"))</f>
        <v/>
      </c>
      <c r="E274" s="22"/>
      <c r="F274" s="25"/>
      <c r="G274" s="25"/>
    </row>
    <row r="275" customFormat="false" ht="15" hidden="false" customHeight="true" outlineLevel="0" collapsed="false">
      <c r="A275" s="21"/>
      <c r="B275" s="22"/>
      <c r="C275" s="23"/>
      <c r="D275" s="24" t="str">
        <f aca="false">IF(C275="","",IFERROR(INDEX('Plan de Cuentas'!$B$5:$B$1241,MATCH(C275,'Plan de Cuentas'!$A$5:$A$1241,0)),"Código no encontrado"))</f>
        <v/>
      </c>
      <c r="E275" s="22"/>
      <c r="F275" s="25"/>
      <c r="G275" s="25"/>
    </row>
    <row r="276" customFormat="false" ht="15" hidden="false" customHeight="true" outlineLevel="0" collapsed="false">
      <c r="A276" s="21"/>
      <c r="B276" s="22"/>
      <c r="C276" s="23"/>
      <c r="D276" s="24" t="str">
        <f aca="false">IF(C276="","",IFERROR(INDEX('Plan de Cuentas'!$B$5:$B$1241,MATCH(C276,'Plan de Cuentas'!$A$5:$A$1241,0)),"Código no encontrado"))</f>
        <v/>
      </c>
      <c r="E276" s="22"/>
      <c r="F276" s="25"/>
      <c r="G276" s="25"/>
    </row>
    <row r="277" customFormat="false" ht="15" hidden="false" customHeight="true" outlineLevel="0" collapsed="false">
      <c r="A277" s="21"/>
      <c r="B277" s="22"/>
      <c r="C277" s="23"/>
      <c r="D277" s="24" t="str">
        <f aca="false">IF(C277="","",IFERROR(INDEX('Plan de Cuentas'!$B$5:$B$1241,MATCH(C277,'Plan de Cuentas'!$A$5:$A$1241,0)),"Código no encontrado"))</f>
        <v/>
      </c>
      <c r="E277" s="22"/>
      <c r="F277" s="25"/>
      <c r="G277" s="25"/>
    </row>
    <row r="278" customFormat="false" ht="15" hidden="false" customHeight="true" outlineLevel="0" collapsed="false">
      <c r="A278" s="21"/>
      <c r="B278" s="22"/>
      <c r="C278" s="23"/>
      <c r="D278" s="24" t="str">
        <f aca="false">IF(C278="","",IFERROR(INDEX('Plan de Cuentas'!$B$5:$B$1241,MATCH(C278,'Plan de Cuentas'!$A$5:$A$1241,0)),"Código no encontrado"))</f>
        <v/>
      </c>
      <c r="E278" s="22"/>
      <c r="F278" s="25"/>
      <c r="G278" s="25"/>
    </row>
    <row r="279" customFormat="false" ht="15" hidden="false" customHeight="true" outlineLevel="0" collapsed="false">
      <c r="A279" s="21"/>
      <c r="B279" s="22"/>
      <c r="C279" s="23"/>
      <c r="D279" s="24" t="str">
        <f aca="false">IF(C279="","",IFERROR(INDEX('Plan de Cuentas'!$B$5:$B$1241,MATCH(C279,'Plan de Cuentas'!$A$5:$A$1241,0)),"Código no encontrado"))</f>
        <v/>
      </c>
      <c r="E279" s="22"/>
      <c r="F279" s="25"/>
      <c r="G279" s="25"/>
    </row>
    <row r="280" customFormat="false" ht="15" hidden="false" customHeight="true" outlineLevel="0" collapsed="false">
      <c r="A280" s="21"/>
      <c r="B280" s="22"/>
      <c r="C280" s="23"/>
      <c r="D280" s="24" t="str">
        <f aca="false">IF(C280="","",IFERROR(INDEX('Plan de Cuentas'!$B$5:$B$1241,MATCH(C280,'Plan de Cuentas'!$A$5:$A$1241,0)),"Código no encontrado"))</f>
        <v/>
      </c>
      <c r="E280" s="22"/>
      <c r="F280" s="25"/>
      <c r="G280" s="25"/>
    </row>
    <row r="281" customFormat="false" ht="15" hidden="false" customHeight="true" outlineLevel="0" collapsed="false">
      <c r="A281" s="21"/>
      <c r="B281" s="22"/>
      <c r="C281" s="23"/>
      <c r="D281" s="24" t="str">
        <f aca="false">IF(C281="","",IFERROR(INDEX('Plan de Cuentas'!$B$5:$B$1241,MATCH(C281,'Plan de Cuentas'!$A$5:$A$1241,0)),"Código no encontrado"))</f>
        <v/>
      </c>
      <c r="E281" s="22"/>
      <c r="F281" s="25"/>
      <c r="G281" s="25"/>
    </row>
    <row r="282" customFormat="false" ht="15" hidden="false" customHeight="true" outlineLevel="0" collapsed="false">
      <c r="A282" s="21"/>
      <c r="B282" s="22"/>
      <c r="C282" s="23"/>
      <c r="D282" s="24" t="str">
        <f aca="false">IF(C282="","",IFERROR(INDEX('Plan de Cuentas'!$B$5:$B$1241,MATCH(C282,'Plan de Cuentas'!$A$5:$A$1241,0)),"Código no encontrado"))</f>
        <v/>
      </c>
      <c r="E282" s="22"/>
      <c r="F282" s="25"/>
      <c r="G282" s="25"/>
    </row>
    <row r="283" customFormat="false" ht="15" hidden="false" customHeight="true" outlineLevel="0" collapsed="false">
      <c r="A283" s="21"/>
      <c r="B283" s="22"/>
      <c r="C283" s="23"/>
      <c r="D283" s="24" t="str">
        <f aca="false">IF(C283="","",IFERROR(INDEX('Plan de Cuentas'!$B$5:$B$1241,MATCH(C283,'Plan de Cuentas'!$A$5:$A$1241,0)),"Código no encontrado"))</f>
        <v/>
      </c>
      <c r="E283" s="22"/>
      <c r="F283" s="25"/>
      <c r="G283" s="25"/>
    </row>
    <row r="284" customFormat="false" ht="15" hidden="false" customHeight="true" outlineLevel="0" collapsed="false">
      <c r="A284" s="21"/>
      <c r="B284" s="22"/>
      <c r="C284" s="23"/>
      <c r="D284" s="24" t="str">
        <f aca="false">IF(C284="","",IFERROR(INDEX('Plan de Cuentas'!$B$5:$B$1241,MATCH(C284,'Plan de Cuentas'!$A$5:$A$1241,0)),"Código no encontrado"))</f>
        <v/>
      </c>
      <c r="E284" s="22"/>
      <c r="F284" s="25"/>
      <c r="G284" s="25"/>
    </row>
    <row r="285" customFormat="false" ht="15" hidden="false" customHeight="true" outlineLevel="0" collapsed="false">
      <c r="A285" s="21"/>
      <c r="B285" s="22"/>
      <c r="C285" s="23"/>
      <c r="D285" s="24" t="str">
        <f aca="false">IF(C285="","",IFERROR(INDEX('Plan de Cuentas'!$B$5:$B$1241,MATCH(C285,'Plan de Cuentas'!$A$5:$A$1241,0)),"Código no encontrado"))</f>
        <v/>
      </c>
      <c r="E285" s="22"/>
      <c r="F285" s="25"/>
      <c r="G285" s="25"/>
    </row>
    <row r="286" customFormat="false" ht="15" hidden="false" customHeight="true" outlineLevel="0" collapsed="false">
      <c r="A286" s="21"/>
      <c r="B286" s="22"/>
      <c r="C286" s="23"/>
      <c r="D286" s="24" t="str">
        <f aca="false">IF(C286="","",IFERROR(INDEX('Plan de Cuentas'!$B$5:$B$1241,MATCH(C286,'Plan de Cuentas'!$A$5:$A$1241,0)),"Código no encontrado"))</f>
        <v/>
      </c>
      <c r="E286" s="22"/>
      <c r="F286" s="25"/>
      <c r="G286" s="25"/>
    </row>
    <row r="287" customFormat="false" ht="15" hidden="false" customHeight="true" outlineLevel="0" collapsed="false">
      <c r="A287" s="21"/>
      <c r="B287" s="22"/>
      <c r="C287" s="23"/>
      <c r="D287" s="24" t="str">
        <f aca="false">IF(C287="","",IFERROR(INDEX('Plan de Cuentas'!$B$5:$B$1241,MATCH(C287,'Plan de Cuentas'!$A$5:$A$1241,0)),"Código no encontrado"))</f>
        <v/>
      </c>
      <c r="E287" s="22"/>
      <c r="F287" s="25"/>
      <c r="G287" s="25"/>
    </row>
    <row r="288" customFormat="false" ht="15" hidden="false" customHeight="true" outlineLevel="0" collapsed="false">
      <c r="A288" s="21"/>
      <c r="B288" s="22"/>
      <c r="C288" s="23"/>
      <c r="D288" s="24" t="str">
        <f aca="false">IF(C288="","",IFERROR(INDEX('Plan de Cuentas'!$B$5:$B$1241,MATCH(C288,'Plan de Cuentas'!$A$5:$A$1241,0)),"Código no encontrado"))</f>
        <v/>
      </c>
      <c r="E288" s="22"/>
      <c r="F288" s="25"/>
      <c r="G288" s="25"/>
    </row>
    <row r="289" customFormat="false" ht="15" hidden="false" customHeight="true" outlineLevel="0" collapsed="false">
      <c r="A289" s="21"/>
      <c r="B289" s="22"/>
      <c r="C289" s="23"/>
      <c r="D289" s="24" t="str">
        <f aca="false">IF(C289="","",IFERROR(INDEX('Plan de Cuentas'!$B$5:$B$1241,MATCH(C289,'Plan de Cuentas'!$A$5:$A$1241,0)),"Código no encontrado"))</f>
        <v/>
      </c>
      <c r="E289" s="22"/>
      <c r="F289" s="25"/>
      <c r="G289" s="25"/>
    </row>
    <row r="290" customFormat="false" ht="15" hidden="false" customHeight="true" outlineLevel="0" collapsed="false">
      <c r="A290" s="21"/>
      <c r="B290" s="22"/>
      <c r="C290" s="23"/>
      <c r="D290" s="24" t="str">
        <f aca="false">IF(C290="","",IFERROR(INDEX('Plan de Cuentas'!$B$5:$B$1241,MATCH(C290,'Plan de Cuentas'!$A$5:$A$1241,0)),"Código no encontrado"))</f>
        <v/>
      </c>
      <c r="E290" s="22"/>
      <c r="F290" s="25"/>
      <c r="G290" s="25"/>
    </row>
    <row r="291" customFormat="false" ht="15" hidden="false" customHeight="true" outlineLevel="0" collapsed="false">
      <c r="A291" s="21"/>
      <c r="B291" s="22"/>
      <c r="C291" s="23"/>
      <c r="D291" s="24" t="str">
        <f aca="false">IF(C291="","",IFERROR(INDEX('Plan de Cuentas'!$B$5:$B$1241,MATCH(C291,'Plan de Cuentas'!$A$5:$A$1241,0)),"Código no encontrado"))</f>
        <v/>
      </c>
      <c r="E291" s="22"/>
      <c r="F291" s="25"/>
      <c r="G291" s="25"/>
    </row>
    <row r="292" customFormat="false" ht="15" hidden="false" customHeight="true" outlineLevel="0" collapsed="false">
      <c r="A292" s="21"/>
      <c r="B292" s="22"/>
      <c r="C292" s="23"/>
      <c r="D292" s="24" t="str">
        <f aca="false">IF(C292="","",IFERROR(INDEX('Plan de Cuentas'!$B$5:$B$1241,MATCH(C292,'Plan de Cuentas'!$A$5:$A$1241,0)),"Código no encontrado"))</f>
        <v/>
      </c>
      <c r="E292" s="22"/>
      <c r="F292" s="25"/>
      <c r="G292" s="25"/>
    </row>
    <row r="293" customFormat="false" ht="15" hidden="false" customHeight="true" outlineLevel="0" collapsed="false">
      <c r="A293" s="21"/>
      <c r="B293" s="22"/>
      <c r="C293" s="23"/>
      <c r="D293" s="24" t="str">
        <f aca="false">IF(C293="","",IFERROR(INDEX('Plan de Cuentas'!$B$5:$B$1241,MATCH(C293,'Plan de Cuentas'!$A$5:$A$1241,0)),"Código no encontrado"))</f>
        <v/>
      </c>
      <c r="E293" s="22"/>
      <c r="F293" s="25"/>
      <c r="G293" s="25"/>
    </row>
    <row r="294" customFormat="false" ht="15" hidden="false" customHeight="true" outlineLevel="0" collapsed="false">
      <c r="A294" s="21"/>
      <c r="B294" s="22"/>
      <c r="C294" s="23"/>
      <c r="D294" s="24" t="str">
        <f aca="false">IF(C294="","",IFERROR(INDEX('Plan de Cuentas'!$B$5:$B$1241,MATCH(C294,'Plan de Cuentas'!$A$5:$A$1241,0)),"Código no encontrado"))</f>
        <v/>
      </c>
      <c r="E294" s="22"/>
      <c r="F294" s="25"/>
      <c r="G294" s="25"/>
    </row>
    <row r="295" customFormat="false" ht="15" hidden="false" customHeight="true" outlineLevel="0" collapsed="false">
      <c r="A295" s="21"/>
      <c r="B295" s="22"/>
      <c r="C295" s="23"/>
      <c r="D295" s="24" t="str">
        <f aca="false">IF(C295="","",IFERROR(INDEX('Plan de Cuentas'!$B$5:$B$1241,MATCH(C295,'Plan de Cuentas'!$A$5:$A$1241,0)),"Código no encontrado"))</f>
        <v/>
      </c>
      <c r="E295" s="22"/>
      <c r="F295" s="25"/>
      <c r="G295" s="25"/>
    </row>
    <row r="296" customFormat="false" ht="15" hidden="false" customHeight="true" outlineLevel="0" collapsed="false">
      <c r="A296" s="21"/>
      <c r="B296" s="22"/>
      <c r="C296" s="23"/>
      <c r="D296" s="24" t="str">
        <f aca="false">IF(C296="","",IFERROR(INDEX('Plan de Cuentas'!$B$5:$B$1241,MATCH(C296,'Plan de Cuentas'!$A$5:$A$1241,0)),"Código no encontrado"))</f>
        <v/>
      </c>
      <c r="E296" s="22"/>
      <c r="F296" s="25"/>
      <c r="G296" s="25"/>
    </row>
    <row r="297" customFormat="false" ht="15" hidden="false" customHeight="true" outlineLevel="0" collapsed="false">
      <c r="A297" s="21"/>
      <c r="B297" s="22"/>
      <c r="C297" s="23"/>
      <c r="D297" s="24" t="str">
        <f aca="false">IF(C297="","",IFERROR(INDEX('Plan de Cuentas'!$B$5:$B$1241,MATCH(C297,'Plan de Cuentas'!$A$5:$A$1241,0)),"Código no encontrado"))</f>
        <v/>
      </c>
      <c r="E297" s="22"/>
      <c r="F297" s="25"/>
      <c r="G297" s="25"/>
    </row>
    <row r="298" customFormat="false" ht="15" hidden="false" customHeight="true" outlineLevel="0" collapsed="false">
      <c r="A298" s="21"/>
      <c r="B298" s="22"/>
      <c r="C298" s="23"/>
      <c r="D298" s="24" t="str">
        <f aca="false">IF(C298="","",IFERROR(INDEX('Plan de Cuentas'!$B$5:$B$1241,MATCH(C298,'Plan de Cuentas'!$A$5:$A$1241,0)),"Código no encontrado"))</f>
        <v/>
      </c>
      <c r="E298" s="22"/>
      <c r="F298" s="25"/>
      <c r="G298" s="25"/>
    </row>
    <row r="299" customFormat="false" ht="15" hidden="false" customHeight="true" outlineLevel="0" collapsed="false">
      <c r="A299" s="21"/>
      <c r="B299" s="22"/>
      <c r="C299" s="23"/>
      <c r="D299" s="24" t="str">
        <f aca="false">IF(C299="","",IFERROR(INDEX('Plan de Cuentas'!$B$5:$B$1241,MATCH(C299,'Plan de Cuentas'!$A$5:$A$1241,0)),"Código no encontrado"))</f>
        <v/>
      </c>
      <c r="E299" s="22"/>
      <c r="F299" s="25"/>
      <c r="G299" s="25"/>
    </row>
    <row r="300" customFormat="false" ht="15" hidden="false" customHeight="true" outlineLevel="0" collapsed="false">
      <c r="A300" s="21"/>
      <c r="B300" s="22"/>
      <c r="C300" s="23"/>
      <c r="D300" s="24" t="str">
        <f aca="false">IF(C300="","",IFERROR(INDEX('Plan de Cuentas'!$B$5:$B$1241,MATCH(C300,'Plan de Cuentas'!$A$5:$A$1241,0)),"Código no encontrado"))</f>
        <v/>
      </c>
      <c r="E300" s="22"/>
      <c r="F300" s="25"/>
      <c r="G300" s="25"/>
    </row>
    <row r="301" customFormat="false" ht="15" hidden="false" customHeight="true" outlineLevel="0" collapsed="false">
      <c r="A301" s="21"/>
      <c r="B301" s="22"/>
      <c r="C301" s="23"/>
      <c r="D301" s="24" t="str">
        <f aca="false">IF(C301="","",IFERROR(INDEX('Plan de Cuentas'!$B$5:$B$1241,MATCH(C301,'Plan de Cuentas'!$A$5:$A$1241,0)),"Código no encontrado"))</f>
        <v/>
      </c>
      <c r="E301" s="22"/>
      <c r="F301" s="25"/>
      <c r="G301" s="25"/>
    </row>
    <row r="302" customFormat="false" ht="15" hidden="false" customHeight="true" outlineLevel="0" collapsed="false">
      <c r="A302" s="21"/>
      <c r="B302" s="22"/>
      <c r="C302" s="23"/>
      <c r="D302" s="24" t="str">
        <f aca="false">IF(C302="","",IFERROR(INDEX('Plan de Cuentas'!$B$5:$B$1241,MATCH(C302,'Plan de Cuentas'!$A$5:$A$1241,0)),"Código no encontrado"))</f>
        <v/>
      </c>
      <c r="E302" s="22"/>
      <c r="F302" s="25"/>
      <c r="G302" s="25"/>
    </row>
    <row r="303" customFormat="false" ht="15" hidden="false" customHeight="true" outlineLevel="0" collapsed="false">
      <c r="A303" s="21"/>
      <c r="B303" s="22"/>
      <c r="C303" s="23"/>
      <c r="D303" s="24" t="str">
        <f aca="false">IF(C303="","",IFERROR(INDEX('Plan de Cuentas'!$B$5:$B$1241,MATCH(C303,'Plan de Cuentas'!$A$5:$A$1241,0)),"Código no encontrado"))</f>
        <v/>
      </c>
      <c r="E303" s="22"/>
      <c r="F303" s="25"/>
      <c r="G303" s="25"/>
    </row>
    <row r="304" customFormat="false" ht="15" hidden="false" customHeight="true" outlineLevel="0" collapsed="false">
      <c r="A304" s="21"/>
      <c r="B304" s="22"/>
      <c r="C304" s="23"/>
      <c r="D304" s="24" t="str">
        <f aca="false">IF(C304="","",IFERROR(INDEX('Plan de Cuentas'!$B$5:$B$1241,MATCH(C304,'Plan de Cuentas'!$A$5:$A$1241,0)),"Código no encontrado"))</f>
        <v/>
      </c>
      <c r="E304" s="22"/>
      <c r="F304" s="25"/>
      <c r="G304" s="25"/>
    </row>
    <row r="305" customFormat="false" ht="15" hidden="false" customHeight="true" outlineLevel="0" collapsed="false">
      <c r="A305" s="21"/>
      <c r="B305" s="22"/>
      <c r="C305" s="23"/>
      <c r="D305" s="24" t="str">
        <f aca="false">IF(C305="","",IFERROR(INDEX('Plan de Cuentas'!$B$5:$B$1241,MATCH(C305,'Plan de Cuentas'!$A$5:$A$1241,0)),"Código no encontrado"))</f>
        <v/>
      </c>
      <c r="E305" s="22"/>
      <c r="F305" s="25"/>
      <c r="G305" s="25"/>
    </row>
    <row r="306" customFormat="false" ht="15" hidden="false" customHeight="true" outlineLevel="0" collapsed="false">
      <c r="A306" s="21"/>
      <c r="B306" s="22"/>
      <c r="C306" s="23"/>
      <c r="D306" s="24" t="str">
        <f aca="false">IF(C306="","",IFERROR(INDEX('Plan de Cuentas'!$B$5:$B$1241,MATCH(C306,'Plan de Cuentas'!$A$5:$A$1241,0)),"Código no encontrado"))</f>
        <v/>
      </c>
      <c r="E306" s="22"/>
      <c r="F306" s="25"/>
      <c r="G306" s="25"/>
    </row>
    <row r="307" customFormat="false" ht="15" hidden="false" customHeight="true" outlineLevel="0" collapsed="false">
      <c r="A307" s="21"/>
      <c r="B307" s="22"/>
      <c r="C307" s="23"/>
      <c r="D307" s="24" t="str">
        <f aca="false">IF(C307="","",IFERROR(INDEX('Plan de Cuentas'!$B$5:$B$1241,MATCH(C307,'Plan de Cuentas'!$A$5:$A$1241,0)),"Código no encontrado"))</f>
        <v/>
      </c>
      <c r="E307" s="22"/>
      <c r="F307" s="25"/>
      <c r="G307" s="25"/>
    </row>
    <row r="308" customFormat="false" ht="15" hidden="false" customHeight="true" outlineLevel="0" collapsed="false">
      <c r="A308" s="21"/>
      <c r="B308" s="22"/>
      <c r="C308" s="23"/>
      <c r="D308" s="24" t="str">
        <f aca="false">IF(C308="","",IFERROR(INDEX('Plan de Cuentas'!$B$5:$B$1241,MATCH(C308,'Plan de Cuentas'!$A$5:$A$1241,0)),"Código no encontrado"))</f>
        <v/>
      </c>
      <c r="E308" s="22"/>
      <c r="F308" s="25"/>
      <c r="G308" s="25"/>
    </row>
    <row r="309" customFormat="false" ht="15" hidden="false" customHeight="true" outlineLevel="0" collapsed="false">
      <c r="A309" s="21"/>
      <c r="B309" s="22"/>
      <c r="C309" s="23"/>
      <c r="D309" s="24" t="str">
        <f aca="false">IF(C309="","",IFERROR(INDEX('Plan de Cuentas'!$B$5:$B$1241,MATCH(C309,'Plan de Cuentas'!$A$5:$A$1241,0)),"Código no encontrado"))</f>
        <v/>
      </c>
      <c r="E309" s="22"/>
      <c r="F309" s="25"/>
      <c r="G309" s="25"/>
    </row>
    <row r="310" customFormat="false" ht="15" hidden="false" customHeight="true" outlineLevel="0" collapsed="false">
      <c r="A310" s="21"/>
      <c r="B310" s="22"/>
      <c r="C310" s="23"/>
      <c r="D310" s="24" t="str">
        <f aca="false">IF(C310="","",IFERROR(INDEX('Plan de Cuentas'!$B$5:$B$1241,MATCH(C310,'Plan de Cuentas'!$A$5:$A$1241,0)),"Código no encontrado"))</f>
        <v/>
      </c>
      <c r="E310" s="22"/>
      <c r="F310" s="25"/>
      <c r="G310" s="25"/>
    </row>
    <row r="311" customFormat="false" ht="15" hidden="false" customHeight="true" outlineLevel="0" collapsed="false">
      <c r="A311" s="21"/>
      <c r="B311" s="22"/>
      <c r="C311" s="23"/>
      <c r="D311" s="24" t="str">
        <f aca="false">IF(C311="","",IFERROR(INDEX('Plan de Cuentas'!$B$5:$B$1241,MATCH(C311,'Plan de Cuentas'!$A$5:$A$1241,0)),"Código no encontrado"))</f>
        <v/>
      </c>
      <c r="E311" s="22"/>
      <c r="F311" s="25"/>
      <c r="G311" s="25"/>
    </row>
    <row r="312" customFormat="false" ht="15" hidden="false" customHeight="true" outlineLevel="0" collapsed="false">
      <c r="A312" s="21"/>
      <c r="B312" s="22"/>
      <c r="C312" s="23"/>
      <c r="D312" s="24" t="str">
        <f aca="false">IF(C312="","",IFERROR(INDEX('Plan de Cuentas'!$B$5:$B$1241,MATCH(C312,'Plan de Cuentas'!$A$5:$A$1241,0)),"Código no encontrado"))</f>
        <v/>
      </c>
      <c r="E312" s="22"/>
      <c r="F312" s="25"/>
      <c r="G312" s="25"/>
    </row>
    <row r="313" customFormat="false" ht="15" hidden="false" customHeight="true" outlineLevel="0" collapsed="false">
      <c r="A313" s="21"/>
      <c r="B313" s="22"/>
      <c r="C313" s="23"/>
      <c r="D313" s="24" t="str">
        <f aca="false">IF(C313="","",IFERROR(INDEX('Plan de Cuentas'!$B$5:$B$1241,MATCH(C313,'Plan de Cuentas'!$A$5:$A$1241,0)),"Código no encontrado"))</f>
        <v/>
      </c>
      <c r="E313" s="22"/>
      <c r="F313" s="25"/>
      <c r="G313" s="25"/>
    </row>
    <row r="314" customFormat="false" ht="15" hidden="false" customHeight="true" outlineLevel="0" collapsed="false">
      <c r="A314" s="21"/>
      <c r="B314" s="22"/>
      <c r="C314" s="23"/>
      <c r="D314" s="24" t="str">
        <f aca="false">IF(C314="","",IFERROR(INDEX('Plan de Cuentas'!$B$5:$B$1241,MATCH(C314,'Plan de Cuentas'!$A$5:$A$1241,0)),"Código no encontrado"))</f>
        <v/>
      </c>
      <c r="E314" s="22"/>
      <c r="F314" s="25"/>
      <c r="G314" s="25"/>
    </row>
    <row r="315" customFormat="false" ht="15" hidden="false" customHeight="true" outlineLevel="0" collapsed="false">
      <c r="A315" s="21"/>
      <c r="B315" s="22"/>
      <c r="C315" s="23"/>
      <c r="D315" s="24" t="str">
        <f aca="false">IF(C315="","",IFERROR(INDEX('Plan de Cuentas'!$B$5:$B$1241,MATCH(C315,'Plan de Cuentas'!$A$5:$A$1241,0)),"Código no encontrado"))</f>
        <v/>
      </c>
      <c r="E315" s="22"/>
      <c r="F315" s="25"/>
      <c r="G315" s="25"/>
    </row>
    <row r="316" customFormat="false" ht="15" hidden="false" customHeight="true" outlineLevel="0" collapsed="false">
      <c r="A316" s="21"/>
      <c r="B316" s="22"/>
      <c r="C316" s="23"/>
      <c r="D316" s="24" t="str">
        <f aca="false">IF(C316="","",IFERROR(INDEX('Plan de Cuentas'!$B$5:$B$1241,MATCH(C316,'Plan de Cuentas'!$A$5:$A$1241,0)),"Código no encontrado"))</f>
        <v/>
      </c>
      <c r="E316" s="22"/>
      <c r="F316" s="25"/>
      <c r="G316" s="25"/>
    </row>
    <row r="317" customFormat="false" ht="15" hidden="false" customHeight="true" outlineLevel="0" collapsed="false">
      <c r="A317" s="21"/>
      <c r="B317" s="22"/>
      <c r="C317" s="23"/>
      <c r="D317" s="24" t="str">
        <f aca="false">IF(C317="","",IFERROR(INDEX('Plan de Cuentas'!$B$5:$B$1241,MATCH(C317,'Plan de Cuentas'!$A$5:$A$1241,0)),"Código no encontrado"))</f>
        <v/>
      </c>
      <c r="E317" s="22"/>
      <c r="F317" s="25"/>
      <c r="G317" s="25"/>
    </row>
    <row r="318" customFormat="false" ht="15" hidden="false" customHeight="true" outlineLevel="0" collapsed="false">
      <c r="A318" s="21"/>
      <c r="B318" s="22"/>
      <c r="C318" s="23"/>
      <c r="D318" s="24" t="str">
        <f aca="false">IF(C318="","",IFERROR(INDEX('Plan de Cuentas'!$B$5:$B$1241,MATCH(C318,'Plan de Cuentas'!$A$5:$A$1241,0)),"Código no encontrado"))</f>
        <v/>
      </c>
      <c r="E318" s="22"/>
      <c r="F318" s="25"/>
      <c r="G318" s="25"/>
    </row>
    <row r="319" customFormat="false" ht="15" hidden="false" customHeight="true" outlineLevel="0" collapsed="false">
      <c r="A319" s="21"/>
      <c r="B319" s="22"/>
      <c r="C319" s="23"/>
      <c r="D319" s="24" t="str">
        <f aca="false">IF(C319="","",IFERROR(INDEX('Plan de Cuentas'!$B$5:$B$1241,MATCH(C319,'Plan de Cuentas'!$A$5:$A$1241,0)),"Código no encontrado"))</f>
        <v/>
      </c>
      <c r="E319" s="22"/>
      <c r="F319" s="25"/>
      <c r="G319" s="25"/>
    </row>
    <row r="320" customFormat="false" ht="15" hidden="false" customHeight="true" outlineLevel="0" collapsed="false">
      <c r="A320" s="21"/>
      <c r="B320" s="22"/>
      <c r="C320" s="23"/>
      <c r="D320" s="24" t="str">
        <f aca="false">IF(C320="","",IFERROR(INDEX('Plan de Cuentas'!$B$5:$B$1241,MATCH(C320,'Plan de Cuentas'!$A$5:$A$1241,0)),"Código no encontrado"))</f>
        <v/>
      </c>
      <c r="E320" s="22"/>
      <c r="F320" s="25"/>
      <c r="G320" s="25"/>
    </row>
    <row r="321" customFormat="false" ht="15" hidden="false" customHeight="true" outlineLevel="0" collapsed="false">
      <c r="A321" s="21"/>
      <c r="B321" s="22"/>
      <c r="C321" s="23"/>
      <c r="D321" s="24" t="str">
        <f aca="false">IF(C321="","",IFERROR(INDEX('Plan de Cuentas'!$B$5:$B$1241,MATCH(C321,'Plan de Cuentas'!$A$5:$A$1241,0)),"Código no encontrado"))</f>
        <v/>
      </c>
      <c r="E321" s="22"/>
      <c r="F321" s="25"/>
      <c r="G321" s="25"/>
    </row>
    <row r="322" customFormat="false" ht="15" hidden="false" customHeight="true" outlineLevel="0" collapsed="false">
      <c r="A322" s="21"/>
      <c r="B322" s="22"/>
      <c r="C322" s="23"/>
      <c r="D322" s="24" t="str">
        <f aca="false">IF(C322="","",IFERROR(INDEX('Plan de Cuentas'!$B$5:$B$1241,MATCH(C322,'Plan de Cuentas'!$A$5:$A$1241,0)),"Código no encontrado"))</f>
        <v/>
      </c>
      <c r="E322" s="22"/>
      <c r="F322" s="25"/>
      <c r="G322" s="25"/>
    </row>
    <row r="323" customFormat="false" ht="15" hidden="false" customHeight="true" outlineLevel="0" collapsed="false">
      <c r="A323" s="21"/>
      <c r="B323" s="22"/>
      <c r="C323" s="23"/>
      <c r="D323" s="24" t="str">
        <f aca="false">IF(C323="","",IFERROR(INDEX('Plan de Cuentas'!$B$5:$B$1241,MATCH(C323,'Plan de Cuentas'!$A$5:$A$1241,0)),"Código no encontrado"))</f>
        <v/>
      </c>
      <c r="E323" s="22"/>
      <c r="F323" s="25"/>
      <c r="G323" s="25"/>
    </row>
    <row r="324" customFormat="false" ht="15" hidden="false" customHeight="true" outlineLevel="0" collapsed="false">
      <c r="A324" s="21"/>
      <c r="B324" s="22"/>
      <c r="C324" s="23"/>
      <c r="D324" s="24" t="str">
        <f aca="false">IF(C324="","",IFERROR(INDEX('Plan de Cuentas'!$B$5:$B$1241,MATCH(C324,'Plan de Cuentas'!$A$5:$A$1241,0)),"Código no encontrado"))</f>
        <v/>
      </c>
      <c r="E324" s="22"/>
      <c r="F324" s="25"/>
      <c r="G324" s="25"/>
    </row>
    <row r="325" customFormat="false" ht="15" hidden="false" customHeight="true" outlineLevel="0" collapsed="false">
      <c r="A325" s="21"/>
      <c r="B325" s="22"/>
      <c r="C325" s="23"/>
      <c r="D325" s="24" t="str">
        <f aca="false">IF(C325="","",IFERROR(INDEX('Plan de Cuentas'!$B$5:$B$1241,MATCH(C325,'Plan de Cuentas'!$A$5:$A$1241,0)),"Código no encontrado"))</f>
        <v/>
      </c>
      <c r="E325" s="22"/>
      <c r="F325" s="25"/>
      <c r="G325" s="25"/>
    </row>
    <row r="326" customFormat="false" ht="15" hidden="false" customHeight="true" outlineLevel="0" collapsed="false">
      <c r="A326" s="21"/>
      <c r="B326" s="22"/>
      <c r="C326" s="23"/>
      <c r="D326" s="24" t="str">
        <f aca="false">IF(C326="","",IFERROR(INDEX('Plan de Cuentas'!$B$5:$B$1241,MATCH(C326,'Plan de Cuentas'!$A$5:$A$1241,0)),"Código no encontrado"))</f>
        <v/>
      </c>
      <c r="E326" s="22"/>
      <c r="F326" s="25"/>
      <c r="G326" s="25"/>
    </row>
    <row r="327" customFormat="false" ht="15" hidden="false" customHeight="true" outlineLevel="0" collapsed="false">
      <c r="A327" s="21"/>
      <c r="B327" s="22"/>
      <c r="C327" s="23"/>
      <c r="D327" s="24" t="str">
        <f aca="false">IF(C327="","",IFERROR(INDEX('Plan de Cuentas'!$B$5:$B$1241,MATCH(C327,'Plan de Cuentas'!$A$5:$A$1241,0)),"Código no encontrado"))</f>
        <v/>
      </c>
      <c r="E327" s="22"/>
      <c r="F327" s="25"/>
      <c r="G327" s="25"/>
    </row>
    <row r="328" customFormat="false" ht="15" hidden="false" customHeight="true" outlineLevel="0" collapsed="false">
      <c r="A328" s="21"/>
      <c r="B328" s="22"/>
      <c r="C328" s="23"/>
      <c r="D328" s="24" t="str">
        <f aca="false">IF(C328="","",IFERROR(INDEX('Plan de Cuentas'!$B$5:$B$1241,MATCH(C328,'Plan de Cuentas'!$A$5:$A$1241,0)),"Código no encontrado"))</f>
        <v/>
      </c>
      <c r="E328" s="22"/>
      <c r="F328" s="25"/>
      <c r="G328" s="25"/>
    </row>
    <row r="329" customFormat="false" ht="15" hidden="false" customHeight="true" outlineLevel="0" collapsed="false">
      <c r="A329" s="21"/>
      <c r="B329" s="22"/>
      <c r="C329" s="23"/>
      <c r="D329" s="24" t="str">
        <f aca="false">IF(C329="","",IFERROR(INDEX('Plan de Cuentas'!$B$5:$B$1241,MATCH(C329,'Plan de Cuentas'!$A$5:$A$1241,0)),"Código no encontrado"))</f>
        <v/>
      </c>
      <c r="E329" s="22"/>
      <c r="F329" s="25"/>
      <c r="G329" s="25"/>
    </row>
    <row r="330" customFormat="false" ht="15" hidden="false" customHeight="true" outlineLevel="0" collapsed="false">
      <c r="A330" s="21"/>
      <c r="B330" s="22"/>
      <c r="C330" s="23"/>
      <c r="D330" s="24" t="str">
        <f aca="false">IF(C330="","",IFERROR(INDEX('Plan de Cuentas'!$B$5:$B$1241,MATCH(C330,'Plan de Cuentas'!$A$5:$A$1241,0)),"Código no encontrado"))</f>
        <v/>
      </c>
      <c r="E330" s="22"/>
      <c r="F330" s="25"/>
      <c r="G330" s="25"/>
    </row>
    <row r="331" customFormat="false" ht="15" hidden="false" customHeight="true" outlineLevel="0" collapsed="false">
      <c r="A331" s="21"/>
      <c r="B331" s="22"/>
      <c r="C331" s="23"/>
      <c r="D331" s="24" t="str">
        <f aca="false">IF(C331="","",IFERROR(INDEX('Plan de Cuentas'!$B$5:$B$1241,MATCH(C331,'Plan de Cuentas'!$A$5:$A$1241,0)),"Código no encontrado"))</f>
        <v/>
      </c>
      <c r="E331" s="22"/>
      <c r="F331" s="25"/>
      <c r="G331" s="25"/>
    </row>
    <row r="332" customFormat="false" ht="15" hidden="false" customHeight="true" outlineLevel="0" collapsed="false">
      <c r="A332" s="21"/>
      <c r="B332" s="22"/>
      <c r="C332" s="23"/>
      <c r="D332" s="24" t="str">
        <f aca="false">IF(C332="","",IFERROR(INDEX('Plan de Cuentas'!$B$5:$B$1241,MATCH(C332,'Plan de Cuentas'!$A$5:$A$1241,0)),"Código no encontrado"))</f>
        <v/>
      </c>
      <c r="E332" s="22"/>
      <c r="F332" s="25"/>
      <c r="G332" s="25"/>
    </row>
    <row r="333" customFormat="false" ht="15" hidden="false" customHeight="true" outlineLevel="0" collapsed="false">
      <c r="A333" s="21"/>
      <c r="B333" s="22"/>
      <c r="C333" s="23"/>
      <c r="D333" s="24" t="str">
        <f aca="false">IF(C333="","",IFERROR(INDEX('Plan de Cuentas'!$B$5:$B$1241,MATCH(C333,'Plan de Cuentas'!$A$5:$A$1241,0)),"Código no encontrado"))</f>
        <v/>
      </c>
      <c r="E333" s="22"/>
      <c r="F333" s="25"/>
      <c r="G333" s="25"/>
    </row>
    <row r="334" customFormat="false" ht="15" hidden="false" customHeight="true" outlineLevel="0" collapsed="false">
      <c r="A334" s="21"/>
      <c r="B334" s="22"/>
      <c r="C334" s="23"/>
      <c r="D334" s="24" t="str">
        <f aca="false">IF(C334="","",IFERROR(INDEX('Plan de Cuentas'!$B$5:$B$1241,MATCH(C334,'Plan de Cuentas'!$A$5:$A$1241,0)),"Código no encontrado"))</f>
        <v/>
      </c>
      <c r="E334" s="22"/>
      <c r="F334" s="25"/>
      <c r="G334" s="25"/>
    </row>
    <row r="335" customFormat="false" ht="15" hidden="false" customHeight="true" outlineLevel="0" collapsed="false">
      <c r="A335" s="21"/>
      <c r="B335" s="22"/>
      <c r="C335" s="23"/>
      <c r="D335" s="24" t="str">
        <f aca="false">IF(C335="","",IFERROR(INDEX('Plan de Cuentas'!$B$5:$B$1241,MATCH(C335,'Plan de Cuentas'!$A$5:$A$1241,0)),"Código no encontrado"))</f>
        <v/>
      </c>
      <c r="E335" s="22"/>
      <c r="F335" s="25"/>
      <c r="G335" s="25"/>
    </row>
    <row r="336" customFormat="false" ht="15" hidden="false" customHeight="true" outlineLevel="0" collapsed="false">
      <c r="A336" s="21"/>
      <c r="B336" s="22"/>
      <c r="C336" s="23"/>
      <c r="D336" s="24" t="str">
        <f aca="false">IF(C336="","",IFERROR(INDEX('Plan de Cuentas'!$B$5:$B$1241,MATCH(C336,'Plan de Cuentas'!$A$5:$A$1241,0)),"Código no encontrado"))</f>
        <v/>
      </c>
      <c r="E336" s="22"/>
      <c r="F336" s="25"/>
      <c r="G336" s="25"/>
    </row>
    <row r="337" customFormat="false" ht="15" hidden="false" customHeight="true" outlineLevel="0" collapsed="false">
      <c r="A337" s="21"/>
      <c r="B337" s="22"/>
      <c r="C337" s="23"/>
      <c r="D337" s="24" t="str">
        <f aca="false">IF(C337="","",IFERROR(INDEX('Plan de Cuentas'!$B$5:$B$1241,MATCH(C337,'Plan de Cuentas'!$A$5:$A$1241,0)),"Código no encontrado"))</f>
        <v/>
      </c>
      <c r="E337" s="22"/>
      <c r="F337" s="25"/>
      <c r="G337" s="25"/>
    </row>
    <row r="338" customFormat="false" ht="15" hidden="false" customHeight="true" outlineLevel="0" collapsed="false">
      <c r="A338" s="21"/>
      <c r="B338" s="22"/>
      <c r="C338" s="23"/>
      <c r="D338" s="24" t="str">
        <f aca="false">IF(C338="","",IFERROR(INDEX('Plan de Cuentas'!$B$5:$B$1241,MATCH(C338,'Plan de Cuentas'!$A$5:$A$1241,0)),"Código no encontrado"))</f>
        <v/>
      </c>
      <c r="E338" s="22"/>
      <c r="F338" s="25"/>
      <c r="G338" s="25"/>
    </row>
    <row r="339" customFormat="false" ht="15" hidden="false" customHeight="true" outlineLevel="0" collapsed="false">
      <c r="A339" s="21"/>
      <c r="B339" s="22"/>
      <c r="C339" s="23"/>
      <c r="D339" s="24" t="str">
        <f aca="false">IF(C339="","",IFERROR(INDEX('Plan de Cuentas'!$B$5:$B$1241,MATCH(C339,'Plan de Cuentas'!$A$5:$A$1241,0)),"Código no encontrado"))</f>
        <v/>
      </c>
      <c r="E339" s="22"/>
      <c r="F339" s="25"/>
      <c r="G339" s="25"/>
    </row>
    <row r="340" customFormat="false" ht="15" hidden="false" customHeight="true" outlineLevel="0" collapsed="false">
      <c r="A340" s="21"/>
      <c r="B340" s="22"/>
      <c r="C340" s="23"/>
      <c r="D340" s="24" t="str">
        <f aca="false">IF(C340="","",IFERROR(INDEX('Plan de Cuentas'!$B$5:$B$1241,MATCH(C340,'Plan de Cuentas'!$A$5:$A$1241,0)),"Código no encontrado"))</f>
        <v/>
      </c>
      <c r="E340" s="22"/>
      <c r="F340" s="25"/>
      <c r="G340" s="25"/>
    </row>
    <row r="341" customFormat="false" ht="15" hidden="false" customHeight="true" outlineLevel="0" collapsed="false">
      <c r="A341" s="21"/>
      <c r="B341" s="22"/>
      <c r="C341" s="23"/>
      <c r="D341" s="24" t="str">
        <f aca="false">IF(C341="","",IFERROR(INDEX('Plan de Cuentas'!$B$5:$B$1241,MATCH(C341,'Plan de Cuentas'!$A$5:$A$1241,0)),"Código no encontrado"))</f>
        <v/>
      </c>
      <c r="E341" s="22"/>
      <c r="F341" s="25"/>
      <c r="G341" s="25"/>
    </row>
    <row r="342" customFormat="false" ht="15" hidden="false" customHeight="true" outlineLevel="0" collapsed="false">
      <c r="A342" s="21"/>
      <c r="B342" s="22"/>
      <c r="C342" s="23"/>
      <c r="D342" s="24" t="str">
        <f aca="false">IF(C342="","",IFERROR(INDEX('Plan de Cuentas'!$B$5:$B$1241,MATCH(C342,'Plan de Cuentas'!$A$5:$A$1241,0)),"Código no encontrado"))</f>
        <v/>
      </c>
      <c r="E342" s="22"/>
      <c r="F342" s="25"/>
      <c r="G342" s="25"/>
    </row>
    <row r="343" customFormat="false" ht="15" hidden="false" customHeight="true" outlineLevel="0" collapsed="false">
      <c r="A343" s="21"/>
      <c r="B343" s="22"/>
      <c r="C343" s="23"/>
      <c r="D343" s="24" t="str">
        <f aca="false">IF(C343="","",IFERROR(INDEX('Plan de Cuentas'!$B$5:$B$1241,MATCH(C343,'Plan de Cuentas'!$A$5:$A$1241,0)),"Código no encontrado"))</f>
        <v/>
      </c>
      <c r="E343" s="22"/>
      <c r="F343" s="25"/>
      <c r="G343" s="25"/>
    </row>
    <row r="344" customFormat="false" ht="15" hidden="false" customHeight="true" outlineLevel="0" collapsed="false">
      <c r="A344" s="21"/>
      <c r="B344" s="22"/>
      <c r="C344" s="23"/>
      <c r="D344" s="24" t="str">
        <f aca="false">IF(C344="","",IFERROR(INDEX('Plan de Cuentas'!$B$5:$B$1241,MATCH(C344,'Plan de Cuentas'!$A$5:$A$1241,0)),"Código no encontrado"))</f>
        <v/>
      </c>
      <c r="E344" s="22"/>
      <c r="F344" s="25"/>
      <c r="G344" s="25"/>
    </row>
    <row r="345" customFormat="false" ht="15" hidden="false" customHeight="true" outlineLevel="0" collapsed="false">
      <c r="A345" s="21"/>
      <c r="B345" s="22"/>
      <c r="C345" s="23"/>
      <c r="D345" s="24" t="str">
        <f aca="false">IF(C345="","",IFERROR(INDEX('Plan de Cuentas'!$B$5:$B$1241,MATCH(C345,'Plan de Cuentas'!$A$5:$A$1241,0)),"Código no encontrado"))</f>
        <v/>
      </c>
      <c r="E345" s="22"/>
      <c r="F345" s="25"/>
      <c r="G345" s="25"/>
    </row>
    <row r="346" customFormat="false" ht="15" hidden="false" customHeight="true" outlineLevel="0" collapsed="false">
      <c r="A346" s="21"/>
      <c r="B346" s="22"/>
      <c r="C346" s="23"/>
      <c r="D346" s="24" t="str">
        <f aca="false">IF(C346="","",IFERROR(INDEX('Plan de Cuentas'!$B$5:$B$1241,MATCH(C346,'Plan de Cuentas'!$A$5:$A$1241,0)),"Código no encontrado"))</f>
        <v/>
      </c>
      <c r="E346" s="22"/>
      <c r="F346" s="25"/>
      <c r="G346" s="25"/>
    </row>
    <row r="347" customFormat="false" ht="15" hidden="false" customHeight="true" outlineLevel="0" collapsed="false">
      <c r="A347" s="21"/>
      <c r="B347" s="22"/>
      <c r="C347" s="23"/>
      <c r="D347" s="24" t="str">
        <f aca="false">IF(C347="","",IFERROR(INDEX('Plan de Cuentas'!$B$5:$B$1241,MATCH(C347,'Plan de Cuentas'!$A$5:$A$1241,0)),"Código no encontrado"))</f>
        <v/>
      </c>
      <c r="E347" s="22"/>
      <c r="F347" s="25"/>
      <c r="G347" s="25"/>
    </row>
    <row r="348" customFormat="false" ht="15" hidden="false" customHeight="true" outlineLevel="0" collapsed="false">
      <c r="A348" s="21"/>
      <c r="B348" s="22"/>
      <c r="C348" s="23"/>
      <c r="D348" s="24" t="str">
        <f aca="false">IF(C348="","",IFERROR(INDEX('Plan de Cuentas'!$B$5:$B$1241,MATCH(C348,'Plan de Cuentas'!$A$5:$A$1241,0)),"Código no encontrado"))</f>
        <v/>
      </c>
      <c r="E348" s="22"/>
      <c r="F348" s="25"/>
      <c r="G348" s="25"/>
    </row>
    <row r="349" customFormat="false" ht="15" hidden="false" customHeight="true" outlineLevel="0" collapsed="false">
      <c r="A349" s="21"/>
      <c r="B349" s="22"/>
      <c r="C349" s="23"/>
      <c r="D349" s="24" t="str">
        <f aca="false">IF(C349="","",IFERROR(INDEX('Plan de Cuentas'!$B$5:$B$1241,MATCH(C349,'Plan de Cuentas'!$A$5:$A$1241,0)),"Código no encontrado"))</f>
        <v/>
      </c>
      <c r="E349" s="22"/>
      <c r="F349" s="25"/>
      <c r="G349" s="25"/>
    </row>
    <row r="350" customFormat="false" ht="15" hidden="false" customHeight="true" outlineLevel="0" collapsed="false">
      <c r="A350" s="21"/>
      <c r="B350" s="22"/>
      <c r="C350" s="23"/>
      <c r="D350" s="24" t="str">
        <f aca="false">IF(C350="","",IFERROR(INDEX('Plan de Cuentas'!$B$5:$B$1241,MATCH(C350,'Plan de Cuentas'!$A$5:$A$1241,0)),"Código no encontrado"))</f>
        <v/>
      </c>
      <c r="E350" s="22"/>
      <c r="F350" s="25"/>
      <c r="G350" s="25"/>
    </row>
    <row r="351" customFormat="false" ht="15" hidden="false" customHeight="true" outlineLevel="0" collapsed="false">
      <c r="A351" s="21"/>
      <c r="B351" s="22"/>
      <c r="C351" s="23"/>
      <c r="D351" s="24" t="str">
        <f aca="false">IF(C351="","",IFERROR(INDEX('Plan de Cuentas'!$B$5:$B$1241,MATCH(C351,'Plan de Cuentas'!$A$5:$A$1241,0)),"Código no encontrado"))</f>
        <v/>
      </c>
      <c r="E351" s="22"/>
      <c r="F351" s="25"/>
      <c r="G351" s="25"/>
    </row>
    <row r="352" customFormat="false" ht="15" hidden="false" customHeight="true" outlineLevel="0" collapsed="false">
      <c r="A352" s="21"/>
      <c r="B352" s="22"/>
      <c r="C352" s="23"/>
      <c r="D352" s="24" t="str">
        <f aca="false">IF(C352="","",IFERROR(INDEX('Plan de Cuentas'!$B$5:$B$1241,MATCH(C352,'Plan de Cuentas'!$A$5:$A$1241,0)),"Código no encontrado"))</f>
        <v/>
      </c>
      <c r="E352" s="22"/>
      <c r="F352" s="25"/>
      <c r="G352" s="25"/>
    </row>
    <row r="353" customFormat="false" ht="15" hidden="false" customHeight="true" outlineLevel="0" collapsed="false">
      <c r="A353" s="21"/>
      <c r="B353" s="22"/>
      <c r="C353" s="23"/>
      <c r="D353" s="24" t="str">
        <f aca="false">IF(C353="","",IFERROR(INDEX('Plan de Cuentas'!$B$5:$B$1241,MATCH(C353,'Plan de Cuentas'!$A$5:$A$1241,0)),"Código no encontrado"))</f>
        <v/>
      </c>
      <c r="E353" s="22"/>
      <c r="F353" s="25"/>
      <c r="G353" s="25"/>
    </row>
    <row r="354" customFormat="false" ht="15" hidden="false" customHeight="true" outlineLevel="0" collapsed="false">
      <c r="A354" s="21"/>
      <c r="B354" s="22"/>
      <c r="C354" s="23"/>
      <c r="D354" s="24" t="str">
        <f aca="false">IF(C354="","",IFERROR(INDEX('Plan de Cuentas'!$B$5:$B$1241,MATCH(C354,'Plan de Cuentas'!$A$5:$A$1241,0)),"Código no encontrado"))</f>
        <v/>
      </c>
      <c r="E354" s="22"/>
      <c r="F354" s="25"/>
      <c r="G354" s="25"/>
    </row>
    <row r="355" customFormat="false" ht="15" hidden="false" customHeight="true" outlineLevel="0" collapsed="false">
      <c r="A355" s="21"/>
      <c r="B355" s="22"/>
      <c r="C355" s="23"/>
      <c r="D355" s="24" t="str">
        <f aca="false">IF(C355="","",IFERROR(INDEX('Plan de Cuentas'!$B$5:$B$1241,MATCH(C355,'Plan de Cuentas'!$A$5:$A$1241,0)),"Código no encontrado"))</f>
        <v/>
      </c>
      <c r="E355" s="22"/>
      <c r="F355" s="25"/>
      <c r="G355" s="25"/>
    </row>
    <row r="356" customFormat="false" ht="15" hidden="false" customHeight="true" outlineLevel="0" collapsed="false">
      <c r="A356" s="21"/>
      <c r="B356" s="22"/>
      <c r="C356" s="23"/>
      <c r="D356" s="24" t="str">
        <f aca="false">IF(C356="","",IFERROR(INDEX('Plan de Cuentas'!$B$5:$B$1241,MATCH(C356,'Plan de Cuentas'!$A$5:$A$1241,0)),"Código no encontrado"))</f>
        <v/>
      </c>
      <c r="E356" s="22"/>
      <c r="F356" s="25"/>
      <c r="G356" s="25"/>
    </row>
    <row r="357" customFormat="false" ht="15" hidden="false" customHeight="true" outlineLevel="0" collapsed="false">
      <c r="A357" s="21"/>
      <c r="B357" s="22"/>
      <c r="C357" s="23"/>
      <c r="D357" s="24" t="str">
        <f aca="false">IF(C357="","",IFERROR(INDEX('Plan de Cuentas'!$B$5:$B$1241,MATCH(C357,'Plan de Cuentas'!$A$5:$A$1241,0)),"Código no encontrado"))</f>
        <v/>
      </c>
      <c r="E357" s="22"/>
      <c r="F357" s="25"/>
      <c r="G357" s="25"/>
    </row>
    <row r="358" customFormat="false" ht="15" hidden="false" customHeight="true" outlineLevel="0" collapsed="false">
      <c r="A358" s="21"/>
      <c r="B358" s="22"/>
      <c r="C358" s="23"/>
      <c r="D358" s="24" t="str">
        <f aca="false">IF(C358="","",IFERROR(INDEX('Plan de Cuentas'!$B$5:$B$1241,MATCH(C358,'Plan de Cuentas'!$A$5:$A$1241,0)),"Código no encontrado"))</f>
        <v/>
      </c>
      <c r="E358" s="22"/>
      <c r="F358" s="25"/>
      <c r="G358" s="25"/>
    </row>
    <row r="359" customFormat="false" ht="15" hidden="false" customHeight="true" outlineLevel="0" collapsed="false">
      <c r="A359" s="21"/>
      <c r="B359" s="22"/>
      <c r="C359" s="23"/>
      <c r="D359" s="24" t="str">
        <f aca="false">IF(C359="","",IFERROR(INDEX('Plan de Cuentas'!$B$5:$B$1241,MATCH(C359,'Plan de Cuentas'!$A$5:$A$1241,0)),"Código no encontrado"))</f>
        <v/>
      </c>
      <c r="E359" s="22"/>
      <c r="F359" s="25"/>
      <c r="G359" s="25"/>
    </row>
    <row r="360" customFormat="false" ht="15" hidden="false" customHeight="true" outlineLevel="0" collapsed="false">
      <c r="A360" s="21"/>
      <c r="B360" s="22"/>
      <c r="C360" s="23"/>
      <c r="D360" s="24" t="str">
        <f aca="false">IF(C360="","",IFERROR(INDEX('Plan de Cuentas'!$B$5:$B$1241,MATCH(C360,'Plan de Cuentas'!$A$5:$A$1241,0)),"Código no encontrado"))</f>
        <v/>
      </c>
      <c r="E360" s="22"/>
      <c r="F360" s="25"/>
      <c r="G360" s="25"/>
    </row>
    <row r="361" customFormat="false" ht="15" hidden="false" customHeight="true" outlineLevel="0" collapsed="false">
      <c r="A361" s="21"/>
      <c r="B361" s="22"/>
      <c r="C361" s="23"/>
      <c r="D361" s="24" t="str">
        <f aca="false">IF(C361="","",IFERROR(INDEX('Plan de Cuentas'!$B$5:$B$1241,MATCH(C361,'Plan de Cuentas'!$A$5:$A$1241,0)),"Código no encontrado"))</f>
        <v/>
      </c>
      <c r="E361" s="22"/>
      <c r="F361" s="25"/>
      <c r="G361" s="25"/>
    </row>
    <row r="362" customFormat="false" ht="15" hidden="false" customHeight="true" outlineLevel="0" collapsed="false">
      <c r="A362" s="21"/>
      <c r="B362" s="22"/>
      <c r="C362" s="23"/>
      <c r="D362" s="24" t="str">
        <f aca="false">IF(C362="","",IFERROR(INDEX('Plan de Cuentas'!$B$5:$B$1241,MATCH(C362,'Plan de Cuentas'!$A$5:$A$1241,0)),"Código no encontrado"))</f>
        <v/>
      </c>
      <c r="E362" s="22"/>
      <c r="F362" s="25"/>
      <c r="G362" s="25"/>
    </row>
    <row r="363" customFormat="false" ht="15" hidden="false" customHeight="true" outlineLevel="0" collapsed="false">
      <c r="A363" s="21"/>
      <c r="B363" s="22"/>
      <c r="C363" s="23"/>
      <c r="D363" s="24" t="str">
        <f aca="false">IF(C363="","",IFERROR(INDEX('Plan de Cuentas'!$B$5:$B$1241,MATCH(C363,'Plan de Cuentas'!$A$5:$A$1241,0)),"Código no encontrado"))</f>
        <v/>
      </c>
      <c r="E363" s="22"/>
      <c r="F363" s="25"/>
      <c r="G363" s="25"/>
    </row>
    <row r="364" customFormat="false" ht="15" hidden="false" customHeight="true" outlineLevel="0" collapsed="false">
      <c r="A364" s="21"/>
      <c r="B364" s="22"/>
      <c r="C364" s="23"/>
      <c r="D364" s="24" t="str">
        <f aca="false">IF(C364="","",IFERROR(INDEX('Plan de Cuentas'!$B$5:$B$1241,MATCH(C364,'Plan de Cuentas'!$A$5:$A$1241,0)),"Código no encontrado"))</f>
        <v/>
      </c>
      <c r="E364" s="22"/>
      <c r="F364" s="25"/>
      <c r="G364" s="25"/>
    </row>
    <row r="365" customFormat="false" ht="15" hidden="false" customHeight="true" outlineLevel="0" collapsed="false">
      <c r="A365" s="21"/>
      <c r="B365" s="22"/>
      <c r="C365" s="23"/>
      <c r="D365" s="24" t="str">
        <f aca="false">IF(C365="","",IFERROR(INDEX('Plan de Cuentas'!$B$5:$B$1241,MATCH(C365,'Plan de Cuentas'!$A$5:$A$1241,0)),"Código no encontrado"))</f>
        <v/>
      </c>
      <c r="E365" s="22"/>
      <c r="F365" s="25"/>
      <c r="G365" s="25"/>
    </row>
    <row r="366" customFormat="false" ht="15" hidden="false" customHeight="true" outlineLevel="0" collapsed="false">
      <c r="A366" s="21"/>
      <c r="B366" s="22"/>
      <c r="C366" s="23"/>
      <c r="D366" s="24" t="str">
        <f aca="false">IF(C366="","",IFERROR(INDEX('Plan de Cuentas'!$B$5:$B$1241,MATCH(C366,'Plan de Cuentas'!$A$5:$A$1241,0)),"Código no encontrado"))</f>
        <v/>
      </c>
      <c r="E366" s="22"/>
      <c r="F366" s="25"/>
      <c r="G366" s="25"/>
    </row>
    <row r="367" customFormat="false" ht="15" hidden="false" customHeight="true" outlineLevel="0" collapsed="false">
      <c r="A367" s="21"/>
      <c r="B367" s="22"/>
      <c r="C367" s="23"/>
      <c r="D367" s="24" t="str">
        <f aca="false">IF(C367="","",IFERROR(INDEX('Plan de Cuentas'!$B$5:$B$1241,MATCH(C367,'Plan de Cuentas'!$A$5:$A$1241,0)),"Código no encontrado"))</f>
        <v/>
      </c>
      <c r="E367" s="22"/>
      <c r="F367" s="25"/>
      <c r="G367" s="25"/>
    </row>
    <row r="368" customFormat="false" ht="15" hidden="false" customHeight="true" outlineLevel="0" collapsed="false">
      <c r="A368" s="21"/>
      <c r="B368" s="22"/>
      <c r="C368" s="23"/>
      <c r="D368" s="24" t="str">
        <f aca="false">IF(C368="","",IFERROR(INDEX('Plan de Cuentas'!$B$5:$B$1241,MATCH(C368,'Plan de Cuentas'!$A$5:$A$1241,0)),"Código no encontrado"))</f>
        <v/>
      </c>
      <c r="E368" s="22"/>
      <c r="F368" s="25"/>
      <c r="G368" s="25"/>
    </row>
    <row r="369" customFormat="false" ht="15" hidden="false" customHeight="true" outlineLevel="0" collapsed="false">
      <c r="A369" s="21"/>
      <c r="B369" s="22"/>
      <c r="C369" s="23"/>
      <c r="D369" s="24" t="str">
        <f aca="false">IF(C369="","",IFERROR(INDEX('Plan de Cuentas'!$B$5:$B$1241,MATCH(C369,'Plan de Cuentas'!$A$5:$A$1241,0)),"Código no encontrado"))</f>
        <v/>
      </c>
      <c r="E369" s="22"/>
      <c r="F369" s="25"/>
      <c r="G369" s="25"/>
    </row>
    <row r="370" customFormat="false" ht="15" hidden="false" customHeight="true" outlineLevel="0" collapsed="false">
      <c r="A370" s="21"/>
      <c r="B370" s="22"/>
      <c r="C370" s="23"/>
      <c r="D370" s="24" t="str">
        <f aca="false">IF(C370="","",IFERROR(INDEX('Plan de Cuentas'!$B$5:$B$1241,MATCH(C370,'Plan de Cuentas'!$A$5:$A$1241,0)),"Código no encontrado"))</f>
        <v/>
      </c>
      <c r="E370" s="22"/>
      <c r="F370" s="25"/>
      <c r="G370" s="25"/>
    </row>
    <row r="371" customFormat="false" ht="15" hidden="false" customHeight="true" outlineLevel="0" collapsed="false">
      <c r="A371" s="21"/>
      <c r="B371" s="22"/>
      <c r="C371" s="23"/>
      <c r="D371" s="24" t="str">
        <f aca="false">IF(C371="","",IFERROR(INDEX('Plan de Cuentas'!$B$5:$B$1241,MATCH(C371,'Plan de Cuentas'!$A$5:$A$1241,0)),"Código no encontrado"))</f>
        <v/>
      </c>
      <c r="E371" s="22"/>
      <c r="F371" s="25"/>
      <c r="G371" s="25"/>
    </row>
    <row r="372" customFormat="false" ht="15" hidden="false" customHeight="true" outlineLevel="0" collapsed="false">
      <c r="A372" s="21"/>
      <c r="B372" s="22"/>
      <c r="C372" s="23"/>
      <c r="D372" s="24" t="str">
        <f aca="false">IF(C372="","",IFERROR(INDEX('Plan de Cuentas'!$B$5:$B$1241,MATCH(C372,'Plan de Cuentas'!$A$5:$A$1241,0)),"Código no encontrado"))</f>
        <v/>
      </c>
      <c r="E372" s="22"/>
      <c r="F372" s="25"/>
      <c r="G372" s="25"/>
    </row>
    <row r="373" customFormat="false" ht="15" hidden="false" customHeight="true" outlineLevel="0" collapsed="false">
      <c r="A373" s="21"/>
      <c r="B373" s="22"/>
      <c r="C373" s="23"/>
      <c r="D373" s="24" t="str">
        <f aca="false">IF(C373="","",IFERROR(INDEX('Plan de Cuentas'!$B$5:$B$1241,MATCH(C373,'Plan de Cuentas'!$A$5:$A$1241,0)),"Código no encontrado"))</f>
        <v/>
      </c>
      <c r="E373" s="22"/>
      <c r="F373" s="25"/>
      <c r="G373" s="25"/>
    </row>
    <row r="374" customFormat="false" ht="15" hidden="false" customHeight="true" outlineLevel="0" collapsed="false">
      <c r="A374" s="21"/>
      <c r="B374" s="22"/>
      <c r="C374" s="23"/>
      <c r="D374" s="24" t="str">
        <f aca="false">IF(C374="","",IFERROR(INDEX('Plan de Cuentas'!$B$5:$B$1241,MATCH(C374,'Plan de Cuentas'!$A$5:$A$1241,0)),"Código no encontrado"))</f>
        <v/>
      </c>
      <c r="E374" s="22"/>
      <c r="F374" s="25"/>
      <c r="G374" s="25"/>
    </row>
    <row r="375" customFormat="false" ht="15" hidden="false" customHeight="true" outlineLevel="0" collapsed="false">
      <c r="A375" s="21"/>
      <c r="B375" s="22"/>
      <c r="C375" s="23"/>
      <c r="D375" s="24" t="str">
        <f aca="false">IF(C375="","",IFERROR(INDEX('Plan de Cuentas'!$B$5:$B$1241,MATCH(C375,'Plan de Cuentas'!$A$5:$A$1241,0)),"Código no encontrado"))</f>
        <v/>
      </c>
      <c r="E375" s="22"/>
      <c r="F375" s="25"/>
      <c r="G375" s="25"/>
    </row>
    <row r="376" customFormat="false" ht="15" hidden="false" customHeight="true" outlineLevel="0" collapsed="false">
      <c r="A376" s="21"/>
      <c r="B376" s="22"/>
      <c r="C376" s="23"/>
      <c r="D376" s="24" t="str">
        <f aca="false">IF(C376="","",IFERROR(INDEX('Plan de Cuentas'!$B$5:$B$1241,MATCH(C376,'Plan de Cuentas'!$A$5:$A$1241,0)),"Código no encontrado"))</f>
        <v/>
      </c>
      <c r="E376" s="22"/>
      <c r="F376" s="25"/>
      <c r="G376" s="25"/>
    </row>
    <row r="377" customFormat="false" ht="15" hidden="false" customHeight="true" outlineLevel="0" collapsed="false">
      <c r="A377" s="21"/>
      <c r="B377" s="22"/>
      <c r="C377" s="23"/>
      <c r="D377" s="24" t="str">
        <f aca="false">IF(C377="","",IFERROR(INDEX('Plan de Cuentas'!$B$5:$B$1241,MATCH(C377,'Plan de Cuentas'!$A$5:$A$1241,0)),"Código no encontrado"))</f>
        <v/>
      </c>
      <c r="E377" s="22"/>
      <c r="F377" s="25"/>
      <c r="G377" s="25"/>
    </row>
    <row r="378" customFormat="false" ht="15" hidden="false" customHeight="true" outlineLevel="0" collapsed="false">
      <c r="A378" s="21"/>
      <c r="B378" s="22"/>
      <c r="C378" s="23"/>
      <c r="D378" s="24" t="str">
        <f aca="false">IF(C378="","",IFERROR(INDEX('Plan de Cuentas'!$B$5:$B$1241,MATCH(C378,'Plan de Cuentas'!$A$5:$A$1241,0)),"Código no encontrado"))</f>
        <v/>
      </c>
      <c r="E378" s="22"/>
      <c r="F378" s="25"/>
      <c r="G378" s="25"/>
    </row>
    <row r="379" customFormat="false" ht="15" hidden="false" customHeight="true" outlineLevel="0" collapsed="false">
      <c r="A379" s="21"/>
      <c r="B379" s="22"/>
      <c r="C379" s="23"/>
      <c r="D379" s="24" t="str">
        <f aca="false">IF(C379="","",IFERROR(INDEX('Plan de Cuentas'!$B$5:$B$1241,MATCH(C379,'Plan de Cuentas'!$A$5:$A$1241,0)),"Código no encontrado"))</f>
        <v/>
      </c>
      <c r="E379" s="22"/>
      <c r="F379" s="25"/>
      <c r="G379" s="25"/>
    </row>
    <row r="380" customFormat="false" ht="15" hidden="false" customHeight="true" outlineLevel="0" collapsed="false">
      <c r="A380" s="21"/>
      <c r="B380" s="22"/>
      <c r="C380" s="23"/>
      <c r="D380" s="24" t="str">
        <f aca="false">IF(C380="","",IFERROR(INDEX('Plan de Cuentas'!$B$5:$B$1241,MATCH(C380,'Plan de Cuentas'!$A$5:$A$1241,0)),"Código no encontrado"))</f>
        <v/>
      </c>
      <c r="E380" s="22"/>
      <c r="F380" s="25"/>
      <c r="G380" s="25"/>
    </row>
    <row r="381" customFormat="false" ht="15" hidden="false" customHeight="true" outlineLevel="0" collapsed="false">
      <c r="A381" s="21"/>
      <c r="B381" s="22"/>
      <c r="C381" s="23"/>
      <c r="D381" s="24" t="str">
        <f aca="false">IF(C381="","",IFERROR(INDEX('Plan de Cuentas'!$B$5:$B$1241,MATCH(C381,'Plan de Cuentas'!$A$5:$A$1241,0)),"Código no encontrado"))</f>
        <v/>
      </c>
      <c r="E381" s="22"/>
      <c r="F381" s="25"/>
      <c r="G381" s="25"/>
    </row>
    <row r="382" customFormat="false" ht="15" hidden="false" customHeight="true" outlineLevel="0" collapsed="false">
      <c r="A382" s="21"/>
      <c r="B382" s="22"/>
      <c r="C382" s="23"/>
      <c r="D382" s="24" t="str">
        <f aca="false">IF(C382="","",IFERROR(INDEX('Plan de Cuentas'!$B$5:$B$1241,MATCH(C382,'Plan de Cuentas'!$A$5:$A$1241,0)),"Código no encontrado"))</f>
        <v/>
      </c>
      <c r="E382" s="22"/>
      <c r="F382" s="25"/>
      <c r="G382" s="25"/>
    </row>
    <row r="383" customFormat="false" ht="15" hidden="false" customHeight="true" outlineLevel="0" collapsed="false">
      <c r="A383" s="21"/>
      <c r="B383" s="22"/>
      <c r="C383" s="23"/>
      <c r="D383" s="24" t="str">
        <f aca="false">IF(C383="","",IFERROR(INDEX('Plan de Cuentas'!$B$5:$B$1241,MATCH(C383,'Plan de Cuentas'!$A$5:$A$1241,0)),"Código no encontrado"))</f>
        <v/>
      </c>
      <c r="E383" s="22"/>
      <c r="F383" s="25"/>
      <c r="G383" s="25"/>
    </row>
    <row r="384" customFormat="false" ht="15" hidden="false" customHeight="true" outlineLevel="0" collapsed="false">
      <c r="A384" s="21"/>
      <c r="B384" s="22"/>
      <c r="C384" s="23"/>
      <c r="D384" s="24" t="str">
        <f aca="false">IF(C384="","",IFERROR(INDEX('Plan de Cuentas'!$B$5:$B$1241,MATCH(C384,'Plan de Cuentas'!$A$5:$A$1241,0)),"Código no encontrado"))</f>
        <v/>
      </c>
      <c r="E384" s="22"/>
      <c r="F384" s="25"/>
      <c r="G384" s="25"/>
    </row>
    <row r="385" customFormat="false" ht="15" hidden="false" customHeight="true" outlineLevel="0" collapsed="false">
      <c r="A385" s="21"/>
      <c r="B385" s="22"/>
      <c r="C385" s="23"/>
      <c r="D385" s="24" t="str">
        <f aca="false">IF(C385="","",IFERROR(INDEX('Plan de Cuentas'!$B$5:$B$1241,MATCH(C385,'Plan de Cuentas'!$A$5:$A$1241,0)),"Código no encontrado"))</f>
        <v/>
      </c>
      <c r="E385" s="22"/>
      <c r="F385" s="25"/>
      <c r="G385" s="25"/>
    </row>
    <row r="386" customFormat="false" ht="15" hidden="false" customHeight="true" outlineLevel="0" collapsed="false">
      <c r="A386" s="21"/>
      <c r="B386" s="22"/>
      <c r="C386" s="23"/>
      <c r="D386" s="24" t="str">
        <f aca="false">IF(C386="","",IFERROR(INDEX('Plan de Cuentas'!$B$5:$B$1241,MATCH(C386,'Plan de Cuentas'!$A$5:$A$1241,0)),"Código no encontrado"))</f>
        <v/>
      </c>
      <c r="E386" s="22"/>
      <c r="F386" s="25"/>
      <c r="G386" s="25"/>
    </row>
    <row r="387" customFormat="false" ht="15" hidden="false" customHeight="true" outlineLevel="0" collapsed="false">
      <c r="A387" s="21"/>
      <c r="B387" s="22"/>
      <c r="C387" s="23"/>
      <c r="D387" s="24" t="str">
        <f aca="false">IF(C387="","",IFERROR(INDEX('Plan de Cuentas'!$B$5:$B$1241,MATCH(C387,'Plan de Cuentas'!$A$5:$A$1241,0)),"Código no encontrado"))</f>
        <v/>
      </c>
      <c r="E387" s="22"/>
      <c r="F387" s="25"/>
      <c r="G387" s="25"/>
    </row>
    <row r="388" customFormat="false" ht="15" hidden="false" customHeight="true" outlineLevel="0" collapsed="false">
      <c r="A388" s="21"/>
      <c r="B388" s="22"/>
      <c r="C388" s="23"/>
      <c r="D388" s="24" t="str">
        <f aca="false">IF(C388="","",IFERROR(INDEX('Plan de Cuentas'!$B$5:$B$1241,MATCH(C388,'Plan de Cuentas'!$A$5:$A$1241,0)),"Código no encontrado"))</f>
        <v/>
      </c>
      <c r="E388" s="22"/>
      <c r="F388" s="25"/>
      <c r="G388" s="25"/>
    </row>
    <row r="389" customFormat="false" ht="15" hidden="false" customHeight="true" outlineLevel="0" collapsed="false">
      <c r="A389" s="21"/>
      <c r="B389" s="22"/>
      <c r="C389" s="23"/>
      <c r="D389" s="24" t="str">
        <f aca="false">IF(C389="","",IFERROR(INDEX('Plan de Cuentas'!$B$5:$B$1241,MATCH(C389,'Plan de Cuentas'!$A$5:$A$1241,0)),"Código no encontrado"))</f>
        <v/>
      </c>
      <c r="E389" s="22"/>
      <c r="F389" s="25"/>
      <c r="G389" s="25"/>
    </row>
    <row r="390" customFormat="false" ht="15" hidden="false" customHeight="true" outlineLevel="0" collapsed="false">
      <c r="A390" s="21"/>
      <c r="B390" s="22"/>
      <c r="C390" s="23"/>
      <c r="D390" s="24" t="str">
        <f aca="false">IF(C390="","",IFERROR(INDEX('Plan de Cuentas'!$B$5:$B$1241,MATCH(C390,'Plan de Cuentas'!$A$5:$A$1241,0)),"Código no encontrado"))</f>
        <v/>
      </c>
      <c r="E390" s="22"/>
      <c r="F390" s="25"/>
      <c r="G390" s="25"/>
    </row>
    <row r="391" customFormat="false" ht="15" hidden="false" customHeight="true" outlineLevel="0" collapsed="false">
      <c r="A391" s="21"/>
      <c r="B391" s="22"/>
      <c r="C391" s="23"/>
      <c r="D391" s="24" t="str">
        <f aca="false">IF(C391="","",IFERROR(INDEX('Plan de Cuentas'!$B$5:$B$1241,MATCH(C391,'Plan de Cuentas'!$A$5:$A$1241,0)),"Código no encontrado"))</f>
        <v/>
      </c>
      <c r="E391" s="22"/>
      <c r="F391" s="25"/>
      <c r="G391" s="25"/>
    </row>
    <row r="392" customFormat="false" ht="15" hidden="false" customHeight="true" outlineLevel="0" collapsed="false">
      <c r="A392" s="21"/>
      <c r="B392" s="22"/>
      <c r="C392" s="23"/>
      <c r="D392" s="24" t="str">
        <f aca="false">IF(C392="","",IFERROR(INDEX('Plan de Cuentas'!$B$5:$B$1241,MATCH(C392,'Plan de Cuentas'!$A$5:$A$1241,0)),"Código no encontrado"))</f>
        <v/>
      </c>
      <c r="E392" s="22"/>
      <c r="F392" s="25"/>
      <c r="G392" s="25"/>
    </row>
    <row r="393" customFormat="false" ht="15" hidden="false" customHeight="true" outlineLevel="0" collapsed="false">
      <c r="A393" s="21"/>
      <c r="B393" s="22"/>
      <c r="C393" s="23"/>
      <c r="D393" s="24" t="str">
        <f aca="false">IF(C393="","",IFERROR(INDEX('Plan de Cuentas'!$B$5:$B$1241,MATCH(C393,'Plan de Cuentas'!$A$5:$A$1241,0)),"Código no encontrado"))</f>
        <v/>
      </c>
      <c r="E393" s="22"/>
      <c r="F393" s="25"/>
      <c r="G393" s="25"/>
    </row>
    <row r="394" customFormat="false" ht="15" hidden="false" customHeight="true" outlineLevel="0" collapsed="false">
      <c r="A394" s="21"/>
      <c r="B394" s="22"/>
      <c r="C394" s="23"/>
      <c r="D394" s="24" t="str">
        <f aca="false">IF(C394="","",IFERROR(INDEX('Plan de Cuentas'!$B$5:$B$1241,MATCH(C394,'Plan de Cuentas'!$A$5:$A$1241,0)),"Código no encontrado"))</f>
        <v/>
      </c>
      <c r="E394" s="22"/>
      <c r="F394" s="25"/>
      <c r="G394" s="25"/>
    </row>
    <row r="395" customFormat="false" ht="15" hidden="false" customHeight="true" outlineLevel="0" collapsed="false">
      <c r="A395" s="21"/>
      <c r="B395" s="22"/>
      <c r="C395" s="23"/>
      <c r="D395" s="24" t="str">
        <f aca="false">IF(C395="","",IFERROR(INDEX('Plan de Cuentas'!$B$5:$B$1241,MATCH(C395,'Plan de Cuentas'!$A$5:$A$1241,0)),"Código no encontrado"))</f>
        <v/>
      </c>
      <c r="E395" s="22"/>
      <c r="F395" s="25"/>
      <c r="G395" s="25"/>
    </row>
    <row r="396" customFormat="false" ht="15" hidden="false" customHeight="true" outlineLevel="0" collapsed="false">
      <c r="A396" s="21"/>
      <c r="B396" s="22"/>
      <c r="C396" s="23"/>
      <c r="D396" s="24" t="str">
        <f aca="false">IF(C396="","",IFERROR(INDEX('Plan de Cuentas'!$B$5:$B$1241,MATCH(C396,'Plan de Cuentas'!$A$5:$A$1241,0)),"Código no encontrado"))</f>
        <v/>
      </c>
      <c r="E396" s="22"/>
      <c r="F396" s="25"/>
      <c r="G396" s="25"/>
    </row>
    <row r="397" customFormat="false" ht="15" hidden="false" customHeight="true" outlineLevel="0" collapsed="false">
      <c r="A397" s="21"/>
      <c r="B397" s="22"/>
      <c r="C397" s="23"/>
      <c r="D397" s="24" t="str">
        <f aca="false">IF(C397="","",IFERROR(INDEX('Plan de Cuentas'!$B$5:$B$1241,MATCH(C397,'Plan de Cuentas'!$A$5:$A$1241,0)),"Código no encontrado"))</f>
        <v/>
      </c>
      <c r="E397" s="22"/>
      <c r="F397" s="25"/>
      <c r="G397" s="25"/>
    </row>
    <row r="398" customFormat="false" ht="15" hidden="false" customHeight="true" outlineLevel="0" collapsed="false">
      <c r="A398" s="21"/>
      <c r="B398" s="22"/>
      <c r="C398" s="23"/>
      <c r="D398" s="24" t="str">
        <f aca="false">IF(C398="","",IFERROR(INDEX('Plan de Cuentas'!$B$5:$B$1241,MATCH(C398,'Plan de Cuentas'!$A$5:$A$1241,0)),"Código no encontrado"))</f>
        <v/>
      </c>
      <c r="E398" s="22"/>
      <c r="F398" s="25"/>
      <c r="G398" s="25"/>
    </row>
    <row r="399" customFormat="false" ht="15" hidden="false" customHeight="true" outlineLevel="0" collapsed="false">
      <c r="A399" s="21"/>
      <c r="B399" s="22"/>
      <c r="C399" s="23"/>
      <c r="D399" s="24" t="str">
        <f aca="false">IF(C399="","",IFERROR(INDEX('Plan de Cuentas'!$B$5:$B$1241,MATCH(C399,'Plan de Cuentas'!$A$5:$A$1241,0)),"Código no encontrado"))</f>
        <v/>
      </c>
      <c r="E399" s="22"/>
      <c r="F399" s="25"/>
      <c r="G399" s="25"/>
    </row>
    <row r="400" customFormat="false" ht="15" hidden="false" customHeight="true" outlineLevel="0" collapsed="false">
      <c r="A400" s="21"/>
      <c r="B400" s="22"/>
      <c r="C400" s="23"/>
      <c r="D400" s="24" t="str">
        <f aca="false">IF(C400="","",IFERROR(INDEX('Plan de Cuentas'!$B$5:$B$1241,MATCH(C400,'Plan de Cuentas'!$A$5:$A$1241,0)),"Código no encontrado"))</f>
        <v/>
      </c>
      <c r="E400" s="22"/>
      <c r="F400" s="25"/>
      <c r="G400" s="25"/>
    </row>
    <row r="401" customFormat="false" ht="15" hidden="false" customHeight="true" outlineLevel="0" collapsed="false">
      <c r="A401" s="21"/>
      <c r="B401" s="22"/>
      <c r="C401" s="23"/>
      <c r="D401" s="24" t="str">
        <f aca="false">IF(C401="","",IFERROR(INDEX('Plan de Cuentas'!$B$5:$B$1241,MATCH(C401,'Plan de Cuentas'!$A$5:$A$1241,0)),"Código no encontrado"))</f>
        <v/>
      </c>
      <c r="E401" s="22"/>
      <c r="F401" s="25"/>
      <c r="G401" s="25"/>
    </row>
    <row r="402" customFormat="false" ht="15" hidden="false" customHeight="true" outlineLevel="0" collapsed="false">
      <c r="A402" s="21"/>
      <c r="B402" s="22"/>
      <c r="C402" s="23"/>
      <c r="D402" s="24" t="str">
        <f aca="false">IF(C402="","",IFERROR(INDEX('Plan de Cuentas'!$B$5:$B$1241,MATCH(C402,'Plan de Cuentas'!$A$5:$A$1241,0)),"Código no encontrado"))</f>
        <v/>
      </c>
      <c r="E402" s="22"/>
      <c r="F402" s="25"/>
      <c r="G402" s="25"/>
    </row>
    <row r="403" customFormat="false" ht="15" hidden="false" customHeight="true" outlineLevel="0" collapsed="false">
      <c r="A403" s="21"/>
      <c r="B403" s="22"/>
      <c r="C403" s="23"/>
      <c r="D403" s="24" t="str">
        <f aca="false">IF(C403="","",IFERROR(INDEX('Plan de Cuentas'!$B$5:$B$1241,MATCH(C403,'Plan de Cuentas'!$A$5:$A$1241,0)),"Código no encontrado"))</f>
        <v/>
      </c>
      <c r="E403" s="22"/>
      <c r="F403" s="25"/>
      <c r="G403" s="25"/>
    </row>
    <row r="404" customFormat="false" ht="15" hidden="false" customHeight="true" outlineLevel="0" collapsed="false">
      <c r="A404" s="21"/>
      <c r="B404" s="22"/>
      <c r="C404" s="23"/>
      <c r="D404" s="24" t="str">
        <f aca="false">IF(C404="","",IFERROR(INDEX('Plan de Cuentas'!$B$5:$B$1241,MATCH(C404,'Plan de Cuentas'!$A$5:$A$1241,0)),"Código no encontrado"))</f>
        <v/>
      </c>
      <c r="E404" s="22"/>
      <c r="F404" s="25"/>
      <c r="G404" s="25"/>
    </row>
    <row r="405" customFormat="false" ht="15" hidden="false" customHeight="true" outlineLevel="0" collapsed="false">
      <c r="A405" s="21"/>
      <c r="B405" s="22"/>
      <c r="C405" s="23"/>
      <c r="D405" s="24" t="str">
        <f aca="false">IF(C405="","",IFERROR(INDEX('Plan de Cuentas'!$B$5:$B$1241,MATCH(C405,'Plan de Cuentas'!$A$5:$A$1241,0)),"Código no encontrado"))</f>
        <v/>
      </c>
      <c r="E405" s="22"/>
      <c r="F405" s="25"/>
      <c r="G405" s="25"/>
    </row>
    <row r="406" customFormat="false" ht="15" hidden="false" customHeight="true" outlineLevel="0" collapsed="false">
      <c r="A406" s="21"/>
      <c r="B406" s="22"/>
      <c r="C406" s="23"/>
      <c r="D406" s="24" t="str">
        <f aca="false">IF(C406="","",IFERROR(INDEX('Plan de Cuentas'!$B$5:$B$1241,MATCH(C406,'Plan de Cuentas'!$A$5:$A$1241,0)),"Código no encontrado"))</f>
        <v/>
      </c>
      <c r="E406" s="22"/>
      <c r="F406" s="25"/>
      <c r="G406" s="25"/>
    </row>
    <row r="407" customFormat="false" ht="15" hidden="false" customHeight="true" outlineLevel="0" collapsed="false">
      <c r="A407" s="21"/>
      <c r="B407" s="22"/>
      <c r="C407" s="23"/>
      <c r="D407" s="24" t="str">
        <f aca="false">IF(C407="","",IFERROR(INDEX('Plan de Cuentas'!$B$5:$B$1241,MATCH(C407,'Plan de Cuentas'!$A$5:$A$1241,0)),"Código no encontrado"))</f>
        <v/>
      </c>
      <c r="E407" s="22"/>
      <c r="F407" s="25"/>
      <c r="G407" s="25"/>
    </row>
    <row r="408" customFormat="false" ht="15" hidden="false" customHeight="true" outlineLevel="0" collapsed="false">
      <c r="A408" s="21"/>
      <c r="B408" s="22"/>
      <c r="C408" s="23"/>
      <c r="D408" s="24" t="str">
        <f aca="false">IF(C408="","",IFERROR(INDEX('Plan de Cuentas'!$B$5:$B$1241,MATCH(C408,'Plan de Cuentas'!$A$5:$A$1241,0)),"Código no encontrado"))</f>
        <v/>
      </c>
      <c r="E408" s="22"/>
      <c r="F408" s="25"/>
      <c r="G408" s="25"/>
    </row>
    <row r="409" customFormat="false" ht="15" hidden="false" customHeight="true" outlineLevel="0" collapsed="false">
      <c r="A409" s="21"/>
      <c r="B409" s="22"/>
      <c r="C409" s="23"/>
      <c r="D409" s="24" t="str">
        <f aca="false">IF(C409="","",IFERROR(INDEX('Plan de Cuentas'!$B$5:$B$1241,MATCH(C409,'Plan de Cuentas'!$A$5:$A$1241,0)),"Código no encontrado"))</f>
        <v/>
      </c>
      <c r="E409" s="22"/>
      <c r="F409" s="25"/>
      <c r="G409" s="25"/>
    </row>
    <row r="410" customFormat="false" ht="15" hidden="false" customHeight="true" outlineLevel="0" collapsed="false">
      <c r="A410" s="21"/>
      <c r="B410" s="22"/>
      <c r="C410" s="23"/>
      <c r="D410" s="24" t="str">
        <f aca="false">IF(C410="","",IFERROR(INDEX('Plan de Cuentas'!$B$5:$B$1241,MATCH(C410,'Plan de Cuentas'!$A$5:$A$1241,0)),"Código no encontrado"))</f>
        <v/>
      </c>
      <c r="E410" s="22"/>
      <c r="F410" s="25"/>
      <c r="G410" s="25"/>
    </row>
    <row r="411" customFormat="false" ht="15" hidden="false" customHeight="true" outlineLevel="0" collapsed="false">
      <c r="A411" s="21"/>
      <c r="B411" s="22"/>
      <c r="C411" s="23"/>
      <c r="D411" s="24" t="str">
        <f aca="false">IF(C411="","",IFERROR(INDEX('Plan de Cuentas'!$B$5:$B$1241,MATCH(C411,'Plan de Cuentas'!$A$5:$A$1241,0)),"Código no encontrado"))</f>
        <v/>
      </c>
      <c r="E411" s="22"/>
      <c r="F411" s="25"/>
      <c r="G411" s="25"/>
    </row>
    <row r="412" customFormat="false" ht="15" hidden="false" customHeight="true" outlineLevel="0" collapsed="false">
      <c r="A412" s="21"/>
      <c r="B412" s="22"/>
      <c r="C412" s="23"/>
      <c r="D412" s="24" t="str">
        <f aca="false">IF(C412="","",IFERROR(INDEX('Plan de Cuentas'!$B$5:$B$1241,MATCH(C412,'Plan de Cuentas'!$A$5:$A$1241,0)),"Código no encontrado"))</f>
        <v/>
      </c>
      <c r="E412" s="22"/>
      <c r="F412" s="25"/>
      <c r="G412" s="25"/>
    </row>
    <row r="413" customFormat="false" ht="15" hidden="false" customHeight="true" outlineLevel="0" collapsed="false">
      <c r="A413" s="21"/>
      <c r="B413" s="22"/>
      <c r="C413" s="23"/>
      <c r="D413" s="24" t="str">
        <f aca="false">IF(C413="","",IFERROR(INDEX('Plan de Cuentas'!$B$5:$B$1241,MATCH(C413,'Plan de Cuentas'!$A$5:$A$1241,0)),"Código no encontrado"))</f>
        <v/>
      </c>
      <c r="E413" s="22"/>
      <c r="F413" s="25"/>
      <c r="G413" s="25"/>
    </row>
    <row r="414" customFormat="false" ht="15" hidden="false" customHeight="true" outlineLevel="0" collapsed="false">
      <c r="A414" s="21"/>
      <c r="B414" s="22"/>
      <c r="C414" s="23"/>
      <c r="D414" s="24" t="str">
        <f aca="false">IF(C414="","",IFERROR(INDEX('Plan de Cuentas'!$B$5:$B$1241,MATCH(C414,'Plan de Cuentas'!$A$5:$A$1241,0)),"Código no encontrado"))</f>
        <v/>
      </c>
      <c r="E414" s="22"/>
      <c r="F414" s="25"/>
      <c r="G414" s="25"/>
    </row>
    <row r="415" customFormat="false" ht="15" hidden="false" customHeight="true" outlineLevel="0" collapsed="false">
      <c r="A415" s="21"/>
      <c r="B415" s="22"/>
      <c r="C415" s="23"/>
      <c r="D415" s="24" t="str">
        <f aca="false">IF(C415="","",IFERROR(INDEX('Plan de Cuentas'!$B$5:$B$1241,MATCH(C415,'Plan de Cuentas'!$A$5:$A$1241,0)),"Código no encontrado"))</f>
        <v/>
      </c>
      <c r="E415" s="22"/>
      <c r="F415" s="25"/>
      <c r="G415" s="25"/>
    </row>
    <row r="416" customFormat="false" ht="15" hidden="false" customHeight="true" outlineLevel="0" collapsed="false">
      <c r="A416" s="21"/>
      <c r="B416" s="22"/>
      <c r="C416" s="23"/>
      <c r="D416" s="24" t="str">
        <f aca="false">IF(C416="","",IFERROR(INDEX('Plan de Cuentas'!$B$5:$B$1241,MATCH(C416,'Plan de Cuentas'!$A$5:$A$1241,0)),"Código no encontrado"))</f>
        <v/>
      </c>
      <c r="E416" s="22"/>
      <c r="F416" s="25"/>
      <c r="G416" s="25"/>
    </row>
    <row r="417" customFormat="false" ht="15" hidden="false" customHeight="true" outlineLevel="0" collapsed="false">
      <c r="A417" s="21"/>
      <c r="B417" s="22"/>
      <c r="C417" s="23"/>
      <c r="D417" s="24" t="str">
        <f aca="false">IF(C417="","",IFERROR(INDEX('Plan de Cuentas'!$B$5:$B$1241,MATCH(C417,'Plan de Cuentas'!$A$5:$A$1241,0)),"Código no encontrado"))</f>
        <v/>
      </c>
      <c r="E417" s="22"/>
      <c r="F417" s="25"/>
      <c r="G417" s="25"/>
    </row>
    <row r="418" customFormat="false" ht="15" hidden="false" customHeight="true" outlineLevel="0" collapsed="false">
      <c r="A418" s="21"/>
      <c r="B418" s="22"/>
      <c r="C418" s="23"/>
      <c r="D418" s="24" t="str">
        <f aca="false">IF(C418="","",IFERROR(INDEX('Plan de Cuentas'!$B$5:$B$1241,MATCH(C418,'Plan de Cuentas'!$A$5:$A$1241,0)),"Código no encontrado"))</f>
        <v/>
      </c>
      <c r="E418" s="22"/>
      <c r="F418" s="25"/>
      <c r="G418" s="25"/>
    </row>
    <row r="419" customFormat="false" ht="15" hidden="false" customHeight="true" outlineLevel="0" collapsed="false">
      <c r="A419" s="21"/>
      <c r="B419" s="22"/>
      <c r="C419" s="23"/>
      <c r="D419" s="24" t="str">
        <f aca="false">IF(C419="","",IFERROR(INDEX('Plan de Cuentas'!$B$5:$B$1241,MATCH(C419,'Plan de Cuentas'!$A$5:$A$1241,0)),"Código no encontrado"))</f>
        <v/>
      </c>
      <c r="E419" s="22"/>
      <c r="F419" s="25"/>
      <c r="G419" s="25"/>
    </row>
    <row r="420" customFormat="false" ht="15" hidden="false" customHeight="true" outlineLevel="0" collapsed="false">
      <c r="A420" s="21"/>
      <c r="B420" s="22"/>
      <c r="C420" s="23"/>
      <c r="D420" s="24" t="str">
        <f aca="false">IF(C420="","",IFERROR(INDEX('Plan de Cuentas'!$B$5:$B$1241,MATCH(C420,'Plan de Cuentas'!$A$5:$A$1241,0)),"Código no encontrado"))</f>
        <v/>
      </c>
      <c r="E420" s="22"/>
      <c r="F420" s="25"/>
      <c r="G420" s="25"/>
    </row>
    <row r="421" customFormat="false" ht="15" hidden="false" customHeight="true" outlineLevel="0" collapsed="false">
      <c r="A421" s="21"/>
      <c r="B421" s="22"/>
      <c r="C421" s="23"/>
      <c r="D421" s="24" t="str">
        <f aca="false">IF(C421="","",IFERROR(INDEX('Plan de Cuentas'!$B$5:$B$1241,MATCH(C421,'Plan de Cuentas'!$A$5:$A$1241,0)),"Código no encontrado"))</f>
        <v/>
      </c>
      <c r="E421" s="22"/>
      <c r="F421" s="25"/>
      <c r="G421" s="25"/>
    </row>
    <row r="422" customFormat="false" ht="15" hidden="false" customHeight="true" outlineLevel="0" collapsed="false">
      <c r="A422" s="21"/>
      <c r="B422" s="22"/>
      <c r="C422" s="23"/>
      <c r="D422" s="24" t="str">
        <f aca="false">IF(C422="","",IFERROR(INDEX('Plan de Cuentas'!$B$5:$B$1241,MATCH(C422,'Plan de Cuentas'!$A$5:$A$1241,0)),"Código no encontrado"))</f>
        <v/>
      </c>
      <c r="E422" s="22"/>
      <c r="F422" s="25"/>
      <c r="G422" s="25"/>
    </row>
    <row r="423" customFormat="false" ht="15" hidden="false" customHeight="true" outlineLevel="0" collapsed="false">
      <c r="A423" s="21"/>
      <c r="B423" s="22"/>
      <c r="C423" s="23"/>
      <c r="D423" s="24" t="str">
        <f aca="false">IF(C423="","",IFERROR(INDEX('Plan de Cuentas'!$B$5:$B$1241,MATCH(C423,'Plan de Cuentas'!$A$5:$A$1241,0)),"Código no encontrado"))</f>
        <v/>
      </c>
      <c r="E423" s="22"/>
      <c r="F423" s="25"/>
      <c r="G423" s="25"/>
    </row>
    <row r="424" customFormat="false" ht="15" hidden="false" customHeight="true" outlineLevel="0" collapsed="false">
      <c r="A424" s="21"/>
      <c r="B424" s="22"/>
      <c r="C424" s="23"/>
      <c r="D424" s="24" t="str">
        <f aca="false">IF(C424="","",IFERROR(INDEX('Plan de Cuentas'!$B$5:$B$1241,MATCH(C424,'Plan de Cuentas'!$A$5:$A$1241,0)),"Código no encontrado"))</f>
        <v/>
      </c>
      <c r="E424" s="22"/>
      <c r="F424" s="25"/>
      <c r="G424" s="25"/>
    </row>
    <row r="425" customFormat="false" ht="15" hidden="false" customHeight="true" outlineLevel="0" collapsed="false">
      <c r="A425" s="21"/>
      <c r="B425" s="22"/>
      <c r="C425" s="23"/>
      <c r="D425" s="24" t="str">
        <f aca="false">IF(C425="","",IFERROR(INDEX('Plan de Cuentas'!$B$5:$B$1241,MATCH(C425,'Plan de Cuentas'!$A$5:$A$1241,0)),"Código no encontrado"))</f>
        <v/>
      </c>
      <c r="E425" s="22"/>
      <c r="F425" s="25"/>
      <c r="G425" s="25"/>
    </row>
    <row r="426" customFormat="false" ht="15" hidden="false" customHeight="true" outlineLevel="0" collapsed="false">
      <c r="A426" s="21"/>
      <c r="B426" s="22"/>
      <c r="C426" s="23"/>
      <c r="D426" s="24" t="str">
        <f aca="false">IF(C426="","",IFERROR(INDEX('Plan de Cuentas'!$B$5:$B$1241,MATCH(C426,'Plan de Cuentas'!$A$5:$A$1241,0)),"Código no encontrado"))</f>
        <v/>
      </c>
      <c r="E426" s="22"/>
      <c r="F426" s="25"/>
      <c r="G426" s="25"/>
    </row>
    <row r="427" customFormat="false" ht="15" hidden="false" customHeight="true" outlineLevel="0" collapsed="false">
      <c r="A427" s="21"/>
      <c r="B427" s="22"/>
      <c r="C427" s="23"/>
      <c r="D427" s="24" t="str">
        <f aca="false">IF(C427="","",IFERROR(INDEX('Plan de Cuentas'!$B$5:$B$1241,MATCH(C427,'Plan de Cuentas'!$A$5:$A$1241,0)),"Código no encontrado"))</f>
        <v/>
      </c>
      <c r="E427" s="22"/>
      <c r="F427" s="25"/>
      <c r="G427" s="25"/>
    </row>
    <row r="428" customFormat="false" ht="15" hidden="false" customHeight="true" outlineLevel="0" collapsed="false">
      <c r="A428" s="21"/>
      <c r="B428" s="22"/>
      <c r="C428" s="23"/>
      <c r="D428" s="24" t="str">
        <f aca="false">IF(C428="","",IFERROR(INDEX('Plan de Cuentas'!$B$5:$B$1241,MATCH(C428,'Plan de Cuentas'!$A$5:$A$1241,0)),"Código no encontrado"))</f>
        <v/>
      </c>
      <c r="E428" s="22"/>
      <c r="F428" s="25"/>
      <c r="G428" s="25"/>
    </row>
    <row r="429" customFormat="false" ht="15" hidden="false" customHeight="true" outlineLevel="0" collapsed="false">
      <c r="A429" s="21"/>
      <c r="B429" s="22"/>
      <c r="C429" s="23"/>
      <c r="D429" s="24" t="str">
        <f aca="false">IF(C429="","",IFERROR(INDEX('Plan de Cuentas'!$B$5:$B$1241,MATCH(C429,'Plan de Cuentas'!$A$5:$A$1241,0)),"Código no encontrado"))</f>
        <v/>
      </c>
      <c r="E429" s="22"/>
      <c r="F429" s="25"/>
      <c r="G429" s="25"/>
    </row>
    <row r="430" customFormat="false" ht="15" hidden="false" customHeight="true" outlineLevel="0" collapsed="false">
      <c r="A430" s="21"/>
      <c r="B430" s="22"/>
      <c r="C430" s="23"/>
      <c r="D430" s="24" t="str">
        <f aca="false">IF(C430="","",IFERROR(INDEX('Plan de Cuentas'!$B$5:$B$1241,MATCH(C430,'Plan de Cuentas'!$A$5:$A$1241,0)),"Código no encontrado"))</f>
        <v/>
      </c>
      <c r="E430" s="22"/>
      <c r="F430" s="25"/>
      <c r="G430" s="25"/>
    </row>
    <row r="431" customFormat="false" ht="15" hidden="false" customHeight="true" outlineLevel="0" collapsed="false">
      <c r="A431" s="21"/>
      <c r="B431" s="22"/>
      <c r="C431" s="23"/>
      <c r="D431" s="24" t="str">
        <f aca="false">IF(C431="","",IFERROR(INDEX('Plan de Cuentas'!$B$5:$B$1241,MATCH(C431,'Plan de Cuentas'!$A$5:$A$1241,0)),"Código no encontrado"))</f>
        <v/>
      </c>
      <c r="E431" s="22"/>
      <c r="F431" s="25"/>
      <c r="G431" s="25"/>
    </row>
    <row r="432" customFormat="false" ht="15" hidden="false" customHeight="true" outlineLevel="0" collapsed="false">
      <c r="A432" s="21"/>
      <c r="B432" s="22"/>
      <c r="C432" s="23"/>
      <c r="D432" s="24" t="str">
        <f aca="false">IF(C432="","",IFERROR(INDEX('Plan de Cuentas'!$B$5:$B$1241,MATCH(C432,'Plan de Cuentas'!$A$5:$A$1241,0)),"Código no encontrado"))</f>
        <v/>
      </c>
      <c r="E432" s="22"/>
      <c r="F432" s="25"/>
      <c r="G432" s="25"/>
    </row>
    <row r="433" customFormat="false" ht="15" hidden="false" customHeight="true" outlineLevel="0" collapsed="false">
      <c r="A433" s="21"/>
      <c r="B433" s="22"/>
      <c r="C433" s="23"/>
      <c r="D433" s="24" t="str">
        <f aca="false">IF(C433="","",IFERROR(INDEX('Plan de Cuentas'!$B$5:$B$1241,MATCH(C433,'Plan de Cuentas'!$A$5:$A$1241,0)),"Código no encontrado"))</f>
        <v/>
      </c>
      <c r="E433" s="22"/>
      <c r="F433" s="25"/>
      <c r="G433" s="25"/>
    </row>
    <row r="434" customFormat="false" ht="15" hidden="false" customHeight="true" outlineLevel="0" collapsed="false">
      <c r="A434" s="21"/>
      <c r="B434" s="22"/>
      <c r="C434" s="23"/>
      <c r="D434" s="24" t="str">
        <f aca="false">IF(C434="","",IFERROR(INDEX('Plan de Cuentas'!$B$5:$B$1241,MATCH(C434,'Plan de Cuentas'!$A$5:$A$1241,0)),"Código no encontrado"))</f>
        <v/>
      </c>
      <c r="E434" s="22"/>
      <c r="F434" s="25"/>
      <c r="G434" s="25"/>
    </row>
    <row r="435" customFormat="false" ht="15" hidden="false" customHeight="true" outlineLevel="0" collapsed="false">
      <c r="A435" s="21"/>
      <c r="B435" s="22"/>
      <c r="C435" s="23"/>
      <c r="D435" s="24" t="str">
        <f aca="false">IF(C435="","",IFERROR(INDEX('Plan de Cuentas'!$B$5:$B$1241,MATCH(C435,'Plan de Cuentas'!$A$5:$A$1241,0)),"Código no encontrado"))</f>
        <v/>
      </c>
      <c r="E435" s="22"/>
      <c r="F435" s="25"/>
      <c r="G435" s="25"/>
    </row>
    <row r="436" customFormat="false" ht="15" hidden="false" customHeight="true" outlineLevel="0" collapsed="false">
      <c r="A436" s="21"/>
      <c r="B436" s="22"/>
      <c r="C436" s="23"/>
      <c r="D436" s="24" t="str">
        <f aca="false">IF(C436="","",IFERROR(INDEX('Plan de Cuentas'!$B$5:$B$1241,MATCH(C436,'Plan de Cuentas'!$A$5:$A$1241,0)),"Código no encontrado"))</f>
        <v/>
      </c>
      <c r="E436" s="22"/>
      <c r="F436" s="25"/>
      <c r="G436" s="25"/>
    </row>
    <row r="437" customFormat="false" ht="15" hidden="false" customHeight="true" outlineLevel="0" collapsed="false">
      <c r="A437" s="21"/>
      <c r="B437" s="22"/>
      <c r="C437" s="23"/>
      <c r="D437" s="24" t="str">
        <f aca="false">IF(C437="","",IFERROR(INDEX('Plan de Cuentas'!$B$5:$B$1241,MATCH(C437,'Plan de Cuentas'!$A$5:$A$1241,0)),"Código no encontrado"))</f>
        <v/>
      </c>
      <c r="E437" s="22"/>
      <c r="F437" s="25"/>
      <c r="G437" s="25"/>
    </row>
    <row r="438" customFormat="false" ht="15" hidden="false" customHeight="true" outlineLevel="0" collapsed="false">
      <c r="A438" s="21"/>
      <c r="B438" s="22"/>
      <c r="C438" s="23"/>
      <c r="D438" s="24" t="str">
        <f aca="false">IF(C438="","",IFERROR(INDEX('Plan de Cuentas'!$B$5:$B$1241,MATCH(C438,'Plan de Cuentas'!$A$5:$A$1241,0)),"Código no encontrado"))</f>
        <v/>
      </c>
      <c r="E438" s="22"/>
      <c r="F438" s="25"/>
      <c r="G438" s="25"/>
    </row>
    <row r="439" customFormat="false" ht="15" hidden="false" customHeight="true" outlineLevel="0" collapsed="false">
      <c r="A439" s="21"/>
      <c r="B439" s="22"/>
      <c r="C439" s="23"/>
      <c r="D439" s="24" t="str">
        <f aca="false">IF(C439="","",IFERROR(INDEX('Plan de Cuentas'!$B$5:$B$1241,MATCH(C439,'Plan de Cuentas'!$A$5:$A$1241,0)),"Código no encontrado"))</f>
        <v/>
      </c>
      <c r="E439" s="22"/>
      <c r="F439" s="25"/>
      <c r="G439" s="25"/>
    </row>
    <row r="440" customFormat="false" ht="15" hidden="false" customHeight="true" outlineLevel="0" collapsed="false">
      <c r="A440" s="21"/>
      <c r="B440" s="22"/>
      <c r="C440" s="23"/>
      <c r="D440" s="24" t="str">
        <f aca="false">IF(C440="","",IFERROR(INDEX('Plan de Cuentas'!$B$5:$B$1241,MATCH(C440,'Plan de Cuentas'!$A$5:$A$1241,0)),"Código no encontrado"))</f>
        <v/>
      </c>
      <c r="E440" s="22"/>
      <c r="F440" s="25"/>
      <c r="G440" s="25"/>
    </row>
    <row r="441" customFormat="false" ht="15" hidden="false" customHeight="true" outlineLevel="0" collapsed="false">
      <c r="A441" s="21"/>
      <c r="B441" s="22"/>
      <c r="C441" s="23"/>
      <c r="D441" s="24" t="str">
        <f aca="false">IF(C441="","",IFERROR(INDEX('Plan de Cuentas'!$B$5:$B$1241,MATCH(C441,'Plan de Cuentas'!$A$5:$A$1241,0)),"Código no encontrado"))</f>
        <v/>
      </c>
      <c r="E441" s="22"/>
      <c r="F441" s="25"/>
      <c r="G441" s="25"/>
    </row>
    <row r="442" customFormat="false" ht="15" hidden="false" customHeight="true" outlineLevel="0" collapsed="false">
      <c r="A442" s="21"/>
      <c r="B442" s="22"/>
      <c r="C442" s="23"/>
      <c r="D442" s="24" t="str">
        <f aca="false">IF(C442="","",IFERROR(INDEX('Plan de Cuentas'!$B$5:$B$1241,MATCH(C442,'Plan de Cuentas'!$A$5:$A$1241,0)),"Código no encontrado"))</f>
        <v/>
      </c>
      <c r="E442" s="22"/>
      <c r="F442" s="25"/>
      <c r="G442" s="25"/>
    </row>
    <row r="443" customFormat="false" ht="15" hidden="false" customHeight="true" outlineLevel="0" collapsed="false">
      <c r="A443" s="21"/>
      <c r="B443" s="22"/>
      <c r="C443" s="23"/>
      <c r="D443" s="24" t="str">
        <f aca="false">IF(C443="","",IFERROR(INDEX('Plan de Cuentas'!$B$5:$B$1241,MATCH(C443,'Plan de Cuentas'!$A$5:$A$1241,0)),"Código no encontrado"))</f>
        <v/>
      </c>
      <c r="E443" s="22"/>
      <c r="F443" s="25"/>
      <c r="G443" s="25"/>
    </row>
    <row r="444" customFormat="false" ht="15" hidden="false" customHeight="true" outlineLevel="0" collapsed="false">
      <c r="A444" s="21"/>
      <c r="B444" s="22"/>
      <c r="C444" s="23"/>
      <c r="D444" s="24" t="str">
        <f aca="false">IF(C444="","",IFERROR(INDEX('Plan de Cuentas'!$B$5:$B$1241,MATCH(C444,'Plan de Cuentas'!$A$5:$A$1241,0)),"Código no encontrado"))</f>
        <v/>
      </c>
      <c r="E444" s="22"/>
      <c r="F444" s="25"/>
      <c r="G444" s="25"/>
    </row>
    <row r="445" customFormat="false" ht="15" hidden="false" customHeight="true" outlineLevel="0" collapsed="false">
      <c r="A445" s="21"/>
      <c r="B445" s="22"/>
      <c r="C445" s="23"/>
      <c r="D445" s="24" t="str">
        <f aca="false">IF(C445="","",IFERROR(INDEX('Plan de Cuentas'!$B$5:$B$1241,MATCH(C445,'Plan de Cuentas'!$A$5:$A$1241,0)),"Código no encontrado"))</f>
        <v/>
      </c>
      <c r="E445" s="22"/>
      <c r="F445" s="25"/>
      <c r="G445" s="25"/>
    </row>
    <row r="446" customFormat="false" ht="15" hidden="false" customHeight="true" outlineLevel="0" collapsed="false">
      <c r="A446" s="21"/>
      <c r="B446" s="22"/>
      <c r="C446" s="23"/>
      <c r="D446" s="24" t="str">
        <f aca="false">IF(C446="","",IFERROR(INDEX('Plan de Cuentas'!$B$5:$B$1241,MATCH(C446,'Plan de Cuentas'!$A$5:$A$1241,0)),"Código no encontrado"))</f>
        <v/>
      </c>
      <c r="E446" s="22"/>
      <c r="F446" s="25"/>
      <c r="G446" s="25"/>
    </row>
    <row r="447" customFormat="false" ht="15" hidden="false" customHeight="true" outlineLevel="0" collapsed="false">
      <c r="A447" s="21"/>
      <c r="B447" s="22"/>
      <c r="C447" s="23"/>
      <c r="D447" s="24" t="str">
        <f aca="false">IF(C447="","",IFERROR(INDEX('Plan de Cuentas'!$B$5:$B$1241,MATCH(C447,'Plan de Cuentas'!$A$5:$A$1241,0)),"Código no encontrado"))</f>
        <v/>
      </c>
      <c r="E447" s="22"/>
      <c r="F447" s="25"/>
      <c r="G447" s="25"/>
    </row>
    <row r="448" customFormat="false" ht="15" hidden="false" customHeight="true" outlineLevel="0" collapsed="false">
      <c r="A448" s="21"/>
      <c r="B448" s="22"/>
      <c r="C448" s="23"/>
      <c r="D448" s="24" t="str">
        <f aca="false">IF(C448="","",IFERROR(INDEX('Plan de Cuentas'!$B$5:$B$1241,MATCH(C448,'Plan de Cuentas'!$A$5:$A$1241,0)),"Código no encontrado"))</f>
        <v/>
      </c>
      <c r="E448" s="22"/>
      <c r="F448" s="25"/>
      <c r="G448" s="25"/>
    </row>
    <row r="449" customFormat="false" ht="15" hidden="false" customHeight="true" outlineLevel="0" collapsed="false">
      <c r="A449" s="21"/>
      <c r="B449" s="22"/>
      <c r="C449" s="23"/>
      <c r="D449" s="24" t="str">
        <f aca="false">IF(C449="","",IFERROR(INDEX('Plan de Cuentas'!$B$5:$B$1241,MATCH(C449,'Plan de Cuentas'!$A$5:$A$1241,0)),"Código no encontrado"))</f>
        <v/>
      </c>
      <c r="E449" s="22"/>
      <c r="F449" s="25"/>
      <c r="G449" s="25"/>
    </row>
    <row r="450" customFormat="false" ht="15" hidden="false" customHeight="true" outlineLevel="0" collapsed="false">
      <c r="A450" s="21"/>
      <c r="B450" s="22"/>
      <c r="C450" s="23"/>
      <c r="D450" s="24" t="str">
        <f aca="false">IF(C450="","",IFERROR(INDEX('Plan de Cuentas'!$B$5:$B$1241,MATCH(C450,'Plan de Cuentas'!$A$5:$A$1241,0)),"Código no encontrado"))</f>
        <v/>
      </c>
      <c r="E450" s="22"/>
      <c r="F450" s="25"/>
      <c r="G450" s="25"/>
    </row>
    <row r="451" customFormat="false" ht="15" hidden="false" customHeight="true" outlineLevel="0" collapsed="false">
      <c r="A451" s="21"/>
      <c r="B451" s="22"/>
      <c r="C451" s="23"/>
      <c r="D451" s="24" t="str">
        <f aca="false">IF(C451="","",IFERROR(INDEX('Plan de Cuentas'!$B$5:$B$1241,MATCH(C451,'Plan de Cuentas'!$A$5:$A$1241,0)),"Código no encontrado"))</f>
        <v/>
      </c>
      <c r="E451" s="22"/>
      <c r="F451" s="25"/>
      <c r="G451" s="25"/>
    </row>
    <row r="452" customFormat="false" ht="15" hidden="false" customHeight="true" outlineLevel="0" collapsed="false">
      <c r="A452" s="21"/>
      <c r="B452" s="22"/>
      <c r="C452" s="23"/>
      <c r="D452" s="24" t="str">
        <f aca="false">IF(C452="","",IFERROR(INDEX('Plan de Cuentas'!$B$5:$B$1241,MATCH(C452,'Plan de Cuentas'!$A$5:$A$1241,0)),"Código no encontrado"))</f>
        <v/>
      </c>
      <c r="E452" s="22"/>
      <c r="F452" s="25"/>
      <c r="G452" s="25"/>
    </row>
    <row r="453" customFormat="false" ht="15" hidden="false" customHeight="true" outlineLevel="0" collapsed="false">
      <c r="A453" s="21"/>
      <c r="B453" s="22"/>
      <c r="C453" s="23"/>
      <c r="D453" s="24" t="str">
        <f aca="false">IF(C453="","",IFERROR(INDEX('Plan de Cuentas'!$B$5:$B$1241,MATCH(C453,'Plan de Cuentas'!$A$5:$A$1241,0)),"Código no encontrado"))</f>
        <v/>
      </c>
      <c r="E453" s="22"/>
      <c r="F453" s="25"/>
      <c r="G453" s="25"/>
    </row>
    <row r="454" customFormat="false" ht="15" hidden="false" customHeight="true" outlineLevel="0" collapsed="false">
      <c r="A454" s="21"/>
      <c r="B454" s="22"/>
      <c r="C454" s="23"/>
      <c r="D454" s="24" t="str">
        <f aca="false">IF(C454="","",IFERROR(INDEX('Plan de Cuentas'!$B$5:$B$1241,MATCH(C454,'Plan de Cuentas'!$A$5:$A$1241,0)),"Código no encontrado"))</f>
        <v/>
      </c>
      <c r="E454" s="22"/>
      <c r="F454" s="25"/>
      <c r="G454" s="25"/>
    </row>
    <row r="455" customFormat="false" ht="15" hidden="false" customHeight="true" outlineLevel="0" collapsed="false">
      <c r="A455" s="21"/>
      <c r="B455" s="22"/>
      <c r="C455" s="23"/>
      <c r="D455" s="24" t="str">
        <f aca="false">IF(C455="","",IFERROR(INDEX('Plan de Cuentas'!$B$5:$B$1241,MATCH(C455,'Plan de Cuentas'!$A$5:$A$1241,0)),"Código no encontrado"))</f>
        <v/>
      </c>
      <c r="E455" s="22"/>
      <c r="F455" s="25"/>
      <c r="G455" s="25"/>
    </row>
    <row r="456" customFormat="false" ht="15" hidden="false" customHeight="true" outlineLevel="0" collapsed="false">
      <c r="A456" s="21"/>
      <c r="B456" s="22"/>
      <c r="C456" s="23"/>
      <c r="D456" s="24" t="str">
        <f aca="false">IF(C456="","",IFERROR(INDEX('Plan de Cuentas'!$B$5:$B$1241,MATCH(C456,'Plan de Cuentas'!$A$5:$A$1241,0)),"Código no encontrado"))</f>
        <v/>
      </c>
      <c r="E456" s="22"/>
      <c r="F456" s="25"/>
      <c r="G456" s="25"/>
    </row>
    <row r="457" customFormat="false" ht="15" hidden="false" customHeight="true" outlineLevel="0" collapsed="false">
      <c r="A457" s="21"/>
      <c r="B457" s="22"/>
      <c r="C457" s="23"/>
      <c r="D457" s="24" t="str">
        <f aca="false">IF(C457="","",IFERROR(INDEX('Plan de Cuentas'!$B$5:$B$1241,MATCH(C457,'Plan de Cuentas'!$A$5:$A$1241,0)),"Código no encontrado"))</f>
        <v/>
      </c>
      <c r="E457" s="22"/>
      <c r="F457" s="25"/>
      <c r="G457" s="25"/>
    </row>
    <row r="458" customFormat="false" ht="15" hidden="false" customHeight="true" outlineLevel="0" collapsed="false">
      <c r="A458" s="21"/>
      <c r="B458" s="22"/>
      <c r="C458" s="23"/>
      <c r="D458" s="24" t="str">
        <f aca="false">IF(C458="","",IFERROR(INDEX('Plan de Cuentas'!$B$5:$B$1241,MATCH(C458,'Plan de Cuentas'!$A$5:$A$1241,0)),"Código no encontrado"))</f>
        <v/>
      </c>
      <c r="E458" s="22"/>
      <c r="F458" s="25"/>
      <c r="G458" s="25"/>
    </row>
    <row r="459" customFormat="false" ht="15" hidden="false" customHeight="true" outlineLevel="0" collapsed="false">
      <c r="A459" s="21"/>
      <c r="B459" s="22"/>
      <c r="C459" s="23"/>
      <c r="D459" s="24" t="str">
        <f aca="false">IF(C459="","",IFERROR(INDEX('Plan de Cuentas'!$B$5:$B$1241,MATCH(C459,'Plan de Cuentas'!$A$5:$A$1241,0)),"Código no encontrado"))</f>
        <v/>
      </c>
      <c r="E459" s="22"/>
      <c r="F459" s="25"/>
      <c r="G459" s="25"/>
    </row>
    <row r="460" customFormat="false" ht="15" hidden="false" customHeight="true" outlineLevel="0" collapsed="false">
      <c r="A460" s="21"/>
      <c r="B460" s="22"/>
      <c r="C460" s="23"/>
      <c r="D460" s="24" t="str">
        <f aca="false">IF(C460="","",IFERROR(INDEX('Plan de Cuentas'!$B$5:$B$1241,MATCH(C460,'Plan de Cuentas'!$A$5:$A$1241,0)),"Código no encontrado"))</f>
        <v/>
      </c>
      <c r="E460" s="22"/>
      <c r="F460" s="25"/>
      <c r="G460" s="25"/>
    </row>
    <row r="461" customFormat="false" ht="15" hidden="false" customHeight="true" outlineLevel="0" collapsed="false">
      <c r="A461" s="21"/>
      <c r="B461" s="22"/>
      <c r="C461" s="23"/>
      <c r="D461" s="24" t="str">
        <f aca="false">IF(C461="","",IFERROR(INDEX('Plan de Cuentas'!$B$5:$B$1241,MATCH(C461,'Plan de Cuentas'!$A$5:$A$1241,0)),"Código no encontrado"))</f>
        <v/>
      </c>
      <c r="E461" s="22"/>
      <c r="F461" s="25"/>
      <c r="G461" s="25"/>
    </row>
    <row r="462" customFormat="false" ht="15" hidden="false" customHeight="true" outlineLevel="0" collapsed="false">
      <c r="A462" s="21"/>
      <c r="B462" s="22"/>
      <c r="C462" s="23"/>
      <c r="D462" s="24" t="str">
        <f aca="false">IF(C462="","",IFERROR(INDEX('Plan de Cuentas'!$B$5:$B$1241,MATCH(C462,'Plan de Cuentas'!$A$5:$A$1241,0)),"Código no encontrado"))</f>
        <v/>
      </c>
      <c r="E462" s="22"/>
      <c r="F462" s="25"/>
      <c r="G462" s="25"/>
    </row>
    <row r="463" customFormat="false" ht="15" hidden="false" customHeight="true" outlineLevel="0" collapsed="false">
      <c r="A463" s="21"/>
      <c r="B463" s="22"/>
      <c r="C463" s="23"/>
      <c r="D463" s="24" t="str">
        <f aca="false">IF(C463="","",IFERROR(INDEX('Plan de Cuentas'!$B$5:$B$1241,MATCH(C463,'Plan de Cuentas'!$A$5:$A$1241,0)),"Código no encontrado"))</f>
        <v/>
      </c>
      <c r="E463" s="22"/>
      <c r="F463" s="25"/>
      <c r="G463" s="25"/>
    </row>
    <row r="464" customFormat="false" ht="15" hidden="false" customHeight="true" outlineLevel="0" collapsed="false">
      <c r="A464" s="21"/>
      <c r="B464" s="22"/>
      <c r="C464" s="23"/>
      <c r="D464" s="24" t="str">
        <f aca="false">IF(C464="","",IFERROR(INDEX('Plan de Cuentas'!$B$5:$B$1241,MATCH(C464,'Plan de Cuentas'!$A$5:$A$1241,0)),"Código no encontrado"))</f>
        <v/>
      </c>
      <c r="E464" s="22"/>
      <c r="F464" s="25"/>
      <c r="G464" s="25"/>
    </row>
    <row r="465" customFormat="false" ht="15" hidden="false" customHeight="true" outlineLevel="0" collapsed="false">
      <c r="A465" s="21"/>
      <c r="B465" s="22"/>
      <c r="C465" s="23"/>
      <c r="D465" s="24" t="str">
        <f aca="false">IF(C465="","",IFERROR(INDEX('Plan de Cuentas'!$B$5:$B$1241,MATCH(C465,'Plan de Cuentas'!$A$5:$A$1241,0)),"Código no encontrado"))</f>
        <v/>
      </c>
      <c r="E465" s="22"/>
      <c r="F465" s="25"/>
      <c r="G465" s="25"/>
    </row>
    <row r="466" customFormat="false" ht="15" hidden="false" customHeight="true" outlineLevel="0" collapsed="false">
      <c r="A466" s="21"/>
      <c r="B466" s="22"/>
      <c r="C466" s="23"/>
      <c r="D466" s="24" t="str">
        <f aca="false">IF(C466="","",IFERROR(INDEX('Plan de Cuentas'!$B$5:$B$1241,MATCH(C466,'Plan de Cuentas'!$A$5:$A$1241,0)),"Código no encontrado"))</f>
        <v/>
      </c>
      <c r="E466" s="22"/>
      <c r="F466" s="25"/>
      <c r="G466" s="25"/>
    </row>
    <row r="467" customFormat="false" ht="15" hidden="false" customHeight="true" outlineLevel="0" collapsed="false">
      <c r="A467" s="21"/>
      <c r="B467" s="22"/>
      <c r="C467" s="23"/>
      <c r="D467" s="24" t="str">
        <f aca="false">IF(C467="","",IFERROR(INDEX('Plan de Cuentas'!$B$5:$B$1241,MATCH(C467,'Plan de Cuentas'!$A$5:$A$1241,0)),"Código no encontrado"))</f>
        <v/>
      </c>
      <c r="E467" s="22"/>
      <c r="F467" s="25"/>
      <c r="G467" s="25"/>
    </row>
    <row r="468" customFormat="false" ht="15" hidden="false" customHeight="true" outlineLevel="0" collapsed="false">
      <c r="A468" s="21"/>
      <c r="B468" s="22"/>
      <c r="C468" s="23"/>
      <c r="D468" s="24" t="str">
        <f aca="false">IF(C468="","",IFERROR(INDEX('Plan de Cuentas'!$B$5:$B$1241,MATCH(C468,'Plan de Cuentas'!$A$5:$A$1241,0)),"Código no encontrado"))</f>
        <v/>
      </c>
      <c r="E468" s="22"/>
      <c r="F468" s="25"/>
      <c r="G468" s="25"/>
    </row>
    <row r="469" customFormat="false" ht="15" hidden="false" customHeight="true" outlineLevel="0" collapsed="false">
      <c r="A469" s="21"/>
      <c r="B469" s="22"/>
      <c r="C469" s="23"/>
      <c r="D469" s="24" t="str">
        <f aca="false">IF(C469="","",IFERROR(INDEX('Plan de Cuentas'!$B$5:$B$1241,MATCH(C469,'Plan de Cuentas'!$A$5:$A$1241,0)),"Código no encontrado"))</f>
        <v/>
      </c>
      <c r="E469" s="22"/>
      <c r="F469" s="25"/>
      <c r="G469" s="25"/>
    </row>
    <row r="470" customFormat="false" ht="15" hidden="false" customHeight="true" outlineLevel="0" collapsed="false">
      <c r="A470" s="21"/>
      <c r="B470" s="22"/>
      <c r="C470" s="23"/>
      <c r="D470" s="24" t="str">
        <f aca="false">IF(C470="","",IFERROR(INDEX('Plan de Cuentas'!$B$5:$B$1241,MATCH(C470,'Plan de Cuentas'!$A$5:$A$1241,0)),"Código no encontrado"))</f>
        <v/>
      </c>
      <c r="E470" s="22"/>
      <c r="F470" s="25"/>
      <c r="G470" s="25"/>
    </row>
    <row r="471" customFormat="false" ht="15" hidden="false" customHeight="true" outlineLevel="0" collapsed="false">
      <c r="A471" s="21"/>
      <c r="B471" s="22"/>
      <c r="C471" s="23"/>
      <c r="D471" s="24" t="str">
        <f aca="false">IF(C471="","",IFERROR(INDEX('Plan de Cuentas'!$B$5:$B$1241,MATCH(C471,'Plan de Cuentas'!$A$5:$A$1241,0)),"Código no encontrado"))</f>
        <v/>
      </c>
      <c r="E471" s="22"/>
      <c r="F471" s="25"/>
      <c r="G471" s="25"/>
    </row>
    <row r="472" customFormat="false" ht="15" hidden="false" customHeight="true" outlineLevel="0" collapsed="false">
      <c r="A472" s="21"/>
      <c r="B472" s="22"/>
      <c r="C472" s="23"/>
      <c r="D472" s="24" t="str">
        <f aca="false">IF(C472="","",IFERROR(INDEX('Plan de Cuentas'!$B$5:$B$1241,MATCH(C472,'Plan de Cuentas'!$A$5:$A$1241,0)),"Código no encontrado"))</f>
        <v/>
      </c>
      <c r="E472" s="22"/>
      <c r="F472" s="25"/>
      <c r="G472" s="25"/>
    </row>
    <row r="473" customFormat="false" ht="15" hidden="false" customHeight="true" outlineLevel="0" collapsed="false">
      <c r="A473" s="21"/>
      <c r="B473" s="22"/>
      <c r="C473" s="23"/>
      <c r="D473" s="24" t="str">
        <f aca="false">IF(C473="","",IFERROR(INDEX('Plan de Cuentas'!$B$5:$B$1241,MATCH(C473,'Plan de Cuentas'!$A$5:$A$1241,0)),"Código no encontrado"))</f>
        <v/>
      </c>
      <c r="E473" s="22"/>
      <c r="F473" s="25"/>
      <c r="G473" s="25"/>
    </row>
    <row r="474" customFormat="false" ht="15" hidden="false" customHeight="true" outlineLevel="0" collapsed="false">
      <c r="A474" s="21"/>
      <c r="B474" s="22"/>
      <c r="C474" s="23"/>
      <c r="D474" s="24" t="str">
        <f aca="false">IF(C474="","",IFERROR(INDEX('Plan de Cuentas'!$B$5:$B$1241,MATCH(C474,'Plan de Cuentas'!$A$5:$A$1241,0)),"Código no encontrado"))</f>
        <v/>
      </c>
      <c r="E474" s="22"/>
      <c r="F474" s="25"/>
      <c r="G474" s="25"/>
    </row>
    <row r="475" customFormat="false" ht="15" hidden="false" customHeight="true" outlineLevel="0" collapsed="false">
      <c r="A475" s="21"/>
      <c r="B475" s="22"/>
      <c r="C475" s="23"/>
      <c r="D475" s="24" t="str">
        <f aca="false">IF(C475="","",IFERROR(INDEX('Plan de Cuentas'!$B$5:$B$1241,MATCH(C475,'Plan de Cuentas'!$A$5:$A$1241,0)),"Código no encontrado"))</f>
        <v/>
      </c>
      <c r="E475" s="22"/>
      <c r="F475" s="25"/>
      <c r="G475" s="25"/>
    </row>
    <row r="476" customFormat="false" ht="15" hidden="false" customHeight="true" outlineLevel="0" collapsed="false">
      <c r="A476" s="21"/>
      <c r="B476" s="22"/>
      <c r="C476" s="23"/>
      <c r="D476" s="24" t="str">
        <f aca="false">IF(C476="","",IFERROR(INDEX('Plan de Cuentas'!$B$5:$B$1241,MATCH(C476,'Plan de Cuentas'!$A$5:$A$1241,0)),"Código no encontrado"))</f>
        <v/>
      </c>
      <c r="E476" s="22"/>
      <c r="F476" s="25"/>
      <c r="G476" s="25"/>
    </row>
    <row r="477" customFormat="false" ht="15" hidden="false" customHeight="true" outlineLevel="0" collapsed="false">
      <c r="A477" s="21"/>
      <c r="B477" s="22"/>
      <c r="C477" s="23"/>
      <c r="D477" s="24" t="str">
        <f aca="false">IF(C477="","",IFERROR(INDEX('Plan de Cuentas'!$B$5:$B$1241,MATCH(C477,'Plan de Cuentas'!$A$5:$A$1241,0)),"Código no encontrado"))</f>
        <v/>
      </c>
      <c r="E477" s="22"/>
      <c r="F477" s="25"/>
      <c r="G477" s="25"/>
    </row>
    <row r="478" customFormat="false" ht="15" hidden="false" customHeight="true" outlineLevel="0" collapsed="false">
      <c r="A478" s="21"/>
      <c r="B478" s="22"/>
      <c r="C478" s="23"/>
      <c r="D478" s="24" t="str">
        <f aca="false">IF(C478="","",IFERROR(INDEX('Plan de Cuentas'!$B$5:$B$1241,MATCH(C478,'Plan de Cuentas'!$A$5:$A$1241,0)),"Código no encontrado"))</f>
        <v/>
      </c>
      <c r="E478" s="22"/>
      <c r="F478" s="25"/>
      <c r="G478" s="25"/>
    </row>
    <row r="479" customFormat="false" ht="15" hidden="false" customHeight="true" outlineLevel="0" collapsed="false">
      <c r="A479" s="21"/>
      <c r="B479" s="22"/>
      <c r="C479" s="23"/>
      <c r="D479" s="24" t="str">
        <f aca="false">IF(C479="","",IFERROR(INDEX('Plan de Cuentas'!$B$5:$B$1241,MATCH(C479,'Plan de Cuentas'!$A$5:$A$1241,0)),"Código no encontrado"))</f>
        <v/>
      </c>
      <c r="E479" s="22"/>
      <c r="F479" s="25"/>
      <c r="G479" s="25"/>
    </row>
    <row r="480" customFormat="false" ht="15" hidden="false" customHeight="true" outlineLevel="0" collapsed="false">
      <c r="A480" s="21"/>
      <c r="B480" s="22"/>
      <c r="C480" s="23"/>
      <c r="D480" s="24" t="str">
        <f aca="false">IF(C480="","",IFERROR(INDEX('Plan de Cuentas'!$B$5:$B$1241,MATCH(C480,'Plan de Cuentas'!$A$5:$A$1241,0)),"Código no encontrado"))</f>
        <v/>
      </c>
      <c r="E480" s="22"/>
      <c r="F480" s="25"/>
      <c r="G480" s="25"/>
    </row>
    <row r="481" customFormat="false" ht="15" hidden="false" customHeight="true" outlineLevel="0" collapsed="false">
      <c r="A481" s="21"/>
      <c r="B481" s="22"/>
      <c r="C481" s="23"/>
      <c r="D481" s="24" t="str">
        <f aca="false">IF(C481="","",IFERROR(INDEX('Plan de Cuentas'!$B$5:$B$1241,MATCH(C481,'Plan de Cuentas'!$A$5:$A$1241,0)),"Código no encontrado"))</f>
        <v/>
      </c>
      <c r="E481" s="22"/>
      <c r="F481" s="25"/>
      <c r="G481" s="25"/>
    </row>
    <row r="482" customFormat="false" ht="15" hidden="false" customHeight="true" outlineLevel="0" collapsed="false">
      <c r="A482" s="21"/>
      <c r="B482" s="22"/>
      <c r="C482" s="23"/>
      <c r="D482" s="24" t="str">
        <f aca="false">IF(C482="","",IFERROR(INDEX('Plan de Cuentas'!$B$5:$B$1241,MATCH(C482,'Plan de Cuentas'!$A$5:$A$1241,0)),"Código no encontrado"))</f>
        <v/>
      </c>
      <c r="E482" s="22"/>
      <c r="F482" s="25"/>
      <c r="G482" s="25"/>
    </row>
    <row r="483" customFormat="false" ht="15" hidden="false" customHeight="true" outlineLevel="0" collapsed="false">
      <c r="A483" s="21"/>
      <c r="B483" s="22"/>
      <c r="C483" s="23"/>
      <c r="D483" s="24" t="str">
        <f aca="false">IF(C483="","",IFERROR(INDEX('Plan de Cuentas'!$B$5:$B$1241,MATCH(C483,'Plan de Cuentas'!$A$5:$A$1241,0)),"Código no encontrado"))</f>
        <v/>
      </c>
      <c r="E483" s="22"/>
      <c r="F483" s="25"/>
      <c r="G483" s="25"/>
    </row>
    <row r="484" customFormat="false" ht="15" hidden="false" customHeight="true" outlineLevel="0" collapsed="false">
      <c r="A484" s="21"/>
      <c r="B484" s="22"/>
      <c r="C484" s="23"/>
      <c r="D484" s="24" t="str">
        <f aca="false">IF(C484="","",IFERROR(INDEX('Plan de Cuentas'!$B$5:$B$1241,MATCH(C484,'Plan de Cuentas'!$A$5:$A$1241,0)),"Código no encontrado"))</f>
        <v/>
      </c>
      <c r="E484" s="22"/>
      <c r="F484" s="25"/>
      <c r="G484" s="25"/>
    </row>
    <row r="485" customFormat="false" ht="15" hidden="false" customHeight="true" outlineLevel="0" collapsed="false">
      <c r="A485" s="21"/>
      <c r="B485" s="22"/>
      <c r="C485" s="23"/>
      <c r="D485" s="24" t="str">
        <f aca="false">IF(C485="","",IFERROR(INDEX('Plan de Cuentas'!$B$5:$B$1241,MATCH(C485,'Plan de Cuentas'!$A$5:$A$1241,0)),"Código no encontrado"))</f>
        <v/>
      </c>
      <c r="E485" s="22"/>
      <c r="F485" s="25"/>
      <c r="G485" s="25"/>
    </row>
    <row r="486" customFormat="false" ht="15" hidden="false" customHeight="true" outlineLevel="0" collapsed="false">
      <c r="A486" s="21"/>
      <c r="B486" s="22"/>
      <c r="C486" s="23"/>
      <c r="D486" s="24" t="str">
        <f aca="false">IF(C486="","",IFERROR(INDEX('Plan de Cuentas'!$B$5:$B$1241,MATCH(C486,'Plan de Cuentas'!$A$5:$A$1241,0)),"Código no encontrado"))</f>
        <v/>
      </c>
      <c r="E486" s="22"/>
      <c r="F486" s="25"/>
      <c r="G486" s="25"/>
    </row>
    <row r="487" customFormat="false" ht="15" hidden="false" customHeight="true" outlineLevel="0" collapsed="false">
      <c r="A487" s="21"/>
      <c r="B487" s="22"/>
      <c r="C487" s="23"/>
      <c r="D487" s="24" t="str">
        <f aca="false">IF(C487="","",IFERROR(INDEX('Plan de Cuentas'!$B$5:$B$1241,MATCH(C487,'Plan de Cuentas'!$A$5:$A$1241,0)),"Código no encontrado"))</f>
        <v/>
      </c>
      <c r="E487" s="22"/>
      <c r="F487" s="25"/>
      <c r="G487" s="25"/>
    </row>
    <row r="488" customFormat="false" ht="15" hidden="false" customHeight="true" outlineLevel="0" collapsed="false">
      <c r="A488" s="21"/>
      <c r="B488" s="22"/>
      <c r="C488" s="23"/>
      <c r="D488" s="24" t="str">
        <f aca="false">IF(C488="","",IFERROR(INDEX('Plan de Cuentas'!$B$5:$B$1241,MATCH(C488,'Plan de Cuentas'!$A$5:$A$1241,0)),"Código no encontrado"))</f>
        <v/>
      </c>
      <c r="E488" s="22"/>
      <c r="F488" s="25"/>
      <c r="G488" s="25"/>
    </row>
    <row r="489" customFormat="false" ht="15" hidden="false" customHeight="true" outlineLevel="0" collapsed="false">
      <c r="A489" s="21"/>
      <c r="B489" s="22"/>
      <c r="C489" s="23"/>
      <c r="D489" s="24" t="str">
        <f aca="false">IF(C489="","",IFERROR(INDEX('Plan de Cuentas'!$B$5:$B$1241,MATCH(C489,'Plan de Cuentas'!$A$5:$A$1241,0)),"Código no encontrado"))</f>
        <v/>
      </c>
      <c r="E489" s="22"/>
      <c r="F489" s="25"/>
      <c r="G489" s="25"/>
    </row>
    <row r="490" customFormat="false" ht="15" hidden="false" customHeight="true" outlineLevel="0" collapsed="false">
      <c r="A490" s="21"/>
      <c r="B490" s="22"/>
      <c r="C490" s="23"/>
      <c r="D490" s="24" t="str">
        <f aca="false">IF(C490="","",IFERROR(INDEX('Plan de Cuentas'!$B$5:$B$1241,MATCH(C490,'Plan de Cuentas'!$A$5:$A$1241,0)),"Código no encontrado"))</f>
        <v/>
      </c>
      <c r="E490" s="22"/>
      <c r="F490" s="25"/>
      <c r="G490" s="25"/>
    </row>
    <row r="491" customFormat="false" ht="15" hidden="false" customHeight="true" outlineLevel="0" collapsed="false">
      <c r="A491" s="21"/>
      <c r="B491" s="22"/>
      <c r="C491" s="23"/>
      <c r="D491" s="24" t="str">
        <f aca="false">IF(C491="","",IFERROR(INDEX('Plan de Cuentas'!$B$5:$B$1241,MATCH(C491,'Plan de Cuentas'!$A$5:$A$1241,0)),"Código no encontrado"))</f>
        <v/>
      </c>
      <c r="E491" s="22"/>
      <c r="F491" s="25"/>
      <c r="G491" s="25"/>
    </row>
    <row r="492" customFormat="false" ht="15" hidden="false" customHeight="true" outlineLevel="0" collapsed="false">
      <c r="A492" s="21"/>
      <c r="B492" s="22"/>
      <c r="C492" s="23"/>
      <c r="D492" s="24" t="str">
        <f aca="false">IF(C492="","",IFERROR(INDEX('Plan de Cuentas'!$B$5:$B$1241,MATCH(C492,'Plan de Cuentas'!$A$5:$A$1241,0)),"Código no encontrado"))</f>
        <v/>
      </c>
      <c r="E492" s="22"/>
      <c r="F492" s="25"/>
      <c r="G492" s="25"/>
    </row>
    <row r="493" customFormat="false" ht="15" hidden="false" customHeight="true" outlineLevel="0" collapsed="false">
      <c r="A493" s="21"/>
      <c r="B493" s="22"/>
      <c r="C493" s="23"/>
      <c r="D493" s="24" t="str">
        <f aca="false">IF(C493="","",IFERROR(INDEX('Plan de Cuentas'!$B$5:$B$1241,MATCH(C493,'Plan de Cuentas'!$A$5:$A$1241,0)),"Código no encontrado"))</f>
        <v/>
      </c>
      <c r="E493" s="22"/>
      <c r="F493" s="25"/>
      <c r="G493" s="25"/>
    </row>
    <row r="494" customFormat="false" ht="15" hidden="false" customHeight="true" outlineLevel="0" collapsed="false">
      <c r="A494" s="21"/>
      <c r="B494" s="22"/>
      <c r="C494" s="23"/>
      <c r="D494" s="24" t="str">
        <f aca="false">IF(C494="","",IFERROR(INDEX('Plan de Cuentas'!$B$5:$B$1241,MATCH(C494,'Plan de Cuentas'!$A$5:$A$1241,0)),"Código no encontrado"))</f>
        <v/>
      </c>
      <c r="E494" s="22"/>
      <c r="F494" s="25"/>
      <c r="G494" s="25"/>
    </row>
    <row r="495" customFormat="false" ht="15" hidden="false" customHeight="true" outlineLevel="0" collapsed="false">
      <c r="A495" s="21"/>
      <c r="B495" s="22"/>
      <c r="C495" s="23"/>
      <c r="D495" s="24" t="str">
        <f aca="false">IF(C495="","",IFERROR(INDEX('Plan de Cuentas'!$B$5:$B$1241,MATCH(C495,'Plan de Cuentas'!$A$5:$A$1241,0)),"Código no encontrado"))</f>
        <v/>
      </c>
      <c r="E495" s="22"/>
      <c r="F495" s="25"/>
      <c r="G495" s="25"/>
    </row>
    <row r="496" customFormat="false" ht="15" hidden="false" customHeight="true" outlineLevel="0" collapsed="false">
      <c r="A496" s="21"/>
      <c r="B496" s="22"/>
      <c r="C496" s="23"/>
      <c r="D496" s="24" t="str">
        <f aca="false">IF(C496="","",IFERROR(INDEX('Plan de Cuentas'!$B$5:$B$1241,MATCH(C496,'Plan de Cuentas'!$A$5:$A$1241,0)),"Código no encontrado"))</f>
        <v/>
      </c>
      <c r="E496" s="22"/>
      <c r="F496" s="25"/>
      <c r="G496" s="25"/>
    </row>
    <row r="497" customFormat="false" ht="15" hidden="false" customHeight="true" outlineLevel="0" collapsed="false">
      <c r="A497" s="21"/>
      <c r="B497" s="22"/>
      <c r="C497" s="23"/>
      <c r="D497" s="24" t="str">
        <f aca="false">IF(C497="","",IFERROR(INDEX('Plan de Cuentas'!$B$5:$B$1241,MATCH(C497,'Plan de Cuentas'!$A$5:$A$1241,0)),"Código no encontrado"))</f>
        <v/>
      </c>
      <c r="E497" s="22"/>
      <c r="F497" s="25"/>
      <c r="G497" s="25"/>
    </row>
    <row r="498" customFormat="false" ht="15" hidden="false" customHeight="true" outlineLevel="0" collapsed="false">
      <c r="A498" s="21"/>
      <c r="B498" s="22"/>
      <c r="C498" s="23"/>
      <c r="D498" s="24" t="str">
        <f aca="false">IF(C498="","",IFERROR(INDEX('Plan de Cuentas'!$B$5:$B$1241,MATCH(C498,'Plan de Cuentas'!$A$5:$A$1241,0)),"Código no encontrado"))</f>
        <v/>
      </c>
      <c r="E498" s="22"/>
      <c r="F498" s="25"/>
      <c r="G498" s="25"/>
    </row>
    <row r="499" customFormat="false" ht="15" hidden="false" customHeight="true" outlineLevel="0" collapsed="false">
      <c r="A499" s="21"/>
      <c r="B499" s="22"/>
      <c r="C499" s="23"/>
      <c r="D499" s="24" t="str">
        <f aca="false">IF(C499="","",IFERROR(INDEX('Plan de Cuentas'!$B$5:$B$1241,MATCH(C499,'Plan de Cuentas'!$A$5:$A$1241,0)),"Código no encontrado"))</f>
        <v/>
      </c>
      <c r="E499" s="22"/>
      <c r="F499" s="25"/>
      <c r="G499" s="25"/>
    </row>
    <row r="500" customFormat="false" ht="15" hidden="false" customHeight="true" outlineLevel="0" collapsed="false">
      <c r="A500" s="21"/>
      <c r="B500" s="22"/>
      <c r="C500" s="23"/>
      <c r="D500" s="24" t="str">
        <f aca="false">IF(C500="","",IFERROR(INDEX('Plan de Cuentas'!$B$5:$B$1241,MATCH(C500,'Plan de Cuentas'!$A$5:$A$1241,0)),"Código no encontrado"))</f>
        <v/>
      </c>
      <c r="E500" s="22"/>
      <c r="F500" s="25"/>
      <c r="G500" s="25"/>
    </row>
    <row r="501" customFormat="false" ht="15" hidden="false" customHeight="true" outlineLevel="0" collapsed="false">
      <c r="A501" s="21"/>
      <c r="B501" s="22"/>
      <c r="C501" s="23"/>
      <c r="D501" s="24" t="str">
        <f aca="false">IF(C501="","",IFERROR(INDEX('Plan de Cuentas'!$B$5:$B$1241,MATCH(C501,'Plan de Cuentas'!$A$5:$A$1241,0)),"Código no encontrado"))</f>
        <v/>
      </c>
      <c r="E501" s="22"/>
      <c r="F501" s="25"/>
      <c r="G501" s="25"/>
    </row>
    <row r="502" customFormat="false" ht="15" hidden="false" customHeight="true" outlineLevel="0" collapsed="false">
      <c r="A502" s="21"/>
      <c r="B502" s="22"/>
      <c r="C502" s="23"/>
      <c r="D502" s="24" t="str">
        <f aca="false">IF(C502="","",IFERROR(INDEX('Plan de Cuentas'!$B$5:$B$1241,MATCH(C502,'Plan de Cuentas'!$A$5:$A$1241,0)),"Código no encontrado"))</f>
        <v/>
      </c>
      <c r="E502" s="22"/>
      <c r="F502" s="25"/>
      <c r="G502" s="25"/>
    </row>
    <row r="503" customFormat="false" ht="15" hidden="false" customHeight="true" outlineLevel="0" collapsed="false">
      <c r="A503" s="21"/>
      <c r="B503" s="22"/>
      <c r="C503" s="23"/>
      <c r="D503" s="24" t="str">
        <f aca="false">IF(C503="","",IFERROR(INDEX('Plan de Cuentas'!$B$5:$B$1241,MATCH(C503,'Plan de Cuentas'!$A$5:$A$1241,0)),"Código no encontrado"))</f>
        <v/>
      </c>
      <c r="E503" s="22"/>
      <c r="F503" s="25"/>
      <c r="G503" s="25"/>
    </row>
    <row r="504" customFormat="false" ht="15" hidden="false" customHeight="true" outlineLevel="0" collapsed="false">
      <c r="A504" s="21"/>
      <c r="B504" s="22"/>
      <c r="C504" s="23"/>
      <c r="D504" s="24" t="str">
        <f aca="false">IF(C504="","",IFERROR(INDEX('Plan de Cuentas'!$B$5:$B$1241,MATCH(C504,'Plan de Cuentas'!$A$5:$A$1241,0)),"Código no encontrado"))</f>
        <v/>
      </c>
      <c r="E504" s="22"/>
      <c r="F504" s="25"/>
      <c r="G504" s="25"/>
    </row>
    <row r="506" customFormat="false" ht="15" hidden="false" customHeight="true" outlineLevel="0" collapsed="false">
      <c r="E506" s="26" t="s">
        <v>34</v>
      </c>
      <c r="F506" s="27" t="n">
        <f aca="false">SUM(F5:F504)</f>
        <v>10</v>
      </c>
      <c r="G506" s="27" t="n">
        <f aca="false">SUM(G5:G504)</f>
        <v>10</v>
      </c>
    </row>
    <row r="507" customFormat="false" ht="15" hidden="false" customHeight="true" outlineLevel="0" collapsed="false">
      <c r="E507" s="28" t="s">
        <v>35</v>
      </c>
      <c r="F507" s="29" t="n">
        <f aca="false">F506-G506</f>
        <v>0</v>
      </c>
    </row>
  </sheetData>
  <mergeCells count="2">
    <mergeCell ref="A1:F1"/>
    <mergeCell ref="A2:F2"/>
  </mergeCells>
  <dataValidations count="1">
    <dataValidation allowBlank="true" errorStyle="stop" operator="between" showDropDown="false" showErrorMessage="false" showInputMessage="false" sqref="C5:C504" type="list">
      <formula1>'Plan de Cuentas'!$A$5:$A$1241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50"/>
    <col collapsed="false" customWidth="true" hidden="false" outlineLevel="0" max="3" min="3" style="1" width="10"/>
    <col collapsed="false" customWidth="true" hidden="false" outlineLevel="0" max="7" min="4" style="1" width="15"/>
  </cols>
  <sheetData>
    <row r="1" customFormat="false" ht="24" hidden="false" customHeight="true" outlineLevel="0" collapsed="false">
      <c r="A1" s="18" t="s">
        <v>36</v>
      </c>
      <c r="B1" s="18"/>
      <c r="C1" s="18"/>
      <c r="D1" s="18"/>
      <c r="E1" s="18"/>
      <c r="F1" s="18"/>
    </row>
    <row r="2" customFormat="false" ht="27.75" hidden="false" customHeight="true" outlineLevel="0" collapsed="false">
      <c r="A2" s="19" t="s">
        <v>37</v>
      </c>
      <c r="B2" s="19"/>
      <c r="C2" s="19"/>
      <c r="D2" s="19"/>
      <c r="E2" s="19"/>
      <c r="F2" s="19"/>
    </row>
    <row r="4" customFormat="false" ht="26.25" hidden="false" customHeight="true" outlineLevel="0" collapsed="false">
      <c r="A4" s="20" t="s">
        <v>27</v>
      </c>
      <c r="B4" s="20" t="s">
        <v>28</v>
      </c>
      <c r="C4" s="20" t="s">
        <v>38</v>
      </c>
      <c r="D4" s="20" t="s">
        <v>30</v>
      </c>
      <c r="E4" s="20" t="s">
        <v>31</v>
      </c>
      <c r="F4" s="20" t="s">
        <v>39</v>
      </c>
      <c r="G4" s="20" t="s">
        <v>40</v>
      </c>
    </row>
    <row r="5" customFormat="false" ht="15" hidden="false" customHeight="true" outlineLevel="0" collapsed="false">
      <c r="A5" s="30" t="s">
        <v>21</v>
      </c>
      <c r="B5" s="31" t="s">
        <v>41</v>
      </c>
      <c r="C5" s="30" t="s">
        <v>42</v>
      </c>
      <c r="D5" s="32" t="n">
        <f aca="false">SUMIF('Libro Diario'!$C$5:$C$504,A5,'Libro Diario'!$F$5:$F$504)</f>
        <v>10</v>
      </c>
      <c r="E5" s="32" t="n">
        <f aca="false">SUMIF('Libro Diario'!$C$5:$C$504,A5,'Libro Diario'!$G$5:$G$504)</f>
        <v>0</v>
      </c>
      <c r="F5" s="32" t="n">
        <f aca="false">IF(D5&gt;=E5,D5-E5,0)</f>
        <v>10</v>
      </c>
      <c r="G5" s="32" t="n">
        <f aca="false">IF(E5&gt;D5,E5-D5,0)</f>
        <v>0</v>
      </c>
    </row>
    <row r="6" customFormat="false" ht="15" hidden="false" customHeight="true" outlineLevel="0" collapsed="false">
      <c r="A6" s="30" t="s">
        <v>43</v>
      </c>
      <c r="B6" s="31" t="s">
        <v>44</v>
      </c>
      <c r="C6" s="30" t="s">
        <v>42</v>
      </c>
      <c r="D6" s="32" t="n">
        <f aca="false">SUMIF('Libro Diario'!$C$5:$C$504,A6,'Libro Diario'!$F$5:$F$504)</f>
        <v>0</v>
      </c>
      <c r="E6" s="32" t="n">
        <f aca="false">SUMIF('Libro Diario'!$C$5:$C$504,A6,'Libro Diario'!$G$5:$G$504)</f>
        <v>0</v>
      </c>
      <c r="F6" s="32" t="n">
        <f aca="false">IF(D6&gt;=E6,D6-E6,0)</f>
        <v>0</v>
      </c>
      <c r="G6" s="32" t="n">
        <f aca="false">IF(E6&gt;D6,E6-D6,0)</f>
        <v>0</v>
      </c>
    </row>
    <row r="7" customFormat="false" ht="15" hidden="false" customHeight="true" outlineLevel="0" collapsed="false">
      <c r="A7" s="30" t="s">
        <v>45</v>
      </c>
      <c r="B7" s="31" t="s">
        <v>46</v>
      </c>
      <c r="C7" s="30" t="s">
        <v>42</v>
      </c>
      <c r="D7" s="32" t="n">
        <f aca="false">SUMIF('Libro Diario'!$C$5:$C$504,A7,'Libro Diario'!$F$5:$F$504)</f>
        <v>0</v>
      </c>
      <c r="E7" s="32" t="n">
        <f aca="false">SUMIF('Libro Diario'!$C$5:$C$504,A7,'Libro Diario'!$G$5:$G$504)</f>
        <v>0</v>
      </c>
      <c r="F7" s="32" t="n">
        <f aca="false">IF(D7&gt;=E7,D7-E7,0)</f>
        <v>0</v>
      </c>
      <c r="G7" s="32" t="n">
        <f aca="false">IF(E7&gt;D7,E7-D7,0)</f>
        <v>0</v>
      </c>
    </row>
    <row r="8" customFormat="false" ht="15" hidden="false" customHeight="true" outlineLevel="0" collapsed="false">
      <c r="A8" s="30" t="s">
        <v>47</v>
      </c>
      <c r="B8" s="31" t="s">
        <v>48</v>
      </c>
      <c r="C8" s="30" t="s">
        <v>42</v>
      </c>
      <c r="D8" s="32" t="n">
        <f aca="false">SUMIF('Libro Diario'!$C$5:$C$504,A8,'Libro Diario'!$F$5:$F$504)</f>
        <v>0</v>
      </c>
      <c r="E8" s="32" t="n">
        <f aca="false">SUMIF('Libro Diario'!$C$5:$C$504,A8,'Libro Diario'!$G$5:$G$504)</f>
        <v>0</v>
      </c>
      <c r="F8" s="32" t="n">
        <f aca="false">IF(D8&gt;=E8,D8-E8,0)</f>
        <v>0</v>
      </c>
      <c r="G8" s="32" t="n">
        <f aca="false">IF(E8&gt;D8,E8-D8,0)</f>
        <v>0</v>
      </c>
    </row>
    <row r="9" customFormat="false" ht="15" hidden="false" customHeight="true" outlineLevel="0" collapsed="false">
      <c r="A9" s="30" t="s">
        <v>49</v>
      </c>
      <c r="B9" s="31" t="s">
        <v>50</v>
      </c>
      <c r="C9" s="30" t="s">
        <v>42</v>
      </c>
      <c r="D9" s="32" t="n">
        <f aca="false">SUMIF('Libro Diario'!$C$5:$C$504,A9,'Libro Diario'!$F$5:$F$504)</f>
        <v>0</v>
      </c>
      <c r="E9" s="32" t="n">
        <f aca="false">SUMIF('Libro Diario'!$C$5:$C$504,A9,'Libro Diario'!$G$5:$G$504)</f>
        <v>0</v>
      </c>
      <c r="F9" s="32" t="n">
        <f aca="false">IF(D9&gt;=E9,D9-E9,0)</f>
        <v>0</v>
      </c>
      <c r="G9" s="32" t="n">
        <f aca="false">IF(E9&gt;D9,E9-D9,0)</f>
        <v>0</v>
      </c>
    </row>
    <row r="10" customFormat="false" ht="15" hidden="false" customHeight="true" outlineLevel="0" collapsed="false">
      <c r="A10" s="30" t="s">
        <v>51</v>
      </c>
      <c r="B10" s="31" t="s">
        <v>52</v>
      </c>
      <c r="C10" s="30" t="s">
        <v>42</v>
      </c>
      <c r="D10" s="32" t="n">
        <f aca="false">SUMIF('Libro Diario'!$C$5:$C$504,A10,'Libro Diario'!$F$5:$F$504)</f>
        <v>0</v>
      </c>
      <c r="E10" s="32" t="n">
        <f aca="false">SUMIF('Libro Diario'!$C$5:$C$504,A10,'Libro Diario'!$G$5:$G$504)</f>
        <v>0</v>
      </c>
      <c r="F10" s="32" t="n">
        <f aca="false">IF(D10&gt;=E10,D10-E10,0)</f>
        <v>0</v>
      </c>
      <c r="G10" s="32" t="n">
        <f aca="false">IF(E10&gt;D10,E10-D10,0)</f>
        <v>0</v>
      </c>
    </row>
    <row r="11" customFormat="false" ht="15" hidden="false" customHeight="true" outlineLevel="0" collapsed="false">
      <c r="A11" s="30" t="s">
        <v>53</v>
      </c>
      <c r="B11" s="31" t="s">
        <v>54</v>
      </c>
      <c r="C11" s="30" t="s">
        <v>42</v>
      </c>
      <c r="D11" s="32" t="n">
        <f aca="false">SUMIF('Libro Diario'!$C$5:$C$504,A11,'Libro Diario'!$F$5:$F$504)</f>
        <v>0</v>
      </c>
      <c r="E11" s="32" t="n">
        <f aca="false">SUMIF('Libro Diario'!$C$5:$C$504,A11,'Libro Diario'!$G$5:$G$504)</f>
        <v>0</v>
      </c>
      <c r="F11" s="32" t="n">
        <f aca="false">IF(D11&gt;=E11,D11-E11,0)</f>
        <v>0</v>
      </c>
      <c r="G11" s="32" t="n">
        <f aca="false">IF(E11&gt;D11,E11-D11,0)</f>
        <v>0</v>
      </c>
    </row>
    <row r="12" customFormat="false" ht="15" hidden="false" customHeight="true" outlineLevel="0" collapsed="false">
      <c r="A12" s="30" t="s">
        <v>55</v>
      </c>
      <c r="B12" s="31" t="s">
        <v>56</v>
      </c>
      <c r="C12" s="30" t="s">
        <v>42</v>
      </c>
      <c r="D12" s="32" t="n">
        <f aca="false">SUMIF('Libro Diario'!$C$5:$C$504,A12,'Libro Diario'!$F$5:$F$504)</f>
        <v>0</v>
      </c>
      <c r="E12" s="32" t="n">
        <f aca="false">SUMIF('Libro Diario'!$C$5:$C$504,A12,'Libro Diario'!$G$5:$G$504)</f>
        <v>0</v>
      </c>
      <c r="F12" s="32" t="n">
        <f aca="false">IF(D12&gt;=E12,D12-E12,0)</f>
        <v>0</v>
      </c>
      <c r="G12" s="32" t="n">
        <f aca="false">IF(E12&gt;D12,E12-D12,0)</f>
        <v>0</v>
      </c>
    </row>
    <row r="13" customFormat="false" ht="15" hidden="false" customHeight="true" outlineLevel="0" collapsed="false">
      <c r="A13" s="30" t="s">
        <v>57</v>
      </c>
      <c r="B13" s="31" t="s">
        <v>58</v>
      </c>
      <c r="C13" s="30" t="s">
        <v>42</v>
      </c>
      <c r="D13" s="32" t="n">
        <f aca="false">SUMIF('Libro Diario'!$C$5:$C$504,A13,'Libro Diario'!$F$5:$F$504)</f>
        <v>0</v>
      </c>
      <c r="E13" s="32" t="n">
        <f aca="false">SUMIF('Libro Diario'!$C$5:$C$504,A13,'Libro Diario'!$G$5:$G$504)</f>
        <v>0</v>
      </c>
      <c r="F13" s="32" t="n">
        <f aca="false">IF(D13&gt;=E13,D13-E13,0)</f>
        <v>0</v>
      </c>
      <c r="G13" s="32" t="n">
        <f aca="false">IF(E13&gt;D13,E13-D13,0)</f>
        <v>0</v>
      </c>
    </row>
    <row r="14" customFormat="false" ht="15" hidden="false" customHeight="true" outlineLevel="0" collapsed="false">
      <c r="A14" s="30" t="s">
        <v>59</v>
      </c>
      <c r="B14" s="31" t="s">
        <v>60</v>
      </c>
      <c r="C14" s="30" t="s">
        <v>42</v>
      </c>
      <c r="D14" s="32" t="n">
        <f aca="false">SUMIF('Libro Diario'!$C$5:$C$504,A14,'Libro Diario'!$F$5:$F$504)</f>
        <v>0</v>
      </c>
      <c r="E14" s="32" t="n">
        <f aca="false">SUMIF('Libro Diario'!$C$5:$C$504,A14,'Libro Diario'!$G$5:$G$504)</f>
        <v>0</v>
      </c>
      <c r="F14" s="32" t="n">
        <f aca="false">IF(D14&gt;=E14,D14-E14,0)</f>
        <v>0</v>
      </c>
      <c r="G14" s="32" t="n">
        <f aca="false">IF(E14&gt;D14,E14-D14,0)</f>
        <v>0</v>
      </c>
    </row>
    <row r="15" customFormat="false" ht="15" hidden="false" customHeight="true" outlineLevel="0" collapsed="false">
      <c r="A15" s="30" t="s">
        <v>61</v>
      </c>
      <c r="B15" s="31" t="s">
        <v>62</v>
      </c>
      <c r="C15" s="30" t="s">
        <v>42</v>
      </c>
      <c r="D15" s="32" t="n">
        <f aca="false">SUMIF('Libro Diario'!$C$5:$C$504,A15,'Libro Diario'!$F$5:$F$504)</f>
        <v>0</v>
      </c>
      <c r="E15" s="32" t="n">
        <f aca="false">SUMIF('Libro Diario'!$C$5:$C$504,A15,'Libro Diario'!$G$5:$G$504)</f>
        <v>0</v>
      </c>
      <c r="F15" s="32" t="n">
        <f aca="false">IF(D15&gt;=E15,D15-E15,0)</f>
        <v>0</v>
      </c>
      <c r="G15" s="32" t="n">
        <f aca="false">IF(E15&gt;D15,E15-D15,0)</f>
        <v>0</v>
      </c>
    </row>
    <row r="16" customFormat="false" ht="15" hidden="false" customHeight="true" outlineLevel="0" collapsed="false">
      <c r="A16" s="30" t="s">
        <v>63</v>
      </c>
      <c r="B16" s="31" t="s">
        <v>64</v>
      </c>
      <c r="C16" s="30" t="s">
        <v>42</v>
      </c>
      <c r="D16" s="32" t="n">
        <f aca="false">SUMIF('Libro Diario'!$C$5:$C$504,A16,'Libro Diario'!$F$5:$F$504)</f>
        <v>0</v>
      </c>
      <c r="E16" s="32" t="n">
        <f aca="false">SUMIF('Libro Diario'!$C$5:$C$504,A16,'Libro Diario'!$G$5:$G$504)</f>
        <v>0</v>
      </c>
      <c r="F16" s="32" t="n">
        <f aca="false">IF(D16&gt;=E16,D16-E16,0)</f>
        <v>0</v>
      </c>
      <c r="G16" s="32" t="n">
        <f aca="false">IF(E16&gt;D16,E16-D16,0)</f>
        <v>0</v>
      </c>
    </row>
    <row r="17" customFormat="false" ht="15" hidden="false" customHeight="true" outlineLevel="0" collapsed="false">
      <c r="A17" s="30" t="s">
        <v>65</v>
      </c>
      <c r="B17" s="31" t="s">
        <v>66</v>
      </c>
      <c r="C17" s="30" t="s">
        <v>42</v>
      </c>
      <c r="D17" s="32" t="n">
        <f aca="false">SUMIF('Libro Diario'!$C$5:$C$504,A17,'Libro Diario'!$F$5:$F$504)</f>
        <v>0</v>
      </c>
      <c r="E17" s="32" t="n">
        <f aca="false">SUMIF('Libro Diario'!$C$5:$C$504,A17,'Libro Diario'!$G$5:$G$504)</f>
        <v>0</v>
      </c>
      <c r="F17" s="32" t="n">
        <f aca="false">IF(D17&gt;=E17,D17-E17,0)</f>
        <v>0</v>
      </c>
      <c r="G17" s="32" t="n">
        <f aca="false">IF(E17&gt;D17,E17-D17,0)</f>
        <v>0</v>
      </c>
    </row>
    <row r="18" customFormat="false" ht="15" hidden="false" customHeight="true" outlineLevel="0" collapsed="false">
      <c r="A18" s="30" t="s">
        <v>67</v>
      </c>
      <c r="B18" s="31" t="s">
        <v>68</v>
      </c>
      <c r="C18" s="30" t="s">
        <v>42</v>
      </c>
      <c r="D18" s="32" t="n">
        <f aca="false">SUMIF('Libro Diario'!$C$5:$C$504,A18,'Libro Diario'!$F$5:$F$504)</f>
        <v>0</v>
      </c>
      <c r="E18" s="32" t="n">
        <f aca="false">SUMIF('Libro Diario'!$C$5:$C$504,A18,'Libro Diario'!$G$5:$G$504)</f>
        <v>0</v>
      </c>
      <c r="F18" s="32" t="n">
        <f aca="false">IF(D18&gt;=E18,D18-E18,0)</f>
        <v>0</v>
      </c>
      <c r="G18" s="32" t="n">
        <f aca="false">IF(E18&gt;D18,E18-D18,0)</f>
        <v>0</v>
      </c>
    </row>
    <row r="19" customFormat="false" ht="15" hidden="false" customHeight="true" outlineLevel="0" collapsed="false">
      <c r="A19" s="30" t="s">
        <v>69</v>
      </c>
      <c r="B19" s="31" t="s">
        <v>66</v>
      </c>
      <c r="C19" s="30" t="s">
        <v>42</v>
      </c>
      <c r="D19" s="32" t="n">
        <f aca="false">SUMIF('Libro Diario'!$C$5:$C$504,A19,'Libro Diario'!$F$5:$F$504)</f>
        <v>0</v>
      </c>
      <c r="E19" s="32" t="n">
        <f aca="false">SUMIF('Libro Diario'!$C$5:$C$504,A19,'Libro Diario'!$G$5:$G$504)</f>
        <v>0</v>
      </c>
      <c r="F19" s="32" t="n">
        <f aca="false">IF(D19&gt;=E19,D19-E19,0)</f>
        <v>0</v>
      </c>
      <c r="G19" s="32" t="n">
        <f aca="false">IF(E19&gt;D19,E19-D19,0)</f>
        <v>0</v>
      </c>
    </row>
    <row r="20" customFormat="false" ht="15" hidden="false" customHeight="true" outlineLevel="0" collapsed="false">
      <c r="A20" s="30" t="s">
        <v>70</v>
      </c>
      <c r="B20" s="31" t="s">
        <v>68</v>
      </c>
      <c r="C20" s="30" t="s">
        <v>42</v>
      </c>
      <c r="D20" s="32" t="n">
        <f aca="false">SUMIF('Libro Diario'!$C$5:$C$504,A20,'Libro Diario'!$F$5:$F$504)</f>
        <v>0</v>
      </c>
      <c r="E20" s="32" t="n">
        <f aca="false">SUMIF('Libro Diario'!$C$5:$C$504,A20,'Libro Diario'!$G$5:$G$504)</f>
        <v>0</v>
      </c>
      <c r="F20" s="32" t="n">
        <f aca="false">IF(D20&gt;=E20,D20-E20,0)</f>
        <v>0</v>
      </c>
      <c r="G20" s="32" t="n">
        <f aca="false">IF(E20&gt;D20,E20-D20,0)</f>
        <v>0</v>
      </c>
    </row>
    <row r="21" customFormat="false" ht="15" hidden="false" customHeight="true" outlineLevel="0" collapsed="false">
      <c r="A21" s="30" t="s">
        <v>71</v>
      </c>
      <c r="B21" s="31" t="s">
        <v>66</v>
      </c>
      <c r="C21" s="30" t="s">
        <v>42</v>
      </c>
      <c r="D21" s="32" t="n">
        <f aca="false">SUMIF('Libro Diario'!$C$5:$C$504,A21,'Libro Diario'!$F$5:$F$504)</f>
        <v>0</v>
      </c>
      <c r="E21" s="32" t="n">
        <f aca="false">SUMIF('Libro Diario'!$C$5:$C$504,A21,'Libro Diario'!$G$5:$G$504)</f>
        <v>0</v>
      </c>
      <c r="F21" s="32" t="n">
        <f aca="false">IF(D21&gt;=E21,D21-E21,0)</f>
        <v>0</v>
      </c>
      <c r="G21" s="32" t="n">
        <f aca="false">IF(E21&gt;D21,E21-D21,0)</f>
        <v>0</v>
      </c>
    </row>
    <row r="22" customFormat="false" ht="15" hidden="false" customHeight="true" outlineLevel="0" collapsed="false">
      <c r="A22" s="30" t="s">
        <v>72</v>
      </c>
      <c r="B22" s="31" t="s">
        <v>68</v>
      </c>
      <c r="C22" s="30" t="s">
        <v>42</v>
      </c>
      <c r="D22" s="32" t="n">
        <f aca="false">SUMIF('Libro Diario'!$C$5:$C$504,A22,'Libro Diario'!$F$5:$F$504)</f>
        <v>0</v>
      </c>
      <c r="E22" s="32" t="n">
        <f aca="false">SUMIF('Libro Diario'!$C$5:$C$504,A22,'Libro Diario'!$G$5:$G$504)</f>
        <v>0</v>
      </c>
      <c r="F22" s="32" t="n">
        <f aca="false">IF(D22&gt;=E22,D22-E22,0)</f>
        <v>0</v>
      </c>
      <c r="G22" s="32" t="n">
        <f aca="false">IF(E22&gt;D22,E22-D22,0)</f>
        <v>0</v>
      </c>
    </row>
    <row r="23" customFormat="false" ht="15" hidden="false" customHeight="true" outlineLevel="0" collapsed="false">
      <c r="A23" s="30" t="s">
        <v>73</v>
      </c>
      <c r="B23" s="31" t="s">
        <v>66</v>
      </c>
      <c r="C23" s="30" t="s">
        <v>42</v>
      </c>
      <c r="D23" s="32" t="n">
        <f aca="false">SUMIF('Libro Diario'!$C$5:$C$504,A23,'Libro Diario'!$F$5:$F$504)</f>
        <v>0</v>
      </c>
      <c r="E23" s="32" t="n">
        <f aca="false">SUMIF('Libro Diario'!$C$5:$C$504,A23,'Libro Diario'!$G$5:$G$504)</f>
        <v>0</v>
      </c>
      <c r="F23" s="32" t="n">
        <f aca="false">IF(D23&gt;=E23,D23-E23,0)</f>
        <v>0</v>
      </c>
      <c r="G23" s="32" t="n">
        <f aca="false">IF(E23&gt;D23,E23-D23,0)</f>
        <v>0</v>
      </c>
    </row>
    <row r="24" customFormat="false" ht="15" hidden="false" customHeight="true" outlineLevel="0" collapsed="false">
      <c r="A24" s="30" t="s">
        <v>74</v>
      </c>
      <c r="B24" s="31" t="s">
        <v>68</v>
      </c>
      <c r="C24" s="30" t="s">
        <v>42</v>
      </c>
      <c r="D24" s="32" t="n">
        <f aca="false">SUMIF('Libro Diario'!$C$5:$C$504,A24,'Libro Diario'!$F$5:$F$504)</f>
        <v>0</v>
      </c>
      <c r="E24" s="32" t="n">
        <f aca="false">SUMIF('Libro Diario'!$C$5:$C$504,A24,'Libro Diario'!$G$5:$G$504)</f>
        <v>0</v>
      </c>
      <c r="F24" s="32" t="n">
        <f aca="false">IF(D24&gt;=E24,D24-E24,0)</f>
        <v>0</v>
      </c>
      <c r="G24" s="32" t="n">
        <f aca="false">IF(E24&gt;D24,E24-D24,0)</f>
        <v>0</v>
      </c>
    </row>
    <row r="25" customFormat="false" ht="15" hidden="false" customHeight="true" outlineLevel="0" collapsed="false">
      <c r="A25" s="30" t="s">
        <v>75</v>
      </c>
      <c r="B25" s="31" t="s">
        <v>66</v>
      </c>
      <c r="C25" s="30" t="s">
        <v>42</v>
      </c>
      <c r="D25" s="32" t="n">
        <f aca="false">SUMIF('Libro Diario'!$C$5:$C$504,A25,'Libro Diario'!$F$5:$F$504)</f>
        <v>0</v>
      </c>
      <c r="E25" s="32" t="n">
        <f aca="false">SUMIF('Libro Diario'!$C$5:$C$504,A25,'Libro Diario'!$G$5:$G$504)</f>
        <v>0</v>
      </c>
      <c r="F25" s="32" t="n">
        <f aca="false">IF(D25&gt;=E25,D25-E25,0)</f>
        <v>0</v>
      </c>
      <c r="G25" s="32" t="n">
        <f aca="false">IF(E25&gt;D25,E25-D25,0)</f>
        <v>0</v>
      </c>
    </row>
    <row r="26" customFormat="false" ht="15" hidden="false" customHeight="true" outlineLevel="0" collapsed="false">
      <c r="A26" s="30" t="s">
        <v>76</v>
      </c>
      <c r="B26" s="31" t="s">
        <v>68</v>
      </c>
      <c r="C26" s="30" t="s">
        <v>42</v>
      </c>
      <c r="D26" s="32" t="n">
        <f aca="false">SUMIF('Libro Diario'!$C$5:$C$504,A26,'Libro Diario'!$F$5:$F$504)</f>
        <v>0</v>
      </c>
      <c r="E26" s="32" t="n">
        <f aca="false">SUMIF('Libro Diario'!$C$5:$C$504,A26,'Libro Diario'!$G$5:$G$504)</f>
        <v>0</v>
      </c>
      <c r="F26" s="32" t="n">
        <f aca="false">IF(D26&gt;=E26,D26-E26,0)</f>
        <v>0</v>
      </c>
      <c r="G26" s="32" t="n">
        <f aca="false">IF(E26&gt;D26,E26-D26,0)</f>
        <v>0</v>
      </c>
    </row>
    <row r="27" customFormat="false" ht="15" hidden="false" customHeight="true" outlineLevel="0" collapsed="false">
      <c r="A27" s="30" t="s">
        <v>77</v>
      </c>
      <c r="B27" s="31" t="s">
        <v>66</v>
      </c>
      <c r="C27" s="30" t="s">
        <v>42</v>
      </c>
      <c r="D27" s="32" t="n">
        <f aca="false">SUMIF('Libro Diario'!$C$5:$C$504,A27,'Libro Diario'!$F$5:$F$504)</f>
        <v>0</v>
      </c>
      <c r="E27" s="32" t="n">
        <f aca="false">SUMIF('Libro Diario'!$C$5:$C$504,A27,'Libro Diario'!$G$5:$G$504)</f>
        <v>0</v>
      </c>
      <c r="F27" s="32" t="n">
        <f aca="false">IF(D27&gt;=E27,D27-E27,0)</f>
        <v>0</v>
      </c>
      <c r="G27" s="32" t="n">
        <f aca="false">IF(E27&gt;D27,E27-D27,0)</f>
        <v>0</v>
      </c>
    </row>
    <row r="28" customFormat="false" ht="15" hidden="false" customHeight="true" outlineLevel="0" collapsed="false">
      <c r="A28" s="30" t="s">
        <v>78</v>
      </c>
      <c r="B28" s="31" t="s">
        <v>68</v>
      </c>
      <c r="C28" s="30" t="s">
        <v>42</v>
      </c>
      <c r="D28" s="32" t="n">
        <f aca="false">SUMIF('Libro Diario'!$C$5:$C$504,A28,'Libro Diario'!$F$5:$F$504)</f>
        <v>0</v>
      </c>
      <c r="E28" s="32" t="n">
        <f aca="false">SUMIF('Libro Diario'!$C$5:$C$504,A28,'Libro Diario'!$G$5:$G$504)</f>
        <v>0</v>
      </c>
      <c r="F28" s="32" t="n">
        <f aca="false">IF(D28&gt;=E28,D28-E28,0)</f>
        <v>0</v>
      </c>
      <c r="G28" s="32" t="n">
        <f aca="false">IF(E28&gt;D28,E28-D28,0)</f>
        <v>0</v>
      </c>
    </row>
    <row r="29" customFormat="false" ht="15" hidden="false" customHeight="true" outlineLevel="0" collapsed="false">
      <c r="A29" s="30" t="s">
        <v>79</v>
      </c>
      <c r="B29" s="31" t="s">
        <v>66</v>
      </c>
      <c r="C29" s="30" t="s">
        <v>42</v>
      </c>
      <c r="D29" s="32" t="n">
        <f aca="false">SUMIF('Libro Diario'!$C$5:$C$504,A29,'Libro Diario'!$F$5:$F$504)</f>
        <v>0</v>
      </c>
      <c r="E29" s="32" t="n">
        <f aca="false">SUMIF('Libro Diario'!$C$5:$C$504,A29,'Libro Diario'!$G$5:$G$504)</f>
        <v>0</v>
      </c>
      <c r="F29" s="32" t="n">
        <f aca="false">IF(D29&gt;=E29,D29-E29,0)</f>
        <v>0</v>
      </c>
      <c r="G29" s="32" t="n">
        <f aca="false">IF(E29&gt;D29,E29-D29,0)</f>
        <v>0</v>
      </c>
    </row>
    <row r="30" customFormat="false" ht="15" hidden="false" customHeight="true" outlineLevel="0" collapsed="false">
      <c r="A30" s="30" t="s">
        <v>80</v>
      </c>
      <c r="B30" s="31" t="s">
        <v>68</v>
      </c>
      <c r="C30" s="30" t="s">
        <v>42</v>
      </c>
      <c r="D30" s="32" t="n">
        <f aca="false">SUMIF('Libro Diario'!$C$5:$C$504,A30,'Libro Diario'!$F$5:$F$504)</f>
        <v>0</v>
      </c>
      <c r="E30" s="32" t="n">
        <f aca="false">SUMIF('Libro Diario'!$C$5:$C$504,A30,'Libro Diario'!$G$5:$G$504)</f>
        <v>0</v>
      </c>
      <c r="F30" s="32" t="n">
        <f aca="false">IF(D30&gt;=E30,D30-E30,0)</f>
        <v>0</v>
      </c>
      <c r="G30" s="32" t="n">
        <f aca="false">IF(E30&gt;D30,E30-D30,0)</f>
        <v>0</v>
      </c>
    </row>
    <row r="31" customFormat="false" ht="15" hidden="false" customHeight="true" outlineLevel="0" collapsed="false">
      <c r="A31" s="30" t="s">
        <v>81</v>
      </c>
      <c r="B31" s="31" t="s">
        <v>66</v>
      </c>
      <c r="C31" s="30" t="s">
        <v>42</v>
      </c>
      <c r="D31" s="32" t="n">
        <f aca="false">SUMIF('Libro Diario'!$C$5:$C$504,A31,'Libro Diario'!$F$5:$F$504)</f>
        <v>0</v>
      </c>
      <c r="E31" s="32" t="n">
        <f aca="false">SUMIF('Libro Diario'!$C$5:$C$504,A31,'Libro Diario'!$G$5:$G$504)</f>
        <v>0</v>
      </c>
      <c r="F31" s="32" t="n">
        <f aca="false">IF(D31&gt;=E31,D31-E31,0)</f>
        <v>0</v>
      </c>
      <c r="G31" s="32" t="n">
        <f aca="false">IF(E31&gt;D31,E31-D31,0)</f>
        <v>0</v>
      </c>
    </row>
    <row r="32" customFormat="false" ht="15" hidden="false" customHeight="true" outlineLevel="0" collapsed="false">
      <c r="A32" s="30" t="s">
        <v>82</v>
      </c>
      <c r="B32" s="31" t="s">
        <v>68</v>
      </c>
      <c r="C32" s="30" t="s">
        <v>42</v>
      </c>
      <c r="D32" s="32" t="n">
        <f aca="false">SUMIF('Libro Diario'!$C$5:$C$504,A32,'Libro Diario'!$F$5:$F$504)</f>
        <v>0</v>
      </c>
      <c r="E32" s="32" t="n">
        <f aca="false">SUMIF('Libro Diario'!$C$5:$C$504,A32,'Libro Diario'!$G$5:$G$504)</f>
        <v>0</v>
      </c>
      <c r="F32" s="32" t="n">
        <f aca="false">IF(D32&gt;=E32,D32-E32,0)</f>
        <v>0</v>
      </c>
      <c r="G32" s="32" t="n">
        <f aca="false">IF(E32&gt;D32,E32-D32,0)</f>
        <v>0</v>
      </c>
    </row>
    <row r="33" customFormat="false" ht="15" hidden="false" customHeight="true" outlineLevel="0" collapsed="false">
      <c r="A33" s="30" t="s">
        <v>83</v>
      </c>
      <c r="B33" s="31" t="s">
        <v>84</v>
      </c>
      <c r="C33" s="30" t="s">
        <v>42</v>
      </c>
      <c r="D33" s="32" t="n">
        <f aca="false">SUMIF('Libro Diario'!$C$5:$C$504,A33,'Libro Diario'!$F$5:$F$504)</f>
        <v>0</v>
      </c>
      <c r="E33" s="32" t="n">
        <f aca="false">SUMIF('Libro Diario'!$C$5:$C$504,A33,'Libro Diario'!$G$5:$G$504)</f>
        <v>0</v>
      </c>
      <c r="F33" s="32" t="n">
        <f aca="false">IF(D33&gt;=E33,D33-E33,0)</f>
        <v>0</v>
      </c>
      <c r="G33" s="32" t="n">
        <f aca="false">IF(E33&gt;D33,E33-D33,0)</f>
        <v>0</v>
      </c>
    </row>
    <row r="34" customFormat="false" ht="15" hidden="false" customHeight="true" outlineLevel="0" collapsed="false">
      <c r="A34" s="30" t="s">
        <v>85</v>
      </c>
      <c r="B34" s="31" t="s">
        <v>86</v>
      </c>
      <c r="C34" s="30" t="s">
        <v>42</v>
      </c>
      <c r="D34" s="32" t="n">
        <f aca="false">SUMIF('Libro Diario'!$C$5:$C$504,A34,'Libro Diario'!$F$5:$F$504)</f>
        <v>0</v>
      </c>
      <c r="E34" s="32" t="n">
        <f aca="false">SUMIF('Libro Diario'!$C$5:$C$504,A34,'Libro Diario'!$G$5:$G$504)</f>
        <v>0</v>
      </c>
      <c r="F34" s="32" t="n">
        <f aca="false">IF(D34&gt;=E34,D34-E34,0)</f>
        <v>0</v>
      </c>
      <c r="G34" s="32" t="n">
        <f aca="false">IF(E34&gt;D34,E34-D34,0)</f>
        <v>0</v>
      </c>
    </row>
    <row r="35" customFormat="false" ht="15" hidden="false" customHeight="true" outlineLevel="0" collapsed="false">
      <c r="A35" s="30" t="s">
        <v>87</v>
      </c>
      <c r="B35" s="31" t="s">
        <v>88</v>
      </c>
      <c r="C35" s="30" t="s">
        <v>42</v>
      </c>
      <c r="D35" s="32" t="n">
        <f aca="false">SUMIF('Libro Diario'!$C$5:$C$504,A35,'Libro Diario'!$F$5:$F$504)</f>
        <v>0</v>
      </c>
      <c r="E35" s="32" t="n">
        <f aca="false">SUMIF('Libro Diario'!$C$5:$C$504,A35,'Libro Diario'!$G$5:$G$504)</f>
        <v>0</v>
      </c>
      <c r="F35" s="32" t="n">
        <f aca="false">IF(D35&gt;=E35,D35-E35,0)</f>
        <v>0</v>
      </c>
      <c r="G35" s="32" t="n">
        <f aca="false">IF(E35&gt;D35,E35-D35,0)</f>
        <v>0</v>
      </c>
    </row>
    <row r="36" customFormat="false" ht="15" hidden="false" customHeight="true" outlineLevel="0" collapsed="false">
      <c r="A36" s="30" t="s">
        <v>89</v>
      </c>
      <c r="B36" s="31" t="s">
        <v>90</v>
      </c>
      <c r="C36" s="30" t="s">
        <v>42</v>
      </c>
      <c r="D36" s="32" t="n">
        <f aca="false">SUMIF('Libro Diario'!$C$5:$C$504,A36,'Libro Diario'!$F$5:$F$504)</f>
        <v>0</v>
      </c>
      <c r="E36" s="32" t="n">
        <f aca="false">SUMIF('Libro Diario'!$C$5:$C$504,A36,'Libro Diario'!$G$5:$G$504)</f>
        <v>0</v>
      </c>
      <c r="F36" s="32" t="n">
        <f aca="false">IF(D36&gt;=E36,D36-E36,0)</f>
        <v>0</v>
      </c>
      <c r="G36" s="32" t="n">
        <f aca="false">IF(E36&gt;D36,E36-D36,0)</f>
        <v>0</v>
      </c>
    </row>
    <row r="37" customFormat="false" ht="15" hidden="false" customHeight="true" outlineLevel="0" collapsed="false">
      <c r="A37" s="30" t="s">
        <v>91</v>
      </c>
      <c r="B37" s="31" t="s">
        <v>92</v>
      </c>
      <c r="C37" s="30" t="s">
        <v>42</v>
      </c>
      <c r="D37" s="32" t="n">
        <f aca="false">SUMIF('Libro Diario'!$C$5:$C$504,A37,'Libro Diario'!$F$5:$F$504)</f>
        <v>0</v>
      </c>
      <c r="E37" s="32" t="n">
        <f aca="false">SUMIF('Libro Diario'!$C$5:$C$504,A37,'Libro Diario'!$G$5:$G$504)</f>
        <v>0</v>
      </c>
      <c r="F37" s="32" t="n">
        <f aca="false">IF(D37&gt;=E37,D37-E37,0)</f>
        <v>0</v>
      </c>
      <c r="G37" s="32" t="n">
        <f aca="false">IF(E37&gt;D37,E37-D37,0)</f>
        <v>0</v>
      </c>
    </row>
    <row r="38" customFormat="false" ht="15" hidden="false" customHeight="true" outlineLevel="0" collapsed="false">
      <c r="A38" s="30" t="s">
        <v>93</v>
      </c>
      <c r="B38" s="31" t="s">
        <v>94</v>
      </c>
      <c r="C38" s="30" t="s">
        <v>42</v>
      </c>
      <c r="D38" s="32" t="n">
        <f aca="false">SUMIF('Libro Diario'!$C$5:$C$504,A38,'Libro Diario'!$F$5:$F$504)</f>
        <v>0</v>
      </c>
      <c r="E38" s="32" t="n">
        <f aca="false">SUMIF('Libro Diario'!$C$5:$C$504,A38,'Libro Diario'!$G$5:$G$504)</f>
        <v>0</v>
      </c>
      <c r="F38" s="32" t="n">
        <f aca="false">IF(D38&gt;=E38,D38-E38,0)</f>
        <v>0</v>
      </c>
      <c r="G38" s="32" t="n">
        <f aca="false">IF(E38&gt;D38,E38-D38,0)</f>
        <v>0</v>
      </c>
    </row>
    <row r="39" customFormat="false" ht="15" hidden="false" customHeight="true" outlineLevel="0" collapsed="false">
      <c r="A39" s="30" t="s">
        <v>95</v>
      </c>
      <c r="B39" s="31" t="s">
        <v>88</v>
      </c>
      <c r="C39" s="30" t="s">
        <v>42</v>
      </c>
      <c r="D39" s="32" t="n">
        <f aca="false">SUMIF('Libro Diario'!$C$5:$C$504,A39,'Libro Diario'!$F$5:$F$504)</f>
        <v>0</v>
      </c>
      <c r="E39" s="32" t="n">
        <f aca="false">SUMIF('Libro Diario'!$C$5:$C$504,A39,'Libro Diario'!$G$5:$G$504)</f>
        <v>0</v>
      </c>
      <c r="F39" s="32" t="n">
        <f aca="false">IF(D39&gt;=E39,D39-E39,0)</f>
        <v>0</v>
      </c>
      <c r="G39" s="32" t="n">
        <f aca="false">IF(E39&gt;D39,E39-D39,0)</f>
        <v>0</v>
      </c>
    </row>
    <row r="40" customFormat="false" ht="15" hidden="false" customHeight="true" outlineLevel="0" collapsed="false">
      <c r="A40" s="30" t="s">
        <v>96</v>
      </c>
      <c r="B40" s="31" t="s">
        <v>90</v>
      </c>
      <c r="C40" s="30" t="s">
        <v>42</v>
      </c>
      <c r="D40" s="32" t="n">
        <f aca="false">SUMIF('Libro Diario'!$C$5:$C$504,A40,'Libro Diario'!$F$5:$F$504)</f>
        <v>0</v>
      </c>
      <c r="E40" s="32" t="n">
        <f aca="false">SUMIF('Libro Diario'!$C$5:$C$504,A40,'Libro Diario'!$G$5:$G$504)</f>
        <v>0</v>
      </c>
      <c r="F40" s="32" t="n">
        <f aca="false">IF(D40&gt;=E40,D40-E40,0)</f>
        <v>0</v>
      </c>
      <c r="G40" s="32" t="n">
        <f aca="false">IF(E40&gt;D40,E40-D40,0)</f>
        <v>0</v>
      </c>
    </row>
    <row r="41" customFormat="false" ht="15" hidden="false" customHeight="true" outlineLevel="0" collapsed="false">
      <c r="A41" s="30" t="s">
        <v>97</v>
      </c>
      <c r="B41" s="31" t="s">
        <v>84</v>
      </c>
      <c r="C41" s="30" t="s">
        <v>42</v>
      </c>
      <c r="D41" s="32" t="n">
        <f aca="false">SUMIF('Libro Diario'!$C$5:$C$504,A41,'Libro Diario'!$F$5:$F$504)</f>
        <v>0</v>
      </c>
      <c r="E41" s="32" t="n">
        <f aca="false">SUMIF('Libro Diario'!$C$5:$C$504,A41,'Libro Diario'!$G$5:$G$504)</f>
        <v>0</v>
      </c>
      <c r="F41" s="32" t="n">
        <f aca="false">IF(D41&gt;=E41,D41-E41,0)</f>
        <v>0</v>
      </c>
      <c r="G41" s="32" t="n">
        <f aca="false">IF(E41&gt;D41,E41-D41,0)</f>
        <v>0</v>
      </c>
    </row>
    <row r="42" customFormat="false" ht="15" hidden="false" customHeight="true" outlineLevel="0" collapsed="false">
      <c r="A42" s="30" t="s">
        <v>98</v>
      </c>
      <c r="B42" s="31" t="s">
        <v>94</v>
      </c>
      <c r="C42" s="30" t="s">
        <v>42</v>
      </c>
      <c r="D42" s="32" t="n">
        <f aca="false">SUMIF('Libro Diario'!$C$5:$C$504,A42,'Libro Diario'!$F$5:$F$504)</f>
        <v>0</v>
      </c>
      <c r="E42" s="32" t="n">
        <f aca="false">SUMIF('Libro Diario'!$C$5:$C$504,A42,'Libro Diario'!$G$5:$G$504)</f>
        <v>0</v>
      </c>
      <c r="F42" s="32" t="n">
        <f aca="false">IF(D42&gt;=E42,D42-E42,0)</f>
        <v>0</v>
      </c>
      <c r="G42" s="32" t="n">
        <f aca="false">IF(E42&gt;D42,E42-D42,0)</f>
        <v>0</v>
      </c>
    </row>
    <row r="43" customFormat="false" ht="15" hidden="false" customHeight="true" outlineLevel="0" collapsed="false">
      <c r="A43" s="30" t="s">
        <v>99</v>
      </c>
      <c r="B43" s="31" t="s">
        <v>88</v>
      </c>
      <c r="C43" s="30" t="s">
        <v>42</v>
      </c>
      <c r="D43" s="32" t="n">
        <f aca="false">SUMIF('Libro Diario'!$C$5:$C$504,A43,'Libro Diario'!$F$5:$F$504)</f>
        <v>0</v>
      </c>
      <c r="E43" s="32" t="n">
        <f aca="false">SUMIF('Libro Diario'!$C$5:$C$504,A43,'Libro Diario'!$G$5:$G$504)</f>
        <v>0</v>
      </c>
      <c r="F43" s="32" t="n">
        <f aca="false">IF(D43&gt;=E43,D43-E43,0)</f>
        <v>0</v>
      </c>
      <c r="G43" s="32" t="n">
        <f aca="false">IF(E43&gt;D43,E43-D43,0)</f>
        <v>0</v>
      </c>
    </row>
    <row r="44" customFormat="false" ht="15" hidden="false" customHeight="true" outlineLevel="0" collapsed="false">
      <c r="A44" s="30" t="s">
        <v>100</v>
      </c>
      <c r="B44" s="31" t="s">
        <v>90</v>
      </c>
      <c r="C44" s="30" t="s">
        <v>42</v>
      </c>
      <c r="D44" s="32" t="n">
        <f aca="false">SUMIF('Libro Diario'!$C$5:$C$504,A44,'Libro Diario'!$F$5:$F$504)</f>
        <v>0</v>
      </c>
      <c r="E44" s="32" t="n">
        <f aca="false">SUMIF('Libro Diario'!$C$5:$C$504,A44,'Libro Diario'!$G$5:$G$504)</f>
        <v>0</v>
      </c>
      <c r="F44" s="32" t="n">
        <f aca="false">IF(D44&gt;=E44,D44-E44,0)</f>
        <v>0</v>
      </c>
      <c r="G44" s="32" t="n">
        <f aca="false">IF(E44&gt;D44,E44-D44,0)</f>
        <v>0</v>
      </c>
    </row>
    <row r="45" customFormat="false" ht="15" hidden="false" customHeight="true" outlineLevel="0" collapsed="false">
      <c r="A45" s="30" t="s">
        <v>101</v>
      </c>
      <c r="B45" s="31" t="s">
        <v>102</v>
      </c>
      <c r="C45" s="30" t="s">
        <v>42</v>
      </c>
      <c r="D45" s="32" t="n">
        <f aca="false">SUMIF('Libro Diario'!$C$5:$C$504,A45,'Libro Diario'!$F$5:$F$504)</f>
        <v>0</v>
      </c>
      <c r="E45" s="32" t="n">
        <f aca="false">SUMIF('Libro Diario'!$C$5:$C$504,A45,'Libro Diario'!$G$5:$G$504)</f>
        <v>0</v>
      </c>
      <c r="F45" s="32" t="n">
        <f aca="false">IF(D45&gt;=E45,D45-E45,0)</f>
        <v>0</v>
      </c>
      <c r="G45" s="32" t="n">
        <f aca="false">IF(E45&gt;D45,E45-D45,0)</f>
        <v>0</v>
      </c>
    </row>
    <row r="46" customFormat="false" ht="15" hidden="false" customHeight="true" outlineLevel="0" collapsed="false">
      <c r="A46" s="30" t="s">
        <v>103</v>
      </c>
      <c r="B46" s="31" t="s">
        <v>94</v>
      </c>
      <c r="C46" s="30" t="s">
        <v>42</v>
      </c>
      <c r="D46" s="32" t="n">
        <f aca="false">SUMIF('Libro Diario'!$C$5:$C$504,A46,'Libro Diario'!$F$5:$F$504)</f>
        <v>0</v>
      </c>
      <c r="E46" s="32" t="n">
        <f aca="false">SUMIF('Libro Diario'!$C$5:$C$504,A46,'Libro Diario'!$G$5:$G$504)</f>
        <v>0</v>
      </c>
      <c r="F46" s="32" t="n">
        <f aca="false">IF(D46&gt;=E46,D46-E46,0)</f>
        <v>0</v>
      </c>
      <c r="G46" s="32" t="n">
        <f aca="false">IF(E46&gt;D46,E46-D46,0)</f>
        <v>0</v>
      </c>
    </row>
    <row r="47" customFormat="false" ht="15" hidden="false" customHeight="true" outlineLevel="0" collapsed="false">
      <c r="A47" s="30" t="s">
        <v>104</v>
      </c>
      <c r="B47" s="31" t="s">
        <v>88</v>
      </c>
      <c r="C47" s="30" t="s">
        <v>42</v>
      </c>
      <c r="D47" s="32" t="n">
        <f aca="false">SUMIF('Libro Diario'!$C$5:$C$504,A47,'Libro Diario'!$F$5:$F$504)</f>
        <v>0</v>
      </c>
      <c r="E47" s="32" t="n">
        <f aca="false">SUMIF('Libro Diario'!$C$5:$C$504,A47,'Libro Diario'!$G$5:$G$504)</f>
        <v>0</v>
      </c>
      <c r="F47" s="32" t="n">
        <f aca="false">IF(D47&gt;=E47,D47-E47,0)</f>
        <v>0</v>
      </c>
      <c r="G47" s="32" t="n">
        <f aca="false">IF(E47&gt;D47,E47-D47,0)</f>
        <v>0</v>
      </c>
    </row>
    <row r="48" customFormat="false" ht="15" hidden="false" customHeight="true" outlineLevel="0" collapsed="false">
      <c r="A48" s="30" t="s">
        <v>105</v>
      </c>
      <c r="B48" s="31" t="s">
        <v>90</v>
      </c>
      <c r="C48" s="30" t="s">
        <v>42</v>
      </c>
      <c r="D48" s="32" t="n">
        <f aca="false">SUMIF('Libro Diario'!$C$5:$C$504,A48,'Libro Diario'!$F$5:$F$504)</f>
        <v>0</v>
      </c>
      <c r="E48" s="32" t="n">
        <f aca="false">SUMIF('Libro Diario'!$C$5:$C$504,A48,'Libro Diario'!$G$5:$G$504)</f>
        <v>0</v>
      </c>
      <c r="F48" s="32" t="n">
        <f aca="false">IF(D48&gt;=E48,D48-E48,0)</f>
        <v>0</v>
      </c>
      <c r="G48" s="32" t="n">
        <f aca="false">IF(E48&gt;D48,E48-D48,0)</f>
        <v>0</v>
      </c>
    </row>
    <row r="49" customFormat="false" ht="15" hidden="false" customHeight="true" outlineLevel="0" collapsed="false">
      <c r="A49" s="30" t="s">
        <v>106</v>
      </c>
      <c r="B49" s="31" t="s">
        <v>107</v>
      </c>
      <c r="C49" s="30" t="s">
        <v>42</v>
      </c>
      <c r="D49" s="32" t="n">
        <f aca="false">SUMIF('Libro Diario'!$C$5:$C$504,A49,'Libro Diario'!$F$5:$F$504)</f>
        <v>0</v>
      </c>
      <c r="E49" s="32" t="n">
        <f aca="false">SUMIF('Libro Diario'!$C$5:$C$504,A49,'Libro Diario'!$G$5:$G$504)</f>
        <v>0</v>
      </c>
      <c r="F49" s="32" t="n">
        <f aca="false">IF(D49&gt;=E49,D49-E49,0)</f>
        <v>0</v>
      </c>
      <c r="G49" s="32" t="n">
        <f aca="false">IF(E49&gt;D49,E49-D49,0)</f>
        <v>0</v>
      </c>
    </row>
    <row r="50" customFormat="false" ht="15" hidden="false" customHeight="true" outlineLevel="0" collapsed="false">
      <c r="A50" s="30" t="s">
        <v>108</v>
      </c>
      <c r="B50" s="31" t="s">
        <v>109</v>
      </c>
      <c r="C50" s="30" t="s">
        <v>42</v>
      </c>
      <c r="D50" s="32" t="n">
        <f aca="false">SUMIF('Libro Diario'!$C$5:$C$504,A50,'Libro Diario'!$F$5:$F$504)</f>
        <v>0</v>
      </c>
      <c r="E50" s="32" t="n">
        <f aca="false">SUMIF('Libro Diario'!$C$5:$C$504,A50,'Libro Diario'!$G$5:$G$504)</f>
        <v>0</v>
      </c>
      <c r="F50" s="32" t="n">
        <f aca="false">IF(D50&gt;=E50,D50-E50,0)</f>
        <v>0</v>
      </c>
      <c r="G50" s="32" t="n">
        <f aca="false">IF(E50&gt;D50,E50-D50,0)</f>
        <v>0</v>
      </c>
    </row>
    <row r="51" customFormat="false" ht="15" hidden="false" customHeight="true" outlineLevel="0" collapsed="false">
      <c r="A51" s="30" t="s">
        <v>110</v>
      </c>
      <c r="B51" s="31" t="s">
        <v>111</v>
      </c>
      <c r="C51" s="30" t="s">
        <v>42</v>
      </c>
      <c r="D51" s="32" t="n">
        <f aca="false">SUMIF('Libro Diario'!$C$5:$C$504,A51,'Libro Diario'!$F$5:$F$504)</f>
        <v>0</v>
      </c>
      <c r="E51" s="32" t="n">
        <f aca="false">SUMIF('Libro Diario'!$C$5:$C$504,A51,'Libro Diario'!$G$5:$G$504)</f>
        <v>0</v>
      </c>
      <c r="F51" s="32" t="n">
        <f aca="false">IF(D51&gt;=E51,D51-E51,0)</f>
        <v>0</v>
      </c>
      <c r="G51" s="32" t="n">
        <f aca="false">IF(E51&gt;D51,E51-D51,0)</f>
        <v>0</v>
      </c>
    </row>
    <row r="52" customFormat="false" ht="15" hidden="false" customHeight="true" outlineLevel="0" collapsed="false">
      <c r="A52" s="30" t="s">
        <v>112</v>
      </c>
      <c r="B52" s="31" t="s">
        <v>113</v>
      </c>
      <c r="C52" s="30" t="s">
        <v>42</v>
      </c>
      <c r="D52" s="32" t="n">
        <f aca="false">SUMIF('Libro Diario'!$C$5:$C$504,A52,'Libro Diario'!$F$5:$F$504)</f>
        <v>0</v>
      </c>
      <c r="E52" s="32" t="n">
        <f aca="false">SUMIF('Libro Diario'!$C$5:$C$504,A52,'Libro Diario'!$G$5:$G$504)</f>
        <v>0</v>
      </c>
      <c r="F52" s="32" t="n">
        <f aca="false">IF(D52&gt;=E52,D52-E52,0)</f>
        <v>0</v>
      </c>
      <c r="G52" s="32" t="n">
        <f aca="false">IF(E52&gt;D52,E52-D52,0)</f>
        <v>0</v>
      </c>
    </row>
    <row r="53" customFormat="false" ht="15" hidden="false" customHeight="true" outlineLevel="0" collapsed="false">
      <c r="A53" s="30" t="s">
        <v>114</v>
      </c>
      <c r="B53" s="31" t="s">
        <v>115</v>
      </c>
      <c r="C53" s="30" t="s">
        <v>42</v>
      </c>
      <c r="D53" s="32" t="n">
        <f aca="false">SUMIF('Libro Diario'!$C$5:$C$504,A53,'Libro Diario'!$F$5:$F$504)</f>
        <v>0</v>
      </c>
      <c r="E53" s="32" t="n">
        <f aca="false">SUMIF('Libro Diario'!$C$5:$C$504,A53,'Libro Diario'!$G$5:$G$504)</f>
        <v>0</v>
      </c>
      <c r="F53" s="32" t="n">
        <f aca="false">IF(D53&gt;=E53,D53-E53,0)</f>
        <v>0</v>
      </c>
      <c r="G53" s="32" t="n">
        <f aca="false">IF(E53&gt;D53,E53-D53,0)</f>
        <v>0</v>
      </c>
    </row>
    <row r="54" customFormat="false" ht="15" hidden="false" customHeight="true" outlineLevel="0" collapsed="false">
      <c r="A54" s="30" t="s">
        <v>116</v>
      </c>
      <c r="B54" s="31" t="s">
        <v>107</v>
      </c>
      <c r="C54" s="30" t="s">
        <v>42</v>
      </c>
      <c r="D54" s="32" t="n">
        <f aca="false">SUMIF('Libro Diario'!$C$5:$C$504,A54,'Libro Diario'!$F$5:$F$504)</f>
        <v>0</v>
      </c>
      <c r="E54" s="32" t="n">
        <f aca="false">SUMIF('Libro Diario'!$C$5:$C$504,A54,'Libro Diario'!$G$5:$G$504)</f>
        <v>0</v>
      </c>
      <c r="F54" s="32" t="n">
        <f aca="false">IF(D54&gt;=E54,D54-E54,0)</f>
        <v>0</v>
      </c>
      <c r="G54" s="32" t="n">
        <f aca="false">IF(E54&gt;D54,E54-D54,0)</f>
        <v>0</v>
      </c>
    </row>
    <row r="55" customFormat="false" ht="15" hidden="false" customHeight="true" outlineLevel="0" collapsed="false">
      <c r="A55" s="30" t="s">
        <v>117</v>
      </c>
      <c r="B55" s="31" t="s">
        <v>107</v>
      </c>
      <c r="C55" s="30" t="s">
        <v>42</v>
      </c>
      <c r="D55" s="32" t="n">
        <f aca="false">SUMIF('Libro Diario'!$C$5:$C$504,A55,'Libro Diario'!$F$5:$F$504)</f>
        <v>0</v>
      </c>
      <c r="E55" s="32" t="n">
        <f aca="false">SUMIF('Libro Diario'!$C$5:$C$504,A55,'Libro Diario'!$G$5:$G$504)</f>
        <v>0</v>
      </c>
      <c r="F55" s="32" t="n">
        <f aca="false">IF(D55&gt;=E55,D55-E55,0)</f>
        <v>0</v>
      </c>
      <c r="G55" s="32" t="n">
        <f aca="false">IF(E55&gt;D55,E55-D55,0)</f>
        <v>0</v>
      </c>
    </row>
    <row r="56" customFormat="false" ht="15" hidden="false" customHeight="true" outlineLevel="0" collapsed="false">
      <c r="A56" s="30" t="s">
        <v>118</v>
      </c>
      <c r="B56" s="31" t="s">
        <v>119</v>
      </c>
      <c r="C56" s="30" t="s">
        <v>42</v>
      </c>
      <c r="D56" s="32" t="n">
        <f aca="false">SUMIF('Libro Diario'!$C$5:$C$504,A56,'Libro Diario'!$F$5:$F$504)</f>
        <v>0</v>
      </c>
      <c r="E56" s="32" t="n">
        <f aca="false">SUMIF('Libro Diario'!$C$5:$C$504,A56,'Libro Diario'!$G$5:$G$504)</f>
        <v>0</v>
      </c>
      <c r="F56" s="32" t="n">
        <f aca="false">IF(D56&gt;=E56,D56-E56,0)</f>
        <v>0</v>
      </c>
      <c r="G56" s="32" t="n">
        <f aca="false">IF(E56&gt;D56,E56-D56,0)</f>
        <v>0</v>
      </c>
    </row>
    <row r="57" customFormat="false" ht="15" hidden="false" customHeight="true" outlineLevel="0" collapsed="false">
      <c r="A57" s="30" t="s">
        <v>120</v>
      </c>
      <c r="B57" s="31" t="s">
        <v>111</v>
      </c>
      <c r="C57" s="30" t="s">
        <v>42</v>
      </c>
      <c r="D57" s="32" t="n">
        <f aca="false">SUMIF('Libro Diario'!$C$5:$C$504,A57,'Libro Diario'!$F$5:$F$504)</f>
        <v>0</v>
      </c>
      <c r="E57" s="32" t="n">
        <f aca="false">SUMIF('Libro Diario'!$C$5:$C$504,A57,'Libro Diario'!$G$5:$G$504)</f>
        <v>0</v>
      </c>
      <c r="F57" s="32" t="n">
        <f aca="false">IF(D57&gt;=E57,D57-E57,0)</f>
        <v>0</v>
      </c>
      <c r="G57" s="32" t="n">
        <f aca="false">IF(E57&gt;D57,E57-D57,0)</f>
        <v>0</v>
      </c>
    </row>
    <row r="58" customFormat="false" ht="15" hidden="false" customHeight="true" outlineLevel="0" collapsed="false">
      <c r="A58" s="30" t="s">
        <v>121</v>
      </c>
      <c r="B58" s="31" t="s">
        <v>122</v>
      </c>
      <c r="C58" s="30" t="s">
        <v>42</v>
      </c>
      <c r="D58" s="32" t="n">
        <f aca="false">SUMIF('Libro Diario'!$C$5:$C$504,A58,'Libro Diario'!$F$5:$F$504)</f>
        <v>0</v>
      </c>
      <c r="E58" s="32" t="n">
        <f aca="false">SUMIF('Libro Diario'!$C$5:$C$504,A58,'Libro Diario'!$G$5:$G$504)</f>
        <v>0</v>
      </c>
      <c r="F58" s="32" t="n">
        <f aca="false">IF(D58&gt;=E58,D58-E58,0)</f>
        <v>0</v>
      </c>
      <c r="G58" s="32" t="n">
        <f aca="false">IF(E58&gt;D58,E58-D58,0)</f>
        <v>0</v>
      </c>
    </row>
    <row r="59" customFormat="false" ht="15" hidden="false" customHeight="true" outlineLevel="0" collapsed="false">
      <c r="A59" s="30" t="s">
        <v>123</v>
      </c>
      <c r="B59" s="31" t="s">
        <v>124</v>
      </c>
      <c r="C59" s="30" t="s">
        <v>42</v>
      </c>
      <c r="D59" s="32" t="n">
        <f aca="false">SUMIF('Libro Diario'!$C$5:$C$504,A59,'Libro Diario'!$F$5:$F$504)</f>
        <v>0</v>
      </c>
      <c r="E59" s="32" t="n">
        <f aca="false">SUMIF('Libro Diario'!$C$5:$C$504,A59,'Libro Diario'!$G$5:$G$504)</f>
        <v>0</v>
      </c>
      <c r="F59" s="32" t="n">
        <f aca="false">IF(D59&gt;=E59,D59-E59,0)</f>
        <v>0</v>
      </c>
      <c r="G59" s="32" t="n">
        <f aca="false">IF(E59&gt;D59,E59-D59,0)</f>
        <v>0</v>
      </c>
    </row>
    <row r="60" customFormat="false" ht="15" hidden="false" customHeight="true" outlineLevel="0" collapsed="false">
      <c r="A60" s="30" t="s">
        <v>125</v>
      </c>
      <c r="B60" s="31" t="s">
        <v>126</v>
      </c>
      <c r="C60" s="30" t="s">
        <v>42</v>
      </c>
      <c r="D60" s="32" t="n">
        <f aca="false">SUMIF('Libro Diario'!$C$5:$C$504,A60,'Libro Diario'!$F$5:$F$504)</f>
        <v>0</v>
      </c>
      <c r="E60" s="32" t="n">
        <f aca="false">SUMIF('Libro Diario'!$C$5:$C$504,A60,'Libro Diario'!$G$5:$G$504)</f>
        <v>0</v>
      </c>
      <c r="F60" s="32" t="n">
        <f aca="false">IF(D60&gt;=E60,D60-E60,0)</f>
        <v>0</v>
      </c>
      <c r="G60" s="32" t="n">
        <f aca="false">IF(E60&gt;D60,E60-D60,0)</f>
        <v>0</v>
      </c>
    </row>
    <row r="61" customFormat="false" ht="15" hidden="false" customHeight="true" outlineLevel="0" collapsed="false">
      <c r="A61" s="30" t="s">
        <v>127</v>
      </c>
      <c r="B61" s="31" t="s">
        <v>128</v>
      </c>
      <c r="C61" s="30" t="s">
        <v>42</v>
      </c>
      <c r="D61" s="32" t="n">
        <f aca="false">SUMIF('Libro Diario'!$C$5:$C$504,A61,'Libro Diario'!$F$5:$F$504)</f>
        <v>0</v>
      </c>
      <c r="E61" s="32" t="n">
        <f aca="false">SUMIF('Libro Diario'!$C$5:$C$504,A61,'Libro Diario'!$G$5:$G$504)</f>
        <v>0</v>
      </c>
      <c r="F61" s="32" t="n">
        <f aca="false">IF(D61&gt;=E61,D61-E61,0)</f>
        <v>0</v>
      </c>
      <c r="G61" s="32" t="n">
        <f aca="false">IF(E61&gt;D61,E61-D61,0)</f>
        <v>0</v>
      </c>
    </row>
    <row r="62" customFormat="false" ht="15" hidden="false" customHeight="true" outlineLevel="0" collapsed="false">
      <c r="A62" s="30" t="s">
        <v>129</v>
      </c>
      <c r="B62" s="31" t="s">
        <v>130</v>
      </c>
      <c r="C62" s="30" t="s">
        <v>42</v>
      </c>
      <c r="D62" s="32" t="n">
        <f aca="false">SUMIF('Libro Diario'!$C$5:$C$504,A62,'Libro Diario'!$F$5:$F$504)</f>
        <v>0</v>
      </c>
      <c r="E62" s="32" t="n">
        <f aca="false">SUMIF('Libro Diario'!$C$5:$C$504,A62,'Libro Diario'!$G$5:$G$504)</f>
        <v>0</v>
      </c>
      <c r="F62" s="32" t="n">
        <f aca="false">IF(D62&gt;=E62,D62-E62,0)</f>
        <v>0</v>
      </c>
      <c r="G62" s="32" t="n">
        <f aca="false">IF(E62&gt;D62,E62-D62,0)</f>
        <v>0</v>
      </c>
    </row>
    <row r="63" customFormat="false" ht="15" hidden="false" customHeight="true" outlineLevel="0" collapsed="false">
      <c r="A63" s="30" t="s">
        <v>131</v>
      </c>
      <c r="B63" s="31" t="s">
        <v>132</v>
      </c>
      <c r="C63" s="30" t="s">
        <v>42</v>
      </c>
      <c r="D63" s="32" t="n">
        <f aca="false">SUMIF('Libro Diario'!$C$5:$C$504,A63,'Libro Diario'!$F$5:$F$504)</f>
        <v>0</v>
      </c>
      <c r="E63" s="32" t="n">
        <f aca="false">SUMIF('Libro Diario'!$C$5:$C$504,A63,'Libro Diario'!$G$5:$G$504)</f>
        <v>0</v>
      </c>
      <c r="F63" s="32" t="n">
        <f aca="false">IF(D63&gt;=E63,D63-E63,0)</f>
        <v>0</v>
      </c>
      <c r="G63" s="32" t="n">
        <f aca="false">IF(E63&gt;D63,E63-D63,0)</f>
        <v>0</v>
      </c>
    </row>
    <row r="64" customFormat="false" ht="15" hidden="false" customHeight="true" outlineLevel="0" collapsed="false">
      <c r="A64" s="30" t="s">
        <v>133</v>
      </c>
      <c r="B64" s="31" t="s">
        <v>134</v>
      </c>
      <c r="C64" s="30" t="s">
        <v>42</v>
      </c>
      <c r="D64" s="32" t="n">
        <f aca="false">SUMIF('Libro Diario'!$C$5:$C$504,A64,'Libro Diario'!$F$5:$F$504)</f>
        <v>0</v>
      </c>
      <c r="E64" s="32" t="n">
        <f aca="false">SUMIF('Libro Diario'!$C$5:$C$504,A64,'Libro Diario'!$G$5:$G$504)</f>
        <v>0</v>
      </c>
      <c r="F64" s="32" t="n">
        <f aca="false">IF(D64&gt;=E64,D64-E64,0)</f>
        <v>0</v>
      </c>
      <c r="G64" s="32" t="n">
        <f aca="false">IF(E64&gt;D64,E64-D64,0)</f>
        <v>0</v>
      </c>
    </row>
    <row r="65" customFormat="false" ht="15" hidden="false" customHeight="true" outlineLevel="0" collapsed="false">
      <c r="A65" s="30" t="s">
        <v>135</v>
      </c>
      <c r="B65" s="31" t="s">
        <v>136</v>
      </c>
      <c r="C65" s="30" t="s">
        <v>42</v>
      </c>
      <c r="D65" s="32" t="n">
        <f aca="false">SUMIF('Libro Diario'!$C$5:$C$504,A65,'Libro Diario'!$F$5:$F$504)</f>
        <v>0</v>
      </c>
      <c r="E65" s="32" t="n">
        <f aca="false">SUMIF('Libro Diario'!$C$5:$C$504,A65,'Libro Diario'!$G$5:$G$504)</f>
        <v>0</v>
      </c>
      <c r="F65" s="32" t="n">
        <f aca="false">IF(D65&gt;=E65,D65-E65,0)</f>
        <v>0</v>
      </c>
      <c r="G65" s="32" t="n">
        <f aca="false">IF(E65&gt;D65,E65-D65,0)</f>
        <v>0</v>
      </c>
    </row>
    <row r="66" customFormat="false" ht="15" hidden="false" customHeight="true" outlineLevel="0" collapsed="false">
      <c r="A66" s="30" t="s">
        <v>137</v>
      </c>
      <c r="B66" s="31" t="s">
        <v>138</v>
      </c>
      <c r="C66" s="30" t="s">
        <v>42</v>
      </c>
      <c r="D66" s="32" t="n">
        <f aca="false">SUMIF('Libro Diario'!$C$5:$C$504,A66,'Libro Diario'!$F$5:$F$504)</f>
        <v>0</v>
      </c>
      <c r="E66" s="32" t="n">
        <f aca="false">SUMIF('Libro Diario'!$C$5:$C$504,A66,'Libro Diario'!$G$5:$G$504)</f>
        <v>0</v>
      </c>
      <c r="F66" s="32" t="n">
        <f aca="false">IF(D66&gt;=E66,D66-E66,0)</f>
        <v>0</v>
      </c>
      <c r="G66" s="32" t="n">
        <f aca="false">IF(E66&gt;D66,E66-D66,0)</f>
        <v>0</v>
      </c>
    </row>
    <row r="67" customFormat="false" ht="15" hidden="false" customHeight="true" outlineLevel="0" collapsed="false">
      <c r="A67" s="30" t="s">
        <v>139</v>
      </c>
      <c r="B67" s="31" t="s">
        <v>140</v>
      </c>
      <c r="C67" s="30" t="s">
        <v>42</v>
      </c>
      <c r="D67" s="32" t="n">
        <f aca="false">SUMIF('Libro Diario'!$C$5:$C$504,A67,'Libro Diario'!$F$5:$F$504)</f>
        <v>0</v>
      </c>
      <c r="E67" s="32" t="n">
        <f aca="false">SUMIF('Libro Diario'!$C$5:$C$504,A67,'Libro Diario'!$G$5:$G$504)</f>
        <v>0</v>
      </c>
      <c r="F67" s="32" t="n">
        <f aca="false">IF(D67&gt;=E67,D67-E67,0)</f>
        <v>0</v>
      </c>
      <c r="G67" s="32" t="n">
        <f aca="false">IF(E67&gt;D67,E67-D67,0)</f>
        <v>0</v>
      </c>
    </row>
    <row r="68" customFormat="false" ht="15" hidden="false" customHeight="true" outlineLevel="0" collapsed="false">
      <c r="A68" s="30" t="s">
        <v>141</v>
      </c>
      <c r="B68" s="31" t="s">
        <v>142</v>
      </c>
      <c r="C68" s="30" t="s">
        <v>42</v>
      </c>
      <c r="D68" s="32" t="n">
        <f aca="false">SUMIF('Libro Diario'!$C$5:$C$504,A68,'Libro Diario'!$F$5:$F$504)</f>
        <v>0</v>
      </c>
      <c r="E68" s="32" t="n">
        <f aca="false">SUMIF('Libro Diario'!$C$5:$C$504,A68,'Libro Diario'!$G$5:$G$504)</f>
        <v>0</v>
      </c>
      <c r="F68" s="32" t="n">
        <f aca="false">IF(D68&gt;=E68,D68-E68,0)</f>
        <v>0</v>
      </c>
      <c r="G68" s="32" t="n">
        <f aca="false">IF(E68&gt;D68,E68-D68,0)</f>
        <v>0</v>
      </c>
    </row>
    <row r="69" customFormat="false" ht="15" hidden="false" customHeight="true" outlineLevel="0" collapsed="false">
      <c r="A69" s="30" t="s">
        <v>143</v>
      </c>
      <c r="B69" s="31" t="s">
        <v>144</v>
      </c>
      <c r="C69" s="30" t="s">
        <v>42</v>
      </c>
      <c r="D69" s="32" t="n">
        <f aca="false">SUMIF('Libro Diario'!$C$5:$C$504,A69,'Libro Diario'!$F$5:$F$504)</f>
        <v>0</v>
      </c>
      <c r="E69" s="32" t="n">
        <f aca="false">SUMIF('Libro Diario'!$C$5:$C$504,A69,'Libro Diario'!$G$5:$G$504)</f>
        <v>0</v>
      </c>
      <c r="F69" s="32" t="n">
        <f aca="false">IF(D69&gt;=E69,D69-E69,0)</f>
        <v>0</v>
      </c>
      <c r="G69" s="32" t="n">
        <f aca="false">IF(E69&gt;D69,E69-D69,0)</f>
        <v>0</v>
      </c>
    </row>
    <row r="70" customFormat="false" ht="15" hidden="false" customHeight="true" outlineLevel="0" collapsed="false">
      <c r="A70" s="30" t="s">
        <v>145</v>
      </c>
      <c r="B70" s="31" t="s">
        <v>146</v>
      </c>
      <c r="C70" s="30" t="s">
        <v>42</v>
      </c>
      <c r="D70" s="32" t="n">
        <f aca="false">SUMIF('Libro Diario'!$C$5:$C$504,A70,'Libro Diario'!$F$5:$F$504)</f>
        <v>0</v>
      </c>
      <c r="E70" s="32" t="n">
        <f aca="false">SUMIF('Libro Diario'!$C$5:$C$504,A70,'Libro Diario'!$G$5:$G$504)</f>
        <v>0</v>
      </c>
      <c r="F70" s="32" t="n">
        <f aca="false">IF(D70&gt;=E70,D70-E70,0)</f>
        <v>0</v>
      </c>
      <c r="G70" s="32" t="n">
        <f aca="false">IF(E70&gt;D70,E70-D70,0)</f>
        <v>0</v>
      </c>
    </row>
    <row r="71" customFormat="false" ht="15" hidden="false" customHeight="true" outlineLevel="0" collapsed="false">
      <c r="A71" s="30" t="s">
        <v>147</v>
      </c>
      <c r="B71" s="31" t="s">
        <v>148</v>
      </c>
      <c r="C71" s="30" t="s">
        <v>42</v>
      </c>
      <c r="D71" s="32" t="n">
        <f aca="false">SUMIF('Libro Diario'!$C$5:$C$504,A71,'Libro Diario'!$F$5:$F$504)</f>
        <v>0</v>
      </c>
      <c r="E71" s="32" t="n">
        <f aca="false">SUMIF('Libro Diario'!$C$5:$C$504,A71,'Libro Diario'!$G$5:$G$504)</f>
        <v>0</v>
      </c>
      <c r="F71" s="32" t="n">
        <f aca="false">IF(D71&gt;=E71,D71-E71,0)</f>
        <v>0</v>
      </c>
      <c r="G71" s="32" t="n">
        <f aca="false">IF(E71&gt;D71,E71-D71,0)</f>
        <v>0</v>
      </c>
    </row>
    <row r="72" customFormat="false" ht="15" hidden="false" customHeight="true" outlineLevel="0" collapsed="false">
      <c r="A72" s="30" t="s">
        <v>149</v>
      </c>
      <c r="B72" s="31" t="s">
        <v>150</v>
      </c>
      <c r="C72" s="30" t="s">
        <v>42</v>
      </c>
      <c r="D72" s="32" t="n">
        <f aca="false">SUMIF('Libro Diario'!$C$5:$C$504,A72,'Libro Diario'!$F$5:$F$504)</f>
        <v>0</v>
      </c>
      <c r="E72" s="32" t="n">
        <f aca="false">SUMIF('Libro Diario'!$C$5:$C$504,A72,'Libro Diario'!$G$5:$G$504)</f>
        <v>0</v>
      </c>
      <c r="F72" s="32" t="n">
        <f aca="false">IF(D72&gt;=E72,D72-E72,0)</f>
        <v>0</v>
      </c>
      <c r="G72" s="32" t="n">
        <f aca="false">IF(E72&gt;D72,E72-D72,0)</f>
        <v>0</v>
      </c>
    </row>
    <row r="73" customFormat="false" ht="15" hidden="false" customHeight="true" outlineLevel="0" collapsed="false">
      <c r="A73" s="30" t="s">
        <v>151</v>
      </c>
      <c r="B73" s="31" t="s">
        <v>152</v>
      </c>
      <c r="C73" s="30" t="s">
        <v>42</v>
      </c>
      <c r="D73" s="32" t="n">
        <f aca="false">SUMIF('Libro Diario'!$C$5:$C$504,A73,'Libro Diario'!$F$5:$F$504)</f>
        <v>0</v>
      </c>
      <c r="E73" s="32" t="n">
        <f aca="false">SUMIF('Libro Diario'!$C$5:$C$504,A73,'Libro Diario'!$G$5:$G$504)</f>
        <v>0</v>
      </c>
      <c r="F73" s="32" t="n">
        <f aca="false">IF(D73&gt;=E73,D73-E73,0)</f>
        <v>0</v>
      </c>
      <c r="G73" s="32" t="n">
        <f aca="false">IF(E73&gt;D73,E73-D73,0)</f>
        <v>0</v>
      </c>
    </row>
    <row r="74" customFormat="false" ht="15" hidden="false" customHeight="true" outlineLevel="0" collapsed="false">
      <c r="A74" s="30" t="s">
        <v>153</v>
      </c>
      <c r="B74" s="31" t="s">
        <v>154</v>
      </c>
      <c r="C74" s="30" t="s">
        <v>42</v>
      </c>
      <c r="D74" s="32" t="n">
        <f aca="false">SUMIF('Libro Diario'!$C$5:$C$504,A74,'Libro Diario'!$F$5:$F$504)</f>
        <v>0</v>
      </c>
      <c r="E74" s="32" t="n">
        <f aca="false">SUMIF('Libro Diario'!$C$5:$C$504,A74,'Libro Diario'!$G$5:$G$504)</f>
        <v>0</v>
      </c>
      <c r="F74" s="32" t="n">
        <f aca="false">IF(D74&gt;=E74,D74-E74,0)</f>
        <v>0</v>
      </c>
      <c r="G74" s="32" t="n">
        <f aca="false">IF(E74&gt;D74,E74-D74,0)</f>
        <v>0</v>
      </c>
    </row>
    <row r="75" customFormat="false" ht="15" hidden="false" customHeight="true" outlineLevel="0" collapsed="false">
      <c r="A75" s="30" t="s">
        <v>155</v>
      </c>
      <c r="B75" s="31" t="s">
        <v>156</v>
      </c>
      <c r="C75" s="30" t="s">
        <v>42</v>
      </c>
      <c r="D75" s="32" t="n">
        <f aca="false">SUMIF('Libro Diario'!$C$5:$C$504,A75,'Libro Diario'!$F$5:$F$504)</f>
        <v>0</v>
      </c>
      <c r="E75" s="32" t="n">
        <f aca="false">SUMIF('Libro Diario'!$C$5:$C$504,A75,'Libro Diario'!$G$5:$G$504)</f>
        <v>0</v>
      </c>
      <c r="F75" s="32" t="n">
        <f aca="false">IF(D75&gt;=E75,D75-E75,0)</f>
        <v>0</v>
      </c>
      <c r="G75" s="32" t="n">
        <f aca="false">IF(E75&gt;D75,E75-D75,0)</f>
        <v>0</v>
      </c>
    </row>
    <row r="76" customFormat="false" ht="15" hidden="false" customHeight="true" outlineLevel="0" collapsed="false">
      <c r="A76" s="30" t="s">
        <v>157</v>
      </c>
      <c r="B76" s="31" t="s">
        <v>158</v>
      </c>
      <c r="C76" s="30" t="s">
        <v>42</v>
      </c>
      <c r="D76" s="32" t="n">
        <f aca="false">SUMIF('Libro Diario'!$C$5:$C$504,A76,'Libro Diario'!$F$5:$F$504)</f>
        <v>0</v>
      </c>
      <c r="E76" s="32" t="n">
        <f aca="false">SUMIF('Libro Diario'!$C$5:$C$504,A76,'Libro Diario'!$G$5:$G$504)</f>
        <v>0</v>
      </c>
      <c r="F76" s="32" t="n">
        <f aca="false">IF(D76&gt;=E76,D76-E76,0)</f>
        <v>0</v>
      </c>
      <c r="G76" s="32" t="n">
        <f aca="false">IF(E76&gt;D76,E76-D76,0)</f>
        <v>0</v>
      </c>
    </row>
    <row r="77" customFormat="false" ht="15" hidden="false" customHeight="true" outlineLevel="0" collapsed="false">
      <c r="A77" s="30" t="s">
        <v>159</v>
      </c>
      <c r="B77" s="31" t="s">
        <v>160</v>
      </c>
      <c r="C77" s="30" t="s">
        <v>42</v>
      </c>
      <c r="D77" s="32" t="n">
        <f aca="false">SUMIF('Libro Diario'!$C$5:$C$504,A77,'Libro Diario'!$F$5:$F$504)</f>
        <v>0</v>
      </c>
      <c r="E77" s="32" t="n">
        <f aca="false">SUMIF('Libro Diario'!$C$5:$C$504,A77,'Libro Diario'!$G$5:$G$504)</f>
        <v>0</v>
      </c>
      <c r="F77" s="32" t="n">
        <f aca="false">IF(D77&gt;=E77,D77-E77,0)</f>
        <v>0</v>
      </c>
      <c r="G77" s="32" t="n">
        <f aca="false">IF(E77&gt;D77,E77-D77,0)</f>
        <v>0</v>
      </c>
    </row>
    <row r="78" customFormat="false" ht="15" hidden="false" customHeight="true" outlineLevel="0" collapsed="false">
      <c r="A78" s="30" t="s">
        <v>161</v>
      </c>
      <c r="B78" s="31" t="s">
        <v>162</v>
      </c>
      <c r="C78" s="30" t="s">
        <v>42</v>
      </c>
      <c r="D78" s="32" t="n">
        <f aca="false">SUMIF('Libro Diario'!$C$5:$C$504,A78,'Libro Diario'!$F$5:$F$504)</f>
        <v>0</v>
      </c>
      <c r="E78" s="32" t="n">
        <f aca="false">SUMIF('Libro Diario'!$C$5:$C$504,A78,'Libro Diario'!$G$5:$G$504)</f>
        <v>0</v>
      </c>
      <c r="F78" s="32" t="n">
        <f aca="false">IF(D78&gt;=E78,D78-E78,0)</f>
        <v>0</v>
      </c>
      <c r="G78" s="32" t="n">
        <f aca="false">IF(E78&gt;D78,E78-D78,0)</f>
        <v>0</v>
      </c>
    </row>
    <row r="79" customFormat="false" ht="15" hidden="false" customHeight="true" outlineLevel="0" collapsed="false">
      <c r="A79" s="30" t="s">
        <v>163</v>
      </c>
      <c r="B79" s="31" t="s">
        <v>66</v>
      </c>
      <c r="C79" s="30" t="s">
        <v>42</v>
      </c>
      <c r="D79" s="32" t="n">
        <f aca="false">SUMIF('Libro Diario'!$C$5:$C$504,A79,'Libro Diario'!$F$5:$F$504)</f>
        <v>0</v>
      </c>
      <c r="E79" s="32" t="n">
        <f aca="false">SUMIF('Libro Diario'!$C$5:$C$504,A79,'Libro Diario'!$G$5:$G$504)</f>
        <v>0</v>
      </c>
      <c r="F79" s="32" t="n">
        <f aca="false">IF(D79&gt;=E79,D79-E79,0)</f>
        <v>0</v>
      </c>
      <c r="G79" s="32" t="n">
        <f aca="false">IF(E79&gt;D79,E79-D79,0)</f>
        <v>0</v>
      </c>
    </row>
    <row r="80" customFormat="false" ht="15" hidden="false" customHeight="true" outlineLevel="0" collapsed="false">
      <c r="A80" s="30" t="s">
        <v>164</v>
      </c>
      <c r="B80" s="31" t="s">
        <v>165</v>
      </c>
      <c r="C80" s="30" t="s">
        <v>42</v>
      </c>
      <c r="D80" s="32" t="n">
        <f aca="false">SUMIF('Libro Diario'!$C$5:$C$504,A80,'Libro Diario'!$F$5:$F$504)</f>
        <v>0</v>
      </c>
      <c r="E80" s="32" t="n">
        <f aca="false">SUMIF('Libro Diario'!$C$5:$C$504,A80,'Libro Diario'!$G$5:$G$504)</f>
        <v>0</v>
      </c>
      <c r="F80" s="32" t="n">
        <f aca="false">IF(D80&gt;=E80,D80-E80,0)</f>
        <v>0</v>
      </c>
      <c r="G80" s="32" t="n">
        <f aca="false">IF(E80&gt;D80,E80-D80,0)</f>
        <v>0</v>
      </c>
    </row>
    <row r="81" customFormat="false" ht="15" hidden="false" customHeight="true" outlineLevel="0" collapsed="false">
      <c r="A81" s="30" t="s">
        <v>166</v>
      </c>
      <c r="B81" s="31" t="s">
        <v>66</v>
      </c>
      <c r="C81" s="30" t="s">
        <v>42</v>
      </c>
      <c r="D81" s="32" t="n">
        <f aca="false">SUMIF('Libro Diario'!$C$5:$C$504,A81,'Libro Diario'!$F$5:$F$504)</f>
        <v>0</v>
      </c>
      <c r="E81" s="32" t="n">
        <f aca="false">SUMIF('Libro Diario'!$C$5:$C$504,A81,'Libro Diario'!$G$5:$G$504)</f>
        <v>0</v>
      </c>
      <c r="F81" s="32" t="n">
        <f aca="false">IF(D81&gt;=E81,D81-E81,0)</f>
        <v>0</v>
      </c>
      <c r="G81" s="32" t="n">
        <f aca="false">IF(E81&gt;D81,E81-D81,0)</f>
        <v>0</v>
      </c>
    </row>
    <row r="82" customFormat="false" ht="15" hidden="false" customHeight="true" outlineLevel="0" collapsed="false">
      <c r="A82" s="30" t="s">
        <v>167</v>
      </c>
      <c r="B82" s="31" t="s">
        <v>165</v>
      </c>
      <c r="C82" s="30" t="s">
        <v>42</v>
      </c>
      <c r="D82" s="32" t="n">
        <f aca="false">SUMIF('Libro Diario'!$C$5:$C$504,A82,'Libro Diario'!$F$5:$F$504)</f>
        <v>0</v>
      </c>
      <c r="E82" s="32" t="n">
        <f aca="false">SUMIF('Libro Diario'!$C$5:$C$504,A82,'Libro Diario'!$G$5:$G$504)</f>
        <v>0</v>
      </c>
      <c r="F82" s="32" t="n">
        <f aca="false">IF(D82&gt;=E82,D82-E82,0)</f>
        <v>0</v>
      </c>
      <c r="G82" s="32" t="n">
        <f aca="false">IF(E82&gt;D82,E82-D82,0)</f>
        <v>0</v>
      </c>
    </row>
    <row r="83" customFormat="false" ht="15" hidden="false" customHeight="true" outlineLevel="0" collapsed="false">
      <c r="A83" s="30" t="s">
        <v>168</v>
      </c>
      <c r="B83" s="31" t="s">
        <v>169</v>
      </c>
      <c r="C83" s="30" t="s">
        <v>42</v>
      </c>
      <c r="D83" s="32" t="n">
        <f aca="false">SUMIF('Libro Diario'!$C$5:$C$504,A83,'Libro Diario'!$F$5:$F$504)</f>
        <v>0</v>
      </c>
      <c r="E83" s="32" t="n">
        <f aca="false">SUMIF('Libro Diario'!$C$5:$C$504,A83,'Libro Diario'!$G$5:$G$504)</f>
        <v>0</v>
      </c>
      <c r="F83" s="32" t="n">
        <f aca="false">IF(D83&gt;=E83,D83-E83,0)</f>
        <v>0</v>
      </c>
      <c r="G83" s="32" t="n">
        <f aca="false">IF(E83&gt;D83,E83-D83,0)</f>
        <v>0</v>
      </c>
    </row>
    <row r="84" customFormat="false" ht="15" hidden="false" customHeight="true" outlineLevel="0" collapsed="false">
      <c r="A84" s="30" t="s">
        <v>170</v>
      </c>
      <c r="B84" s="31" t="s">
        <v>171</v>
      </c>
      <c r="C84" s="30" t="s">
        <v>42</v>
      </c>
      <c r="D84" s="32" t="n">
        <f aca="false">SUMIF('Libro Diario'!$C$5:$C$504,A84,'Libro Diario'!$F$5:$F$504)</f>
        <v>0</v>
      </c>
      <c r="E84" s="32" t="n">
        <f aca="false">SUMIF('Libro Diario'!$C$5:$C$504,A84,'Libro Diario'!$G$5:$G$504)</f>
        <v>0</v>
      </c>
      <c r="F84" s="32" t="n">
        <f aca="false">IF(D84&gt;=E84,D84-E84,0)</f>
        <v>0</v>
      </c>
      <c r="G84" s="32" t="n">
        <f aca="false">IF(E84&gt;D84,E84-D84,0)</f>
        <v>0</v>
      </c>
    </row>
    <row r="85" customFormat="false" ht="15" hidden="false" customHeight="true" outlineLevel="0" collapsed="false">
      <c r="A85" s="30" t="s">
        <v>172</v>
      </c>
      <c r="B85" s="31" t="s">
        <v>173</v>
      </c>
      <c r="C85" s="30" t="s">
        <v>42</v>
      </c>
      <c r="D85" s="32" t="n">
        <f aca="false">SUMIF('Libro Diario'!$C$5:$C$504,A85,'Libro Diario'!$F$5:$F$504)</f>
        <v>0</v>
      </c>
      <c r="E85" s="32" t="n">
        <f aca="false">SUMIF('Libro Diario'!$C$5:$C$504,A85,'Libro Diario'!$G$5:$G$504)</f>
        <v>0</v>
      </c>
      <c r="F85" s="32" t="n">
        <f aca="false">IF(D85&gt;=E85,D85-E85,0)</f>
        <v>0</v>
      </c>
      <c r="G85" s="32" t="n">
        <f aca="false">IF(E85&gt;D85,E85-D85,0)</f>
        <v>0</v>
      </c>
    </row>
    <row r="86" customFormat="false" ht="15" hidden="false" customHeight="true" outlineLevel="0" collapsed="false">
      <c r="A86" s="30" t="s">
        <v>174</v>
      </c>
      <c r="B86" s="31" t="s">
        <v>175</v>
      </c>
      <c r="C86" s="30" t="s">
        <v>42</v>
      </c>
      <c r="D86" s="32" t="n">
        <f aca="false">SUMIF('Libro Diario'!$C$5:$C$504,A86,'Libro Diario'!$F$5:$F$504)</f>
        <v>0</v>
      </c>
      <c r="E86" s="32" t="n">
        <f aca="false">SUMIF('Libro Diario'!$C$5:$C$504,A86,'Libro Diario'!$G$5:$G$504)</f>
        <v>0</v>
      </c>
      <c r="F86" s="32" t="n">
        <f aca="false">IF(D86&gt;=E86,D86-E86,0)</f>
        <v>0</v>
      </c>
      <c r="G86" s="32" t="n">
        <f aca="false">IF(E86&gt;D86,E86-D86,0)</f>
        <v>0</v>
      </c>
    </row>
    <row r="87" customFormat="false" ht="15" hidden="false" customHeight="true" outlineLevel="0" collapsed="false">
      <c r="A87" s="30" t="s">
        <v>176</v>
      </c>
      <c r="B87" s="31" t="s">
        <v>177</v>
      </c>
      <c r="C87" s="30" t="s">
        <v>42</v>
      </c>
      <c r="D87" s="32" t="n">
        <f aca="false">SUMIF('Libro Diario'!$C$5:$C$504,A87,'Libro Diario'!$F$5:$F$504)</f>
        <v>0</v>
      </c>
      <c r="E87" s="32" t="n">
        <f aca="false">SUMIF('Libro Diario'!$C$5:$C$504,A87,'Libro Diario'!$G$5:$G$504)</f>
        <v>0</v>
      </c>
      <c r="F87" s="32" t="n">
        <f aca="false">IF(D87&gt;=E87,D87-E87,0)</f>
        <v>0</v>
      </c>
      <c r="G87" s="32" t="n">
        <f aca="false">IF(E87&gt;D87,E87-D87,0)</f>
        <v>0</v>
      </c>
    </row>
    <row r="88" customFormat="false" ht="15" hidden="false" customHeight="true" outlineLevel="0" collapsed="false">
      <c r="A88" s="30" t="s">
        <v>178</v>
      </c>
      <c r="B88" s="31" t="s">
        <v>179</v>
      </c>
      <c r="C88" s="30" t="s">
        <v>42</v>
      </c>
      <c r="D88" s="32" t="n">
        <f aca="false">SUMIF('Libro Diario'!$C$5:$C$504,A88,'Libro Diario'!$F$5:$F$504)</f>
        <v>0</v>
      </c>
      <c r="E88" s="32" t="n">
        <f aca="false">SUMIF('Libro Diario'!$C$5:$C$504,A88,'Libro Diario'!$G$5:$G$504)</f>
        <v>0</v>
      </c>
      <c r="F88" s="32" t="n">
        <f aca="false">IF(D88&gt;=E88,D88-E88,0)</f>
        <v>0</v>
      </c>
      <c r="G88" s="32" t="n">
        <f aca="false">IF(E88&gt;D88,E88-D88,0)</f>
        <v>0</v>
      </c>
    </row>
    <row r="89" customFormat="false" ht="15" hidden="false" customHeight="true" outlineLevel="0" collapsed="false">
      <c r="A89" s="30" t="s">
        <v>180</v>
      </c>
      <c r="B89" s="31" t="s">
        <v>181</v>
      </c>
      <c r="C89" s="30" t="s">
        <v>42</v>
      </c>
      <c r="D89" s="32" t="n">
        <f aca="false">SUMIF('Libro Diario'!$C$5:$C$504,A89,'Libro Diario'!$F$5:$F$504)</f>
        <v>0</v>
      </c>
      <c r="E89" s="32" t="n">
        <f aca="false">SUMIF('Libro Diario'!$C$5:$C$504,A89,'Libro Diario'!$G$5:$G$504)</f>
        <v>0</v>
      </c>
      <c r="F89" s="32" t="n">
        <f aca="false">IF(D89&gt;=E89,D89-E89,0)</f>
        <v>0</v>
      </c>
      <c r="G89" s="32" t="n">
        <f aca="false">IF(E89&gt;D89,E89-D89,0)</f>
        <v>0</v>
      </c>
    </row>
    <row r="90" customFormat="false" ht="15" hidden="false" customHeight="true" outlineLevel="0" collapsed="false">
      <c r="A90" s="30" t="s">
        <v>182</v>
      </c>
      <c r="B90" s="31" t="s">
        <v>124</v>
      </c>
      <c r="C90" s="30" t="s">
        <v>42</v>
      </c>
      <c r="D90" s="32" t="n">
        <f aca="false">SUMIF('Libro Diario'!$C$5:$C$504,A90,'Libro Diario'!$F$5:$F$504)</f>
        <v>0</v>
      </c>
      <c r="E90" s="32" t="n">
        <f aca="false">SUMIF('Libro Diario'!$C$5:$C$504,A90,'Libro Diario'!$G$5:$G$504)</f>
        <v>0</v>
      </c>
      <c r="F90" s="32" t="n">
        <f aca="false">IF(D90&gt;=E90,D90-E90,0)</f>
        <v>0</v>
      </c>
      <c r="G90" s="32" t="n">
        <f aca="false">IF(E90&gt;D90,E90-D90,0)</f>
        <v>0</v>
      </c>
    </row>
    <row r="91" customFormat="false" ht="15" hidden="false" customHeight="true" outlineLevel="0" collapsed="false">
      <c r="A91" s="30" t="s">
        <v>183</v>
      </c>
      <c r="B91" s="31" t="s">
        <v>126</v>
      </c>
      <c r="C91" s="30" t="s">
        <v>42</v>
      </c>
      <c r="D91" s="32" t="n">
        <f aca="false">SUMIF('Libro Diario'!$C$5:$C$504,A91,'Libro Diario'!$F$5:$F$504)</f>
        <v>0</v>
      </c>
      <c r="E91" s="32" t="n">
        <f aca="false">SUMIF('Libro Diario'!$C$5:$C$504,A91,'Libro Diario'!$G$5:$G$504)</f>
        <v>0</v>
      </c>
      <c r="F91" s="32" t="n">
        <f aca="false">IF(D91&gt;=E91,D91-E91,0)</f>
        <v>0</v>
      </c>
      <c r="G91" s="32" t="n">
        <f aca="false">IF(E91&gt;D91,E91-D91,0)</f>
        <v>0</v>
      </c>
    </row>
    <row r="92" customFormat="false" ht="15" hidden="false" customHeight="true" outlineLevel="0" collapsed="false">
      <c r="A92" s="30" t="s">
        <v>184</v>
      </c>
      <c r="B92" s="31" t="s">
        <v>138</v>
      </c>
      <c r="C92" s="30" t="s">
        <v>42</v>
      </c>
      <c r="D92" s="32" t="n">
        <f aca="false">SUMIF('Libro Diario'!$C$5:$C$504,A92,'Libro Diario'!$F$5:$F$504)</f>
        <v>0</v>
      </c>
      <c r="E92" s="32" t="n">
        <f aca="false">SUMIF('Libro Diario'!$C$5:$C$504,A92,'Libro Diario'!$G$5:$G$504)</f>
        <v>0</v>
      </c>
      <c r="F92" s="32" t="n">
        <f aca="false">IF(D92&gt;=E92,D92-E92,0)</f>
        <v>0</v>
      </c>
      <c r="G92" s="32" t="n">
        <f aca="false">IF(E92&gt;D92,E92-D92,0)</f>
        <v>0</v>
      </c>
    </row>
    <row r="93" customFormat="false" ht="15" hidden="false" customHeight="true" outlineLevel="0" collapsed="false">
      <c r="A93" s="30" t="s">
        <v>185</v>
      </c>
      <c r="B93" s="31" t="s">
        <v>140</v>
      </c>
      <c r="C93" s="30" t="s">
        <v>42</v>
      </c>
      <c r="D93" s="32" t="n">
        <f aca="false">SUMIF('Libro Diario'!$C$5:$C$504,A93,'Libro Diario'!$F$5:$F$504)</f>
        <v>0</v>
      </c>
      <c r="E93" s="32" t="n">
        <f aca="false">SUMIF('Libro Diario'!$C$5:$C$504,A93,'Libro Diario'!$G$5:$G$504)</f>
        <v>0</v>
      </c>
      <c r="F93" s="32" t="n">
        <f aca="false">IF(D93&gt;=E93,D93-E93,0)</f>
        <v>0</v>
      </c>
      <c r="G93" s="32" t="n">
        <f aca="false">IF(E93&gt;D93,E93-D93,0)</f>
        <v>0</v>
      </c>
    </row>
    <row r="94" customFormat="false" ht="15" hidden="false" customHeight="true" outlineLevel="0" collapsed="false">
      <c r="A94" s="30" t="s">
        <v>186</v>
      </c>
      <c r="B94" s="31" t="s">
        <v>142</v>
      </c>
      <c r="C94" s="30" t="s">
        <v>42</v>
      </c>
      <c r="D94" s="32" t="n">
        <f aca="false">SUMIF('Libro Diario'!$C$5:$C$504,A94,'Libro Diario'!$F$5:$F$504)</f>
        <v>0</v>
      </c>
      <c r="E94" s="32" t="n">
        <f aca="false">SUMIF('Libro Diario'!$C$5:$C$504,A94,'Libro Diario'!$G$5:$G$504)</f>
        <v>0</v>
      </c>
      <c r="F94" s="32" t="n">
        <f aca="false">IF(D94&gt;=E94,D94-E94,0)</f>
        <v>0</v>
      </c>
      <c r="G94" s="32" t="n">
        <f aca="false">IF(E94&gt;D94,E94-D94,0)</f>
        <v>0</v>
      </c>
    </row>
    <row r="95" customFormat="false" ht="15" hidden="false" customHeight="true" outlineLevel="0" collapsed="false">
      <c r="A95" s="30" t="s">
        <v>187</v>
      </c>
      <c r="B95" s="31" t="s">
        <v>144</v>
      </c>
      <c r="C95" s="30" t="s">
        <v>42</v>
      </c>
      <c r="D95" s="32" t="n">
        <f aca="false">SUMIF('Libro Diario'!$C$5:$C$504,A95,'Libro Diario'!$F$5:$F$504)</f>
        <v>0</v>
      </c>
      <c r="E95" s="32" t="n">
        <f aca="false">SUMIF('Libro Diario'!$C$5:$C$504,A95,'Libro Diario'!$G$5:$G$504)</f>
        <v>0</v>
      </c>
      <c r="F95" s="32" t="n">
        <f aca="false">IF(D95&gt;=E95,D95-E95,0)</f>
        <v>0</v>
      </c>
      <c r="G95" s="32" t="n">
        <f aca="false">IF(E95&gt;D95,E95-D95,0)</f>
        <v>0</v>
      </c>
    </row>
    <row r="96" customFormat="false" ht="15" hidden="false" customHeight="true" outlineLevel="0" collapsed="false">
      <c r="A96" s="30" t="s">
        <v>188</v>
      </c>
      <c r="B96" s="31" t="s">
        <v>146</v>
      </c>
      <c r="C96" s="30" t="s">
        <v>42</v>
      </c>
      <c r="D96" s="32" t="n">
        <f aca="false">SUMIF('Libro Diario'!$C$5:$C$504,A96,'Libro Diario'!$F$5:$F$504)</f>
        <v>0</v>
      </c>
      <c r="E96" s="32" t="n">
        <f aca="false">SUMIF('Libro Diario'!$C$5:$C$504,A96,'Libro Diario'!$G$5:$G$504)</f>
        <v>0</v>
      </c>
      <c r="F96" s="32" t="n">
        <f aca="false">IF(D96&gt;=E96,D96-E96,0)</f>
        <v>0</v>
      </c>
      <c r="G96" s="32" t="n">
        <f aca="false">IF(E96&gt;D96,E96-D96,0)</f>
        <v>0</v>
      </c>
    </row>
    <row r="97" customFormat="false" ht="15" hidden="false" customHeight="true" outlineLevel="0" collapsed="false">
      <c r="A97" s="30" t="s">
        <v>189</v>
      </c>
      <c r="B97" s="31" t="s">
        <v>148</v>
      </c>
      <c r="C97" s="30" t="s">
        <v>42</v>
      </c>
      <c r="D97" s="32" t="n">
        <f aca="false">SUMIF('Libro Diario'!$C$5:$C$504,A97,'Libro Diario'!$F$5:$F$504)</f>
        <v>0</v>
      </c>
      <c r="E97" s="32" t="n">
        <f aca="false">SUMIF('Libro Diario'!$C$5:$C$504,A97,'Libro Diario'!$G$5:$G$504)</f>
        <v>0</v>
      </c>
      <c r="F97" s="32" t="n">
        <f aca="false">IF(D97&gt;=E97,D97-E97,0)</f>
        <v>0</v>
      </c>
      <c r="G97" s="32" t="n">
        <f aca="false">IF(E97&gt;D97,E97-D97,0)</f>
        <v>0</v>
      </c>
    </row>
    <row r="98" customFormat="false" ht="15" hidden="false" customHeight="true" outlineLevel="0" collapsed="false">
      <c r="A98" s="30" t="s">
        <v>190</v>
      </c>
      <c r="B98" s="31" t="s">
        <v>150</v>
      </c>
      <c r="C98" s="30" t="s">
        <v>42</v>
      </c>
      <c r="D98" s="32" t="n">
        <f aca="false">SUMIF('Libro Diario'!$C$5:$C$504,A98,'Libro Diario'!$F$5:$F$504)</f>
        <v>0</v>
      </c>
      <c r="E98" s="32" t="n">
        <f aca="false">SUMIF('Libro Diario'!$C$5:$C$504,A98,'Libro Diario'!$G$5:$G$504)</f>
        <v>0</v>
      </c>
      <c r="F98" s="32" t="n">
        <f aca="false">IF(D98&gt;=E98,D98-E98,0)</f>
        <v>0</v>
      </c>
      <c r="G98" s="32" t="n">
        <f aca="false">IF(E98&gt;D98,E98-D98,0)</f>
        <v>0</v>
      </c>
    </row>
    <row r="99" customFormat="false" ht="15" hidden="false" customHeight="true" outlineLevel="0" collapsed="false">
      <c r="A99" s="30" t="s">
        <v>191</v>
      </c>
      <c r="B99" s="31" t="s">
        <v>152</v>
      </c>
      <c r="C99" s="30" t="s">
        <v>42</v>
      </c>
      <c r="D99" s="32" t="n">
        <f aca="false">SUMIF('Libro Diario'!$C$5:$C$504,A99,'Libro Diario'!$F$5:$F$504)</f>
        <v>0</v>
      </c>
      <c r="E99" s="32" t="n">
        <f aca="false">SUMIF('Libro Diario'!$C$5:$C$504,A99,'Libro Diario'!$G$5:$G$504)</f>
        <v>0</v>
      </c>
      <c r="F99" s="32" t="n">
        <f aca="false">IF(D99&gt;=E99,D99-E99,0)</f>
        <v>0</v>
      </c>
      <c r="G99" s="32" t="n">
        <f aca="false">IF(E99&gt;D99,E99-D99,0)</f>
        <v>0</v>
      </c>
    </row>
    <row r="100" customFormat="false" ht="15" hidden="false" customHeight="true" outlineLevel="0" collapsed="false">
      <c r="A100" s="30" t="s">
        <v>192</v>
      </c>
      <c r="B100" s="31" t="s">
        <v>154</v>
      </c>
      <c r="C100" s="30" t="s">
        <v>42</v>
      </c>
      <c r="D100" s="32" t="n">
        <f aca="false">SUMIF('Libro Diario'!$C$5:$C$504,A100,'Libro Diario'!$F$5:$F$504)</f>
        <v>0</v>
      </c>
      <c r="E100" s="32" t="n">
        <f aca="false">SUMIF('Libro Diario'!$C$5:$C$504,A100,'Libro Diario'!$G$5:$G$504)</f>
        <v>0</v>
      </c>
      <c r="F100" s="32" t="n">
        <f aca="false">IF(D100&gt;=E100,D100-E100,0)</f>
        <v>0</v>
      </c>
      <c r="G100" s="32" t="n">
        <f aca="false">IF(E100&gt;D100,E100-D100,0)</f>
        <v>0</v>
      </c>
    </row>
    <row r="101" customFormat="false" ht="15" hidden="false" customHeight="true" outlineLevel="0" collapsed="false">
      <c r="A101" s="30" t="s">
        <v>193</v>
      </c>
      <c r="B101" s="31" t="s">
        <v>156</v>
      </c>
      <c r="C101" s="30" t="s">
        <v>42</v>
      </c>
      <c r="D101" s="32" t="n">
        <f aca="false">SUMIF('Libro Diario'!$C$5:$C$504,A101,'Libro Diario'!$F$5:$F$504)</f>
        <v>0</v>
      </c>
      <c r="E101" s="32" t="n">
        <f aca="false">SUMIF('Libro Diario'!$C$5:$C$504,A101,'Libro Diario'!$G$5:$G$504)</f>
        <v>0</v>
      </c>
      <c r="F101" s="32" t="n">
        <f aca="false">IF(D101&gt;=E101,D101-E101,0)</f>
        <v>0</v>
      </c>
      <c r="G101" s="32" t="n">
        <f aca="false">IF(E101&gt;D101,E101-D101,0)</f>
        <v>0</v>
      </c>
    </row>
    <row r="102" customFormat="false" ht="15" hidden="false" customHeight="true" outlineLevel="0" collapsed="false">
      <c r="A102" s="30" t="s">
        <v>194</v>
      </c>
      <c r="B102" s="31" t="s">
        <v>158</v>
      </c>
      <c r="C102" s="30" t="s">
        <v>42</v>
      </c>
      <c r="D102" s="32" t="n">
        <f aca="false">SUMIF('Libro Diario'!$C$5:$C$504,A102,'Libro Diario'!$F$5:$F$504)</f>
        <v>0</v>
      </c>
      <c r="E102" s="32" t="n">
        <f aca="false">SUMIF('Libro Diario'!$C$5:$C$504,A102,'Libro Diario'!$G$5:$G$504)</f>
        <v>0</v>
      </c>
      <c r="F102" s="32" t="n">
        <f aca="false">IF(D102&gt;=E102,D102-E102,0)</f>
        <v>0</v>
      </c>
      <c r="G102" s="32" t="n">
        <f aca="false">IF(E102&gt;D102,E102-D102,0)</f>
        <v>0</v>
      </c>
    </row>
    <row r="103" customFormat="false" ht="15" hidden="false" customHeight="true" outlineLevel="0" collapsed="false">
      <c r="A103" s="30" t="s">
        <v>195</v>
      </c>
      <c r="B103" s="31" t="s">
        <v>160</v>
      </c>
      <c r="C103" s="30" t="s">
        <v>42</v>
      </c>
      <c r="D103" s="32" t="n">
        <f aca="false">SUMIF('Libro Diario'!$C$5:$C$504,A103,'Libro Diario'!$F$5:$F$504)</f>
        <v>0</v>
      </c>
      <c r="E103" s="32" t="n">
        <f aca="false">SUMIF('Libro Diario'!$C$5:$C$504,A103,'Libro Diario'!$G$5:$G$504)</f>
        <v>0</v>
      </c>
      <c r="F103" s="32" t="n">
        <f aca="false">IF(D103&gt;=E103,D103-E103,0)</f>
        <v>0</v>
      </c>
      <c r="G103" s="32" t="n">
        <f aca="false">IF(E103&gt;D103,E103-D103,0)</f>
        <v>0</v>
      </c>
    </row>
    <row r="104" customFormat="false" ht="15" hidden="false" customHeight="true" outlineLevel="0" collapsed="false">
      <c r="A104" s="30" t="s">
        <v>196</v>
      </c>
      <c r="B104" s="31" t="s">
        <v>162</v>
      </c>
      <c r="C104" s="30" t="s">
        <v>42</v>
      </c>
      <c r="D104" s="32" t="n">
        <f aca="false">SUMIF('Libro Diario'!$C$5:$C$504,A104,'Libro Diario'!$F$5:$F$504)</f>
        <v>0</v>
      </c>
      <c r="E104" s="32" t="n">
        <f aca="false">SUMIF('Libro Diario'!$C$5:$C$504,A104,'Libro Diario'!$G$5:$G$504)</f>
        <v>0</v>
      </c>
      <c r="F104" s="32" t="n">
        <f aca="false">IF(D104&gt;=E104,D104-E104,0)</f>
        <v>0</v>
      </c>
      <c r="G104" s="32" t="n">
        <f aca="false">IF(E104&gt;D104,E104-D104,0)</f>
        <v>0</v>
      </c>
    </row>
    <row r="105" customFormat="false" ht="15" hidden="false" customHeight="true" outlineLevel="0" collapsed="false">
      <c r="A105" s="30" t="s">
        <v>197</v>
      </c>
      <c r="B105" s="31" t="s">
        <v>66</v>
      </c>
      <c r="C105" s="30" t="s">
        <v>42</v>
      </c>
      <c r="D105" s="32" t="n">
        <f aca="false">SUMIF('Libro Diario'!$C$5:$C$504,A105,'Libro Diario'!$F$5:$F$504)</f>
        <v>0</v>
      </c>
      <c r="E105" s="32" t="n">
        <f aca="false">SUMIF('Libro Diario'!$C$5:$C$504,A105,'Libro Diario'!$G$5:$G$504)</f>
        <v>0</v>
      </c>
      <c r="F105" s="32" t="n">
        <f aca="false">IF(D105&gt;=E105,D105-E105,0)</f>
        <v>0</v>
      </c>
      <c r="G105" s="32" t="n">
        <f aca="false">IF(E105&gt;D105,E105-D105,0)</f>
        <v>0</v>
      </c>
    </row>
    <row r="106" customFormat="false" ht="15" hidden="false" customHeight="true" outlineLevel="0" collapsed="false">
      <c r="A106" s="30" t="s">
        <v>198</v>
      </c>
      <c r="B106" s="31" t="s">
        <v>165</v>
      </c>
      <c r="C106" s="30" t="s">
        <v>42</v>
      </c>
      <c r="D106" s="32" t="n">
        <f aca="false">SUMIF('Libro Diario'!$C$5:$C$504,A106,'Libro Diario'!$F$5:$F$504)</f>
        <v>0</v>
      </c>
      <c r="E106" s="32" t="n">
        <f aca="false">SUMIF('Libro Diario'!$C$5:$C$504,A106,'Libro Diario'!$G$5:$G$504)</f>
        <v>0</v>
      </c>
      <c r="F106" s="32" t="n">
        <f aca="false">IF(D106&gt;=E106,D106-E106,0)</f>
        <v>0</v>
      </c>
      <c r="G106" s="32" t="n">
        <f aca="false">IF(E106&gt;D106,E106-D106,0)</f>
        <v>0</v>
      </c>
    </row>
    <row r="107" customFormat="false" ht="15" hidden="false" customHeight="true" outlineLevel="0" collapsed="false">
      <c r="A107" s="30" t="s">
        <v>199</v>
      </c>
      <c r="B107" s="31" t="s">
        <v>66</v>
      </c>
      <c r="C107" s="30" t="s">
        <v>42</v>
      </c>
      <c r="D107" s="32" t="n">
        <f aca="false">SUMIF('Libro Diario'!$C$5:$C$504,A107,'Libro Diario'!$F$5:$F$504)</f>
        <v>0</v>
      </c>
      <c r="E107" s="32" t="n">
        <f aca="false">SUMIF('Libro Diario'!$C$5:$C$504,A107,'Libro Diario'!$G$5:$G$504)</f>
        <v>0</v>
      </c>
      <c r="F107" s="32" t="n">
        <f aca="false">IF(D107&gt;=E107,D107-E107,0)</f>
        <v>0</v>
      </c>
      <c r="G107" s="32" t="n">
        <f aca="false">IF(E107&gt;D107,E107-D107,0)</f>
        <v>0</v>
      </c>
    </row>
    <row r="108" customFormat="false" ht="15" hidden="false" customHeight="true" outlineLevel="0" collapsed="false">
      <c r="A108" s="30" t="s">
        <v>200</v>
      </c>
      <c r="B108" s="31" t="s">
        <v>165</v>
      </c>
      <c r="C108" s="30" t="s">
        <v>42</v>
      </c>
      <c r="D108" s="32" t="n">
        <f aca="false">SUMIF('Libro Diario'!$C$5:$C$504,A108,'Libro Diario'!$F$5:$F$504)</f>
        <v>0</v>
      </c>
      <c r="E108" s="32" t="n">
        <f aca="false">SUMIF('Libro Diario'!$C$5:$C$504,A108,'Libro Diario'!$G$5:$G$504)</f>
        <v>0</v>
      </c>
      <c r="F108" s="32" t="n">
        <f aca="false">IF(D108&gt;=E108,D108-E108,0)</f>
        <v>0</v>
      </c>
      <c r="G108" s="32" t="n">
        <f aca="false">IF(E108&gt;D108,E108-D108,0)</f>
        <v>0</v>
      </c>
    </row>
    <row r="109" customFormat="false" ht="15" hidden="false" customHeight="true" outlineLevel="0" collapsed="false">
      <c r="A109" s="30" t="s">
        <v>201</v>
      </c>
      <c r="B109" s="31" t="s">
        <v>181</v>
      </c>
      <c r="C109" s="30" t="s">
        <v>42</v>
      </c>
      <c r="D109" s="32" t="n">
        <f aca="false">SUMIF('Libro Diario'!$C$5:$C$504,A109,'Libro Diario'!$F$5:$F$504)</f>
        <v>0</v>
      </c>
      <c r="E109" s="32" t="n">
        <f aca="false">SUMIF('Libro Diario'!$C$5:$C$504,A109,'Libro Diario'!$G$5:$G$504)</f>
        <v>0</v>
      </c>
      <c r="F109" s="32" t="n">
        <f aca="false">IF(D109&gt;=E109,D109-E109,0)</f>
        <v>0</v>
      </c>
      <c r="G109" s="32" t="n">
        <f aca="false">IF(E109&gt;D109,E109-D109,0)</f>
        <v>0</v>
      </c>
    </row>
    <row r="110" customFormat="false" ht="15" hidden="false" customHeight="true" outlineLevel="0" collapsed="false">
      <c r="A110" s="30" t="s">
        <v>202</v>
      </c>
      <c r="B110" s="31" t="s">
        <v>203</v>
      </c>
      <c r="C110" s="30" t="s">
        <v>42</v>
      </c>
      <c r="D110" s="32" t="n">
        <f aca="false">SUMIF('Libro Diario'!$C$5:$C$504,A110,'Libro Diario'!$F$5:$F$504)</f>
        <v>0</v>
      </c>
      <c r="E110" s="32" t="n">
        <f aca="false">SUMIF('Libro Diario'!$C$5:$C$504,A110,'Libro Diario'!$G$5:$G$504)</f>
        <v>0</v>
      </c>
      <c r="F110" s="32" t="n">
        <f aca="false">IF(D110&gt;=E110,D110-E110,0)</f>
        <v>0</v>
      </c>
      <c r="G110" s="32" t="n">
        <f aca="false">IF(E110&gt;D110,E110-D110,0)</f>
        <v>0</v>
      </c>
    </row>
    <row r="111" customFormat="false" ht="15" hidden="false" customHeight="true" outlineLevel="0" collapsed="false">
      <c r="A111" s="30" t="s">
        <v>204</v>
      </c>
      <c r="B111" s="31" t="s">
        <v>205</v>
      </c>
      <c r="C111" s="30" t="s">
        <v>42</v>
      </c>
      <c r="D111" s="32" t="n">
        <f aca="false">SUMIF('Libro Diario'!$C$5:$C$504,A111,'Libro Diario'!$F$5:$F$504)</f>
        <v>0</v>
      </c>
      <c r="E111" s="32" t="n">
        <f aca="false">SUMIF('Libro Diario'!$C$5:$C$504,A111,'Libro Diario'!$G$5:$G$504)</f>
        <v>0</v>
      </c>
      <c r="F111" s="32" t="n">
        <f aca="false">IF(D111&gt;=E111,D111-E111,0)</f>
        <v>0</v>
      </c>
      <c r="G111" s="32" t="n">
        <f aca="false">IF(E111&gt;D111,E111-D111,0)</f>
        <v>0</v>
      </c>
    </row>
    <row r="112" customFormat="false" ht="15" hidden="false" customHeight="true" outlineLevel="0" collapsed="false">
      <c r="A112" s="30" t="s">
        <v>206</v>
      </c>
      <c r="B112" s="31" t="s">
        <v>207</v>
      </c>
      <c r="C112" s="30" t="s">
        <v>42</v>
      </c>
      <c r="D112" s="32" t="n">
        <f aca="false">SUMIF('Libro Diario'!$C$5:$C$504,A112,'Libro Diario'!$F$5:$F$504)</f>
        <v>0</v>
      </c>
      <c r="E112" s="32" t="n">
        <f aca="false">SUMIF('Libro Diario'!$C$5:$C$504,A112,'Libro Diario'!$G$5:$G$504)</f>
        <v>0</v>
      </c>
      <c r="F112" s="32" t="n">
        <f aca="false">IF(D112&gt;=E112,D112-E112,0)</f>
        <v>0</v>
      </c>
      <c r="G112" s="32" t="n">
        <f aca="false">IF(E112&gt;D112,E112-D112,0)</f>
        <v>0</v>
      </c>
    </row>
    <row r="113" customFormat="false" ht="15" hidden="false" customHeight="true" outlineLevel="0" collapsed="false">
      <c r="A113" s="30" t="s">
        <v>208</v>
      </c>
      <c r="B113" s="31" t="s">
        <v>209</v>
      </c>
      <c r="C113" s="30" t="s">
        <v>42</v>
      </c>
      <c r="D113" s="32" t="n">
        <f aca="false">SUMIF('Libro Diario'!$C$5:$C$504,A113,'Libro Diario'!$F$5:$F$504)</f>
        <v>0</v>
      </c>
      <c r="E113" s="32" t="n">
        <f aca="false">SUMIF('Libro Diario'!$C$5:$C$504,A113,'Libro Diario'!$G$5:$G$504)</f>
        <v>0</v>
      </c>
      <c r="F113" s="32" t="n">
        <f aca="false">IF(D113&gt;=E113,D113-E113,0)</f>
        <v>0</v>
      </c>
      <c r="G113" s="32" t="n">
        <f aca="false">IF(E113&gt;D113,E113-D113,0)</f>
        <v>0</v>
      </c>
    </row>
    <row r="114" customFormat="false" ht="15" hidden="false" customHeight="true" outlineLevel="0" collapsed="false">
      <c r="A114" s="30" t="s">
        <v>210</v>
      </c>
      <c r="B114" s="31" t="s">
        <v>211</v>
      </c>
      <c r="C114" s="30" t="s">
        <v>42</v>
      </c>
      <c r="D114" s="32" t="n">
        <f aca="false">SUMIF('Libro Diario'!$C$5:$C$504,A114,'Libro Diario'!$F$5:$F$504)</f>
        <v>0</v>
      </c>
      <c r="E114" s="32" t="n">
        <f aca="false">SUMIF('Libro Diario'!$C$5:$C$504,A114,'Libro Diario'!$G$5:$G$504)</f>
        <v>0</v>
      </c>
      <c r="F114" s="32" t="n">
        <f aca="false">IF(D114&gt;=E114,D114-E114,0)</f>
        <v>0</v>
      </c>
      <c r="G114" s="32" t="n">
        <f aca="false">IF(E114&gt;D114,E114-D114,0)</f>
        <v>0</v>
      </c>
    </row>
    <row r="115" customFormat="false" ht="15" hidden="false" customHeight="true" outlineLevel="0" collapsed="false">
      <c r="A115" s="30" t="s">
        <v>212</v>
      </c>
      <c r="B115" s="31" t="s">
        <v>213</v>
      </c>
      <c r="C115" s="30" t="s">
        <v>42</v>
      </c>
      <c r="D115" s="32" t="n">
        <f aca="false">SUMIF('Libro Diario'!$C$5:$C$504,A115,'Libro Diario'!$F$5:$F$504)</f>
        <v>0</v>
      </c>
      <c r="E115" s="32" t="n">
        <f aca="false">SUMIF('Libro Diario'!$C$5:$C$504,A115,'Libro Diario'!$G$5:$G$504)</f>
        <v>0</v>
      </c>
      <c r="F115" s="32" t="n">
        <f aca="false">IF(D115&gt;=E115,D115-E115,0)</f>
        <v>0</v>
      </c>
      <c r="G115" s="32" t="n">
        <f aca="false">IF(E115&gt;D115,E115-D115,0)</f>
        <v>0</v>
      </c>
    </row>
    <row r="116" customFormat="false" ht="15" hidden="false" customHeight="true" outlineLevel="0" collapsed="false">
      <c r="A116" s="30" t="s">
        <v>214</v>
      </c>
      <c r="B116" s="31" t="s">
        <v>215</v>
      </c>
      <c r="C116" s="30" t="s">
        <v>42</v>
      </c>
      <c r="D116" s="32" t="n">
        <f aca="false">SUMIF('Libro Diario'!$C$5:$C$504,A116,'Libro Diario'!$F$5:$F$504)</f>
        <v>0</v>
      </c>
      <c r="E116" s="32" t="n">
        <f aca="false">SUMIF('Libro Diario'!$C$5:$C$504,A116,'Libro Diario'!$G$5:$G$504)</f>
        <v>0</v>
      </c>
      <c r="F116" s="32" t="n">
        <f aca="false">IF(D116&gt;=E116,D116-E116,0)</f>
        <v>0</v>
      </c>
      <c r="G116" s="32" t="n">
        <f aca="false">IF(E116&gt;D116,E116-D116,0)</f>
        <v>0</v>
      </c>
    </row>
    <row r="117" customFormat="false" ht="15" hidden="false" customHeight="true" outlineLevel="0" collapsed="false">
      <c r="A117" s="30" t="s">
        <v>216</v>
      </c>
      <c r="B117" s="31" t="s">
        <v>217</v>
      </c>
      <c r="C117" s="30" t="s">
        <v>42</v>
      </c>
      <c r="D117" s="32" t="n">
        <f aca="false">SUMIF('Libro Diario'!$C$5:$C$504,A117,'Libro Diario'!$F$5:$F$504)</f>
        <v>0</v>
      </c>
      <c r="E117" s="32" t="n">
        <f aca="false">SUMIF('Libro Diario'!$C$5:$C$504,A117,'Libro Diario'!$G$5:$G$504)</f>
        <v>0</v>
      </c>
      <c r="F117" s="32" t="n">
        <f aca="false">IF(D117&gt;=E117,D117-E117,0)</f>
        <v>0</v>
      </c>
      <c r="G117" s="32" t="n">
        <f aca="false">IF(E117&gt;D117,E117-D117,0)</f>
        <v>0</v>
      </c>
    </row>
    <row r="118" customFormat="false" ht="15" hidden="false" customHeight="true" outlineLevel="0" collapsed="false">
      <c r="A118" s="30" t="s">
        <v>218</v>
      </c>
      <c r="B118" s="31" t="s">
        <v>215</v>
      </c>
      <c r="C118" s="30" t="s">
        <v>42</v>
      </c>
      <c r="D118" s="32" t="n">
        <f aca="false">SUMIF('Libro Diario'!$C$5:$C$504,A118,'Libro Diario'!$F$5:$F$504)</f>
        <v>0</v>
      </c>
      <c r="E118" s="32" t="n">
        <f aca="false">SUMIF('Libro Diario'!$C$5:$C$504,A118,'Libro Diario'!$G$5:$G$504)</f>
        <v>0</v>
      </c>
      <c r="F118" s="32" t="n">
        <f aca="false">IF(D118&gt;=E118,D118-E118,0)</f>
        <v>0</v>
      </c>
      <c r="G118" s="32" t="n">
        <f aca="false">IF(E118&gt;D118,E118-D118,0)</f>
        <v>0</v>
      </c>
    </row>
    <row r="119" customFormat="false" ht="15" hidden="false" customHeight="true" outlineLevel="0" collapsed="false">
      <c r="A119" s="30" t="s">
        <v>219</v>
      </c>
      <c r="B119" s="31" t="s">
        <v>217</v>
      </c>
      <c r="C119" s="30" t="s">
        <v>42</v>
      </c>
      <c r="D119" s="32" t="n">
        <f aca="false">SUMIF('Libro Diario'!$C$5:$C$504,A119,'Libro Diario'!$F$5:$F$504)</f>
        <v>0</v>
      </c>
      <c r="E119" s="32" t="n">
        <f aca="false">SUMIF('Libro Diario'!$C$5:$C$504,A119,'Libro Diario'!$G$5:$G$504)</f>
        <v>0</v>
      </c>
      <c r="F119" s="32" t="n">
        <f aca="false">IF(D119&gt;=E119,D119-E119,0)</f>
        <v>0</v>
      </c>
      <c r="G119" s="32" t="n">
        <f aca="false">IF(E119&gt;D119,E119-D119,0)</f>
        <v>0</v>
      </c>
    </row>
    <row r="120" customFormat="false" ht="15" hidden="false" customHeight="true" outlineLevel="0" collapsed="false">
      <c r="A120" s="30" t="s">
        <v>220</v>
      </c>
      <c r="B120" s="31" t="s">
        <v>221</v>
      </c>
      <c r="C120" s="30" t="s">
        <v>42</v>
      </c>
      <c r="D120" s="32" t="n">
        <f aca="false">SUMIF('Libro Diario'!$C$5:$C$504,A120,'Libro Diario'!$F$5:$F$504)</f>
        <v>0</v>
      </c>
      <c r="E120" s="32" t="n">
        <f aca="false">SUMIF('Libro Diario'!$C$5:$C$504,A120,'Libro Diario'!$G$5:$G$504)</f>
        <v>0</v>
      </c>
      <c r="F120" s="32" t="n">
        <f aca="false">IF(D120&gt;=E120,D120-E120,0)</f>
        <v>0</v>
      </c>
      <c r="G120" s="32" t="n">
        <f aca="false">IF(E120&gt;D120,E120-D120,0)</f>
        <v>0</v>
      </c>
    </row>
    <row r="121" customFormat="false" ht="15" hidden="false" customHeight="true" outlineLevel="0" collapsed="false">
      <c r="A121" s="30" t="s">
        <v>222</v>
      </c>
      <c r="B121" s="31" t="s">
        <v>223</v>
      </c>
      <c r="C121" s="30" t="s">
        <v>42</v>
      </c>
      <c r="D121" s="32" t="n">
        <f aca="false">SUMIF('Libro Diario'!$C$5:$C$504,A121,'Libro Diario'!$F$5:$F$504)</f>
        <v>0</v>
      </c>
      <c r="E121" s="32" t="n">
        <f aca="false">SUMIF('Libro Diario'!$C$5:$C$504,A121,'Libro Diario'!$G$5:$G$504)</f>
        <v>0</v>
      </c>
      <c r="F121" s="32" t="n">
        <f aca="false">IF(D121&gt;=E121,D121-E121,0)</f>
        <v>0</v>
      </c>
      <c r="G121" s="32" t="n">
        <f aca="false">IF(E121&gt;D121,E121-D121,0)</f>
        <v>0</v>
      </c>
    </row>
    <row r="122" customFormat="false" ht="15" hidden="false" customHeight="true" outlineLevel="0" collapsed="false">
      <c r="A122" s="30" t="s">
        <v>224</v>
      </c>
      <c r="B122" s="31" t="s">
        <v>225</v>
      </c>
      <c r="C122" s="30" t="s">
        <v>42</v>
      </c>
      <c r="D122" s="32" t="n">
        <f aca="false">SUMIF('Libro Diario'!$C$5:$C$504,A122,'Libro Diario'!$F$5:$F$504)</f>
        <v>0</v>
      </c>
      <c r="E122" s="32" t="n">
        <f aca="false">SUMIF('Libro Diario'!$C$5:$C$504,A122,'Libro Diario'!$G$5:$G$504)</f>
        <v>0</v>
      </c>
      <c r="F122" s="32" t="n">
        <f aca="false">IF(D122&gt;=E122,D122-E122,0)</f>
        <v>0</v>
      </c>
      <c r="G122" s="32" t="n">
        <f aca="false">IF(E122&gt;D122,E122-D122,0)</f>
        <v>0</v>
      </c>
    </row>
    <row r="123" customFormat="false" ht="15" hidden="false" customHeight="true" outlineLevel="0" collapsed="false">
      <c r="A123" s="30" t="s">
        <v>226</v>
      </c>
      <c r="B123" s="31" t="s">
        <v>122</v>
      </c>
      <c r="C123" s="30" t="s">
        <v>42</v>
      </c>
      <c r="D123" s="32" t="n">
        <f aca="false">SUMIF('Libro Diario'!$C$5:$C$504,A123,'Libro Diario'!$F$5:$F$504)</f>
        <v>0</v>
      </c>
      <c r="E123" s="32" t="n">
        <f aca="false">SUMIF('Libro Diario'!$C$5:$C$504,A123,'Libro Diario'!$G$5:$G$504)</f>
        <v>0</v>
      </c>
      <c r="F123" s="32" t="n">
        <f aca="false">IF(D123&gt;=E123,D123-E123,0)</f>
        <v>0</v>
      </c>
      <c r="G123" s="32" t="n">
        <f aca="false">IF(E123&gt;D123,E123-D123,0)</f>
        <v>0</v>
      </c>
    </row>
    <row r="124" customFormat="false" ht="15" hidden="false" customHeight="true" outlineLevel="0" collapsed="false">
      <c r="A124" s="30" t="s">
        <v>227</v>
      </c>
      <c r="B124" s="31" t="s">
        <v>107</v>
      </c>
      <c r="C124" s="30" t="s">
        <v>42</v>
      </c>
      <c r="D124" s="32" t="n">
        <f aca="false">SUMIF('Libro Diario'!$C$5:$C$504,A124,'Libro Diario'!$F$5:$F$504)</f>
        <v>0</v>
      </c>
      <c r="E124" s="32" t="n">
        <f aca="false">SUMIF('Libro Diario'!$C$5:$C$504,A124,'Libro Diario'!$G$5:$G$504)</f>
        <v>0</v>
      </c>
      <c r="F124" s="32" t="n">
        <f aca="false">IF(D124&gt;=E124,D124-E124,0)</f>
        <v>0</v>
      </c>
      <c r="G124" s="32" t="n">
        <f aca="false">IF(E124&gt;D124,E124-D124,0)</f>
        <v>0</v>
      </c>
    </row>
    <row r="125" customFormat="false" ht="15" hidden="false" customHeight="true" outlineLevel="0" collapsed="false">
      <c r="A125" s="30" t="s">
        <v>228</v>
      </c>
      <c r="B125" s="31" t="s">
        <v>229</v>
      </c>
      <c r="C125" s="30" t="s">
        <v>42</v>
      </c>
      <c r="D125" s="32" t="n">
        <f aca="false">SUMIF('Libro Diario'!$C$5:$C$504,A125,'Libro Diario'!$F$5:$F$504)</f>
        <v>0</v>
      </c>
      <c r="E125" s="32" t="n">
        <f aca="false">SUMIF('Libro Diario'!$C$5:$C$504,A125,'Libro Diario'!$G$5:$G$504)</f>
        <v>0</v>
      </c>
      <c r="F125" s="32" t="n">
        <f aca="false">IF(D125&gt;=E125,D125-E125,0)</f>
        <v>0</v>
      </c>
      <c r="G125" s="32" t="n">
        <f aca="false">IF(E125&gt;D125,E125-D125,0)</f>
        <v>0</v>
      </c>
    </row>
    <row r="126" customFormat="false" ht="15" hidden="false" customHeight="true" outlineLevel="0" collapsed="false">
      <c r="A126" s="30" t="s">
        <v>230</v>
      </c>
      <c r="B126" s="31" t="s">
        <v>231</v>
      </c>
      <c r="C126" s="30" t="s">
        <v>42</v>
      </c>
      <c r="D126" s="32" t="n">
        <f aca="false">SUMIF('Libro Diario'!$C$5:$C$504,A126,'Libro Diario'!$F$5:$F$504)</f>
        <v>0</v>
      </c>
      <c r="E126" s="32" t="n">
        <f aca="false">SUMIF('Libro Diario'!$C$5:$C$504,A126,'Libro Diario'!$G$5:$G$504)</f>
        <v>0</v>
      </c>
      <c r="F126" s="32" t="n">
        <f aca="false">IF(D126&gt;=E126,D126-E126,0)</f>
        <v>0</v>
      </c>
      <c r="G126" s="32" t="n">
        <f aca="false">IF(E126&gt;D126,E126-D126,0)</f>
        <v>0</v>
      </c>
    </row>
    <row r="127" customFormat="false" ht="15" hidden="false" customHeight="true" outlineLevel="0" collapsed="false">
      <c r="A127" s="30" t="s">
        <v>232</v>
      </c>
      <c r="B127" s="31" t="s">
        <v>233</v>
      </c>
      <c r="C127" s="30" t="s">
        <v>42</v>
      </c>
      <c r="D127" s="32" t="n">
        <f aca="false">SUMIF('Libro Diario'!$C$5:$C$504,A127,'Libro Diario'!$F$5:$F$504)</f>
        <v>0</v>
      </c>
      <c r="E127" s="32" t="n">
        <f aca="false">SUMIF('Libro Diario'!$C$5:$C$504,A127,'Libro Diario'!$G$5:$G$504)</f>
        <v>0</v>
      </c>
      <c r="F127" s="32" t="n">
        <f aca="false">IF(D127&gt;=E127,D127-E127,0)</f>
        <v>0</v>
      </c>
      <c r="G127" s="32" t="n">
        <f aca="false">IF(E127&gt;D127,E127-D127,0)</f>
        <v>0</v>
      </c>
    </row>
    <row r="128" customFormat="false" ht="15" hidden="false" customHeight="true" outlineLevel="0" collapsed="false">
      <c r="A128" s="30" t="s">
        <v>234</v>
      </c>
      <c r="B128" s="31" t="s">
        <v>235</v>
      </c>
      <c r="C128" s="30" t="s">
        <v>42</v>
      </c>
      <c r="D128" s="32" t="n">
        <f aca="false">SUMIF('Libro Diario'!$C$5:$C$504,A128,'Libro Diario'!$F$5:$F$504)</f>
        <v>0</v>
      </c>
      <c r="E128" s="32" t="n">
        <f aca="false">SUMIF('Libro Diario'!$C$5:$C$504,A128,'Libro Diario'!$G$5:$G$504)</f>
        <v>0</v>
      </c>
      <c r="F128" s="32" t="n">
        <f aca="false">IF(D128&gt;=E128,D128-E128,0)</f>
        <v>0</v>
      </c>
      <c r="G128" s="32" t="n">
        <f aca="false">IF(E128&gt;D128,E128-D128,0)</f>
        <v>0</v>
      </c>
    </row>
    <row r="129" customFormat="false" ht="15" hidden="false" customHeight="true" outlineLevel="0" collapsed="false">
      <c r="A129" s="30" t="s">
        <v>236</v>
      </c>
      <c r="B129" s="31" t="s">
        <v>237</v>
      </c>
      <c r="C129" s="30" t="s">
        <v>42</v>
      </c>
      <c r="D129" s="32" t="n">
        <f aca="false">SUMIF('Libro Diario'!$C$5:$C$504,A129,'Libro Diario'!$F$5:$F$504)</f>
        <v>0</v>
      </c>
      <c r="E129" s="32" t="n">
        <f aca="false">SUMIF('Libro Diario'!$C$5:$C$504,A129,'Libro Diario'!$G$5:$G$504)</f>
        <v>0</v>
      </c>
      <c r="F129" s="32" t="n">
        <f aca="false">IF(D129&gt;=E129,D129-E129,0)</f>
        <v>0</v>
      </c>
      <c r="G129" s="32" t="n">
        <f aca="false">IF(E129&gt;D129,E129-D129,0)</f>
        <v>0</v>
      </c>
    </row>
    <row r="130" customFormat="false" ht="15" hidden="false" customHeight="true" outlineLevel="0" collapsed="false">
      <c r="A130" s="30" t="s">
        <v>238</v>
      </c>
      <c r="B130" s="31" t="s">
        <v>181</v>
      </c>
      <c r="C130" s="30" t="s">
        <v>42</v>
      </c>
      <c r="D130" s="32" t="n">
        <f aca="false">SUMIF('Libro Diario'!$C$5:$C$504,A130,'Libro Diario'!$F$5:$F$504)</f>
        <v>0</v>
      </c>
      <c r="E130" s="32" t="n">
        <f aca="false">SUMIF('Libro Diario'!$C$5:$C$504,A130,'Libro Diario'!$G$5:$G$504)</f>
        <v>0</v>
      </c>
      <c r="F130" s="32" t="n">
        <f aca="false">IF(D130&gt;=E130,D130-E130,0)</f>
        <v>0</v>
      </c>
      <c r="G130" s="32" t="n">
        <f aca="false">IF(E130&gt;D130,E130-D130,0)</f>
        <v>0</v>
      </c>
    </row>
    <row r="131" customFormat="false" ht="15" hidden="false" customHeight="true" outlineLevel="0" collapsed="false">
      <c r="A131" s="30" t="s">
        <v>239</v>
      </c>
      <c r="B131" s="31" t="s">
        <v>107</v>
      </c>
      <c r="C131" s="30" t="s">
        <v>42</v>
      </c>
      <c r="D131" s="32" t="n">
        <f aca="false">SUMIF('Libro Diario'!$C$5:$C$504,A131,'Libro Diario'!$F$5:$F$504)</f>
        <v>0</v>
      </c>
      <c r="E131" s="32" t="n">
        <f aca="false">SUMIF('Libro Diario'!$C$5:$C$504,A131,'Libro Diario'!$G$5:$G$504)</f>
        <v>0</v>
      </c>
      <c r="F131" s="32" t="n">
        <f aca="false">IF(D131&gt;=E131,D131-E131,0)</f>
        <v>0</v>
      </c>
      <c r="G131" s="32" t="n">
        <f aca="false">IF(E131&gt;D131,E131-D131,0)</f>
        <v>0</v>
      </c>
    </row>
    <row r="132" customFormat="false" ht="15" hidden="false" customHeight="true" outlineLevel="0" collapsed="false">
      <c r="A132" s="30" t="s">
        <v>240</v>
      </c>
      <c r="B132" s="31" t="s">
        <v>231</v>
      </c>
      <c r="C132" s="30" t="s">
        <v>42</v>
      </c>
      <c r="D132" s="32" t="n">
        <f aca="false">SUMIF('Libro Diario'!$C$5:$C$504,A132,'Libro Diario'!$F$5:$F$504)</f>
        <v>0</v>
      </c>
      <c r="E132" s="32" t="n">
        <f aca="false">SUMIF('Libro Diario'!$C$5:$C$504,A132,'Libro Diario'!$G$5:$G$504)</f>
        <v>0</v>
      </c>
      <c r="F132" s="32" t="n">
        <f aca="false">IF(D132&gt;=E132,D132-E132,0)</f>
        <v>0</v>
      </c>
      <c r="G132" s="32" t="n">
        <f aca="false">IF(E132&gt;D132,E132-D132,0)</f>
        <v>0</v>
      </c>
    </row>
    <row r="133" customFormat="false" ht="15" hidden="false" customHeight="true" outlineLevel="0" collapsed="false">
      <c r="A133" s="30" t="s">
        <v>241</v>
      </c>
      <c r="B133" s="31" t="s">
        <v>233</v>
      </c>
      <c r="C133" s="30" t="s">
        <v>42</v>
      </c>
      <c r="D133" s="32" t="n">
        <f aca="false">SUMIF('Libro Diario'!$C$5:$C$504,A133,'Libro Diario'!$F$5:$F$504)</f>
        <v>0</v>
      </c>
      <c r="E133" s="32" t="n">
        <f aca="false">SUMIF('Libro Diario'!$C$5:$C$504,A133,'Libro Diario'!$G$5:$G$504)</f>
        <v>0</v>
      </c>
      <c r="F133" s="32" t="n">
        <f aca="false">IF(D133&gt;=E133,D133-E133,0)</f>
        <v>0</v>
      </c>
      <c r="G133" s="32" t="n">
        <f aca="false">IF(E133&gt;D133,E133-D133,0)</f>
        <v>0</v>
      </c>
    </row>
    <row r="134" customFormat="false" ht="15" hidden="false" customHeight="true" outlineLevel="0" collapsed="false">
      <c r="A134" s="30" t="s">
        <v>242</v>
      </c>
      <c r="B134" s="31" t="s">
        <v>235</v>
      </c>
      <c r="C134" s="30" t="s">
        <v>42</v>
      </c>
      <c r="D134" s="32" t="n">
        <f aca="false">SUMIF('Libro Diario'!$C$5:$C$504,A134,'Libro Diario'!$F$5:$F$504)</f>
        <v>0</v>
      </c>
      <c r="E134" s="32" t="n">
        <f aca="false">SUMIF('Libro Diario'!$C$5:$C$504,A134,'Libro Diario'!$G$5:$G$504)</f>
        <v>0</v>
      </c>
      <c r="F134" s="32" t="n">
        <f aca="false">IF(D134&gt;=E134,D134-E134,0)</f>
        <v>0</v>
      </c>
      <c r="G134" s="32" t="n">
        <f aca="false">IF(E134&gt;D134,E134-D134,0)</f>
        <v>0</v>
      </c>
    </row>
    <row r="135" customFormat="false" ht="15" hidden="false" customHeight="true" outlineLevel="0" collapsed="false">
      <c r="A135" s="30" t="s">
        <v>243</v>
      </c>
      <c r="B135" s="31" t="s">
        <v>237</v>
      </c>
      <c r="C135" s="30" t="s">
        <v>42</v>
      </c>
      <c r="D135" s="32" t="n">
        <f aca="false">SUMIF('Libro Diario'!$C$5:$C$504,A135,'Libro Diario'!$F$5:$F$504)</f>
        <v>0</v>
      </c>
      <c r="E135" s="32" t="n">
        <f aca="false">SUMIF('Libro Diario'!$C$5:$C$504,A135,'Libro Diario'!$G$5:$G$504)</f>
        <v>0</v>
      </c>
      <c r="F135" s="32" t="n">
        <f aca="false">IF(D135&gt;=E135,D135-E135,0)</f>
        <v>0</v>
      </c>
      <c r="G135" s="32" t="n">
        <f aca="false">IF(E135&gt;D135,E135-D135,0)</f>
        <v>0</v>
      </c>
    </row>
    <row r="136" customFormat="false" ht="15" hidden="false" customHeight="true" outlineLevel="0" collapsed="false">
      <c r="A136" s="30" t="s">
        <v>244</v>
      </c>
      <c r="B136" s="31" t="s">
        <v>181</v>
      </c>
      <c r="C136" s="30" t="s">
        <v>42</v>
      </c>
      <c r="D136" s="32" t="n">
        <f aca="false">SUMIF('Libro Diario'!$C$5:$C$504,A136,'Libro Diario'!$F$5:$F$504)</f>
        <v>0</v>
      </c>
      <c r="E136" s="32" t="n">
        <f aca="false">SUMIF('Libro Diario'!$C$5:$C$504,A136,'Libro Diario'!$G$5:$G$504)</f>
        <v>0</v>
      </c>
      <c r="F136" s="32" t="n">
        <f aca="false">IF(D136&gt;=E136,D136-E136,0)</f>
        <v>0</v>
      </c>
      <c r="G136" s="32" t="n">
        <f aca="false">IF(E136&gt;D136,E136-D136,0)</f>
        <v>0</v>
      </c>
    </row>
    <row r="137" customFormat="false" ht="15" hidden="false" customHeight="true" outlineLevel="0" collapsed="false">
      <c r="A137" s="30" t="s">
        <v>245</v>
      </c>
      <c r="B137" s="31" t="s">
        <v>66</v>
      </c>
      <c r="C137" s="30" t="s">
        <v>246</v>
      </c>
      <c r="D137" s="32" t="n">
        <f aca="false">SUMIF('Libro Diario'!$C$5:$C$504,A137,'Libro Diario'!$F$5:$F$504)</f>
        <v>0</v>
      </c>
      <c r="E137" s="32" t="n">
        <f aca="false">SUMIF('Libro Diario'!$C$5:$C$504,A137,'Libro Diario'!$G$5:$G$504)</f>
        <v>0</v>
      </c>
      <c r="F137" s="32" t="n">
        <f aca="false">IF(D137&gt;=E137,D137-E137,0)</f>
        <v>0</v>
      </c>
      <c r="G137" s="32" t="n">
        <f aca="false">IF(E137&gt;D137,E137-D137,0)</f>
        <v>0</v>
      </c>
    </row>
    <row r="138" customFormat="false" ht="15" hidden="false" customHeight="true" outlineLevel="0" collapsed="false">
      <c r="A138" s="30" t="s">
        <v>247</v>
      </c>
      <c r="B138" s="31" t="s">
        <v>165</v>
      </c>
      <c r="C138" s="30" t="s">
        <v>246</v>
      </c>
      <c r="D138" s="32" t="n">
        <f aca="false">SUMIF('Libro Diario'!$C$5:$C$504,A138,'Libro Diario'!$F$5:$F$504)</f>
        <v>0</v>
      </c>
      <c r="E138" s="32" t="n">
        <f aca="false">SUMIF('Libro Diario'!$C$5:$C$504,A138,'Libro Diario'!$G$5:$G$504)</f>
        <v>0</v>
      </c>
      <c r="F138" s="32" t="n">
        <f aca="false">IF(D138&gt;=E138,D138-E138,0)</f>
        <v>0</v>
      </c>
      <c r="G138" s="32" t="n">
        <f aca="false">IF(E138&gt;D138,E138-D138,0)</f>
        <v>0</v>
      </c>
    </row>
    <row r="139" customFormat="false" ht="15" hidden="false" customHeight="true" outlineLevel="0" collapsed="false">
      <c r="A139" s="30" t="s">
        <v>248</v>
      </c>
      <c r="B139" s="31" t="s">
        <v>66</v>
      </c>
      <c r="C139" s="30" t="s">
        <v>246</v>
      </c>
      <c r="D139" s="32" t="n">
        <f aca="false">SUMIF('Libro Diario'!$C$5:$C$504,A139,'Libro Diario'!$F$5:$F$504)</f>
        <v>0</v>
      </c>
      <c r="E139" s="32" t="n">
        <f aca="false">SUMIF('Libro Diario'!$C$5:$C$504,A139,'Libro Diario'!$G$5:$G$504)</f>
        <v>0</v>
      </c>
      <c r="F139" s="32" t="n">
        <f aca="false">IF(D139&gt;=E139,D139-E139,0)</f>
        <v>0</v>
      </c>
      <c r="G139" s="32" t="n">
        <f aca="false">IF(E139&gt;D139,E139-D139,0)</f>
        <v>0</v>
      </c>
    </row>
    <row r="140" customFormat="false" ht="15" hidden="false" customHeight="true" outlineLevel="0" collapsed="false">
      <c r="A140" s="30" t="s">
        <v>249</v>
      </c>
      <c r="B140" s="31" t="s">
        <v>250</v>
      </c>
      <c r="C140" s="30" t="s">
        <v>246</v>
      </c>
      <c r="D140" s="32" t="n">
        <f aca="false">SUMIF('Libro Diario'!$C$5:$C$504,A140,'Libro Diario'!$F$5:$F$504)</f>
        <v>0</v>
      </c>
      <c r="E140" s="32" t="n">
        <f aca="false">SUMIF('Libro Diario'!$C$5:$C$504,A140,'Libro Diario'!$G$5:$G$504)</f>
        <v>0</v>
      </c>
      <c r="F140" s="32" t="n">
        <f aca="false">IF(D140&gt;=E140,D140-E140,0)</f>
        <v>0</v>
      </c>
      <c r="G140" s="32" t="n">
        <f aca="false">IF(E140&gt;D140,E140-D140,0)</f>
        <v>0</v>
      </c>
    </row>
    <row r="141" customFormat="false" ht="15" hidden="false" customHeight="true" outlineLevel="0" collapsed="false">
      <c r="A141" s="30" t="s">
        <v>251</v>
      </c>
      <c r="B141" s="31" t="s">
        <v>165</v>
      </c>
      <c r="C141" s="30" t="s">
        <v>246</v>
      </c>
      <c r="D141" s="32" t="n">
        <f aca="false">SUMIF('Libro Diario'!$C$5:$C$504,A141,'Libro Diario'!$F$5:$F$504)</f>
        <v>0</v>
      </c>
      <c r="E141" s="32" t="n">
        <f aca="false">SUMIF('Libro Diario'!$C$5:$C$504,A141,'Libro Diario'!$G$5:$G$504)</f>
        <v>0</v>
      </c>
      <c r="F141" s="32" t="n">
        <f aca="false">IF(D141&gt;=E141,D141-E141,0)</f>
        <v>0</v>
      </c>
      <c r="G141" s="32" t="n">
        <f aca="false">IF(E141&gt;D141,E141-D141,0)</f>
        <v>0</v>
      </c>
    </row>
    <row r="142" customFormat="false" ht="15" hidden="false" customHeight="true" outlineLevel="0" collapsed="false">
      <c r="A142" s="30" t="s">
        <v>252</v>
      </c>
      <c r="B142" s="31" t="s">
        <v>66</v>
      </c>
      <c r="C142" s="30" t="s">
        <v>246</v>
      </c>
      <c r="D142" s="32" t="n">
        <f aca="false">SUMIF('Libro Diario'!$C$5:$C$504,A142,'Libro Diario'!$F$5:$F$504)</f>
        <v>0</v>
      </c>
      <c r="E142" s="32" t="n">
        <f aca="false">SUMIF('Libro Diario'!$C$5:$C$504,A142,'Libro Diario'!$G$5:$G$504)</f>
        <v>0</v>
      </c>
      <c r="F142" s="32" t="n">
        <f aca="false">IF(D142&gt;=E142,D142-E142,0)</f>
        <v>0</v>
      </c>
      <c r="G142" s="32" t="n">
        <f aca="false">IF(E142&gt;D142,E142-D142,0)</f>
        <v>0</v>
      </c>
    </row>
    <row r="143" customFormat="false" ht="15" hidden="false" customHeight="true" outlineLevel="0" collapsed="false">
      <c r="A143" s="30" t="s">
        <v>253</v>
      </c>
      <c r="B143" s="31" t="s">
        <v>254</v>
      </c>
      <c r="C143" s="30" t="s">
        <v>246</v>
      </c>
      <c r="D143" s="32" t="n">
        <f aca="false">SUMIF('Libro Diario'!$C$5:$C$504,A143,'Libro Diario'!$F$5:$F$504)</f>
        <v>0</v>
      </c>
      <c r="E143" s="32" t="n">
        <f aca="false">SUMIF('Libro Diario'!$C$5:$C$504,A143,'Libro Diario'!$G$5:$G$504)</f>
        <v>0</v>
      </c>
      <c r="F143" s="32" t="n">
        <f aca="false">IF(D143&gt;=E143,D143-E143,0)</f>
        <v>0</v>
      </c>
      <c r="G143" s="32" t="n">
        <f aca="false">IF(E143&gt;D143,E143-D143,0)</f>
        <v>0</v>
      </c>
    </row>
    <row r="144" customFormat="false" ht="15" hidden="false" customHeight="true" outlineLevel="0" collapsed="false">
      <c r="A144" s="30" t="s">
        <v>255</v>
      </c>
      <c r="B144" s="31" t="s">
        <v>256</v>
      </c>
      <c r="C144" s="30" t="s">
        <v>246</v>
      </c>
      <c r="D144" s="32" t="n">
        <f aca="false">SUMIF('Libro Diario'!$C$5:$C$504,A144,'Libro Diario'!$F$5:$F$504)</f>
        <v>0</v>
      </c>
      <c r="E144" s="32" t="n">
        <f aca="false">SUMIF('Libro Diario'!$C$5:$C$504,A144,'Libro Diario'!$G$5:$G$504)</f>
        <v>0</v>
      </c>
      <c r="F144" s="32" t="n">
        <f aca="false">IF(D144&gt;=E144,D144-E144,0)</f>
        <v>0</v>
      </c>
      <c r="G144" s="32" t="n">
        <f aca="false">IF(E144&gt;D144,E144-D144,0)</f>
        <v>0</v>
      </c>
    </row>
    <row r="145" customFormat="false" ht="15" hidden="false" customHeight="true" outlineLevel="0" collapsed="false">
      <c r="A145" s="30" t="s">
        <v>257</v>
      </c>
      <c r="B145" s="31" t="s">
        <v>66</v>
      </c>
      <c r="C145" s="30" t="s">
        <v>246</v>
      </c>
      <c r="D145" s="32" t="n">
        <f aca="false">SUMIF('Libro Diario'!$C$5:$C$504,A145,'Libro Diario'!$F$5:$F$504)</f>
        <v>0</v>
      </c>
      <c r="E145" s="32" t="n">
        <f aca="false">SUMIF('Libro Diario'!$C$5:$C$504,A145,'Libro Diario'!$G$5:$G$504)</f>
        <v>0</v>
      </c>
      <c r="F145" s="32" t="n">
        <f aca="false">IF(D145&gt;=E145,D145-E145,0)</f>
        <v>0</v>
      </c>
      <c r="G145" s="32" t="n">
        <f aca="false">IF(E145&gt;D145,E145-D145,0)</f>
        <v>0</v>
      </c>
    </row>
    <row r="146" customFormat="false" ht="15" hidden="false" customHeight="true" outlineLevel="0" collapsed="false">
      <c r="A146" s="30" t="s">
        <v>258</v>
      </c>
      <c r="B146" s="31" t="s">
        <v>250</v>
      </c>
      <c r="C146" s="30" t="s">
        <v>246</v>
      </c>
      <c r="D146" s="32" t="n">
        <f aca="false">SUMIF('Libro Diario'!$C$5:$C$504,A146,'Libro Diario'!$F$5:$F$504)</f>
        <v>0</v>
      </c>
      <c r="E146" s="32" t="n">
        <f aca="false">SUMIF('Libro Diario'!$C$5:$C$504,A146,'Libro Diario'!$G$5:$G$504)</f>
        <v>0</v>
      </c>
      <c r="F146" s="32" t="n">
        <f aca="false">IF(D146&gt;=E146,D146-E146,0)</f>
        <v>0</v>
      </c>
      <c r="G146" s="32" t="n">
        <f aca="false">IF(E146&gt;D146,E146-D146,0)</f>
        <v>0</v>
      </c>
    </row>
    <row r="147" customFormat="false" ht="15" hidden="false" customHeight="true" outlineLevel="0" collapsed="false">
      <c r="A147" s="30" t="s">
        <v>259</v>
      </c>
      <c r="B147" s="31" t="s">
        <v>66</v>
      </c>
      <c r="C147" s="30" t="s">
        <v>246</v>
      </c>
      <c r="D147" s="32" t="n">
        <f aca="false">SUMIF('Libro Diario'!$C$5:$C$504,A147,'Libro Diario'!$F$5:$F$504)</f>
        <v>0</v>
      </c>
      <c r="E147" s="32" t="n">
        <f aca="false">SUMIF('Libro Diario'!$C$5:$C$504,A147,'Libro Diario'!$G$5:$G$504)</f>
        <v>0</v>
      </c>
      <c r="F147" s="32" t="n">
        <f aca="false">IF(D147&gt;=E147,D147-E147,0)</f>
        <v>0</v>
      </c>
      <c r="G147" s="32" t="n">
        <f aca="false">IF(E147&gt;D147,E147-D147,0)</f>
        <v>0</v>
      </c>
    </row>
    <row r="148" customFormat="false" ht="15" hidden="false" customHeight="true" outlineLevel="0" collapsed="false">
      <c r="A148" s="30" t="s">
        <v>260</v>
      </c>
      <c r="B148" s="31" t="s">
        <v>66</v>
      </c>
      <c r="C148" s="30" t="s">
        <v>246</v>
      </c>
      <c r="D148" s="32" t="n">
        <f aca="false">SUMIF('Libro Diario'!$C$5:$C$504,A148,'Libro Diario'!$F$5:$F$504)</f>
        <v>0</v>
      </c>
      <c r="E148" s="32" t="n">
        <f aca="false">SUMIF('Libro Diario'!$C$5:$C$504,A148,'Libro Diario'!$G$5:$G$504)</f>
        <v>0</v>
      </c>
      <c r="F148" s="32" t="n">
        <f aca="false">IF(D148&gt;=E148,D148-E148,0)</f>
        <v>0</v>
      </c>
      <c r="G148" s="32" t="n">
        <f aca="false">IF(E148&gt;D148,E148-D148,0)</f>
        <v>0</v>
      </c>
    </row>
    <row r="149" customFormat="false" ht="15" hidden="false" customHeight="true" outlineLevel="0" collapsed="false">
      <c r="A149" s="30" t="s">
        <v>261</v>
      </c>
      <c r="B149" s="31" t="s">
        <v>165</v>
      </c>
      <c r="C149" s="30" t="s">
        <v>246</v>
      </c>
      <c r="D149" s="32" t="n">
        <f aca="false">SUMIF('Libro Diario'!$C$5:$C$504,A149,'Libro Diario'!$F$5:$F$504)</f>
        <v>0</v>
      </c>
      <c r="E149" s="32" t="n">
        <f aca="false">SUMIF('Libro Diario'!$C$5:$C$504,A149,'Libro Diario'!$G$5:$G$504)</f>
        <v>0</v>
      </c>
      <c r="F149" s="32" t="n">
        <f aca="false">IF(D149&gt;=E149,D149-E149,0)</f>
        <v>0</v>
      </c>
      <c r="G149" s="32" t="n">
        <f aca="false">IF(E149&gt;D149,E149-D149,0)</f>
        <v>0</v>
      </c>
    </row>
    <row r="150" customFormat="false" ht="15" hidden="false" customHeight="true" outlineLevel="0" collapsed="false">
      <c r="A150" s="30" t="s">
        <v>262</v>
      </c>
      <c r="B150" s="31" t="s">
        <v>263</v>
      </c>
      <c r="C150" s="30" t="s">
        <v>246</v>
      </c>
      <c r="D150" s="32" t="n">
        <f aca="false">SUMIF('Libro Diario'!$C$5:$C$504,A150,'Libro Diario'!$F$5:$F$504)</f>
        <v>0</v>
      </c>
      <c r="E150" s="32" t="n">
        <f aca="false">SUMIF('Libro Diario'!$C$5:$C$504,A150,'Libro Diario'!$G$5:$G$504)</f>
        <v>0</v>
      </c>
      <c r="F150" s="32" t="n">
        <f aca="false">IF(D150&gt;=E150,D150-E150,0)</f>
        <v>0</v>
      </c>
      <c r="G150" s="32" t="n">
        <f aca="false">IF(E150&gt;D150,E150-D150,0)</f>
        <v>0</v>
      </c>
    </row>
    <row r="151" customFormat="false" ht="15" hidden="false" customHeight="true" outlineLevel="0" collapsed="false">
      <c r="A151" s="30" t="s">
        <v>264</v>
      </c>
      <c r="B151" s="31" t="s">
        <v>265</v>
      </c>
      <c r="C151" s="30" t="s">
        <v>246</v>
      </c>
      <c r="D151" s="32" t="n">
        <f aca="false">SUMIF('Libro Diario'!$C$5:$C$504,A151,'Libro Diario'!$F$5:$F$504)</f>
        <v>0</v>
      </c>
      <c r="E151" s="32" t="n">
        <f aca="false">SUMIF('Libro Diario'!$C$5:$C$504,A151,'Libro Diario'!$G$5:$G$504)</f>
        <v>0</v>
      </c>
      <c r="F151" s="32" t="n">
        <f aca="false">IF(D151&gt;=E151,D151-E151,0)</f>
        <v>0</v>
      </c>
      <c r="G151" s="32" t="n">
        <f aca="false">IF(E151&gt;D151,E151-D151,0)</f>
        <v>0</v>
      </c>
    </row>
    <row r="152" customFormat="false" ht="15" hidden="false" customHeight="true" outlineLevel="0" collapsed="false">
      <c r="A152" s="30" t="s">
        <v>266</v>
      </c>
      <c r="B152" s="31" t="s">
        <v>267</v>
      </c>
      <c r="C152" s="30" t="s">
        <v>246</v>
      </c>
      <c r="D152" s="32" t="n">
        <f aca="false">SUMIF('Libro Diario'!$C$5:$C$504,A152,'Libro Diario'!$F$5:$F$504)</f>
        <v>0</v>
      </c>
      <c r="E152" s="32" t="n">
        <f aca="false">SUMIF('Libro Diario'!$C$5:$C$504,A152,'Libro Diario'!$G$5:$G$504)</f>
        <v>0</v>
      </c>
      <c r="F152" s="32" t="n">
        <f aca="false">IF(D152&gt;=E152,D152-E152,0)</f>
        <v>0</v>
      </c>
      <c r="G152" s="32" t="n">
        <f aca="false">IF(E152&gt;D152,E152-D152,0)</f>
        <v>0</v>
      </c>
    </row>
    <row r="153" customFormat="false" ht="15" hidden="false" customHeight="true" outlineLevel="0" collapsed="false">
      <c r="A153" s="30" t="s">
        <v>268</v>
      </c>
      <c r="B153" s="31" t="s">
        <v>269</v>
      </c>
      <c r="C153" s="30" t="s">
        <v>246</v>
      </c>
      <c r="D153" s="32" t="n">
        <f aca="false">SUMIF('Libro Diario'!$C$5:$C$504,A153,'Libro Diario'!$F$5:$F$504)</f>
        <v>0</v>
      </c>
      <c r="E153" s="32" t="n">
        <f aca="false">SUMIF('Libro Diario'!$C$5:$C$504,A153,'Libro Diario'!$G$5:$G$504)</f>
        <v>0</v>
      </c>
      <c r="F153" s="32" t="n">
        <f aca="false">IF(D153&gt;=E153,D153-E153,0)</f>
        <v>0</v>
      </c>
      <c r="G153" s="32" t="n">
        <f aca="false">IF(E153&gt;D153,E153-D153,0)</f>
        <v>0</v>
      </c>
    </row>
    <row r="154" customFormat="false" ht="15" hidden="false" customHeight="true" outlineLevel="0" collapsed="false">
      <c r="A154" s="30" t="s">
        <v>270</v>
      </c>
      <c r="B154" s="31" t="s">
        <v>271</v>
      </c>
      <c r="C154" s="30" t="s">
        <v>246</v>
      </c>
      <c r="D154" s="32" t="n">
        <f aca="false">SUMIF('Libro Diario'!$C$5:$C$504,A154,'Libro Diario'!$F$5:$F$504)</f>
        <v>0</v>
      </c>
      <c r="E154" s="32" t="n">
        <f aca="false">SUMIF('Libro Diario'!$C$5:$C$504,A154,'Libro Diario'!$G$5:$G$504)</f>
        <v>0</v>
      </c>
      <c r="F154" s="32" t="n">
        <f aca="false">IF(D154&gt;=E154,D154-E154,0)</f>
        <v>0</v>
      </c>
      <c r="G154" s="32" t="n">
        <f aca="false">IF(E154&gt;D154,E154-D154,0)</f>
        <v>0</v>
      </c>
    </row>
    <row r="155" customFormat="false" ht="15" hidden="false" customHeight="true" outlineLevel="0" collapsed="false">
      <c r="A155" s="30" t="s">
        <v>272</v>
      </c>
      <c r="B155" s="31" t="s">
        <v>273</v>
      </c>
      <c r="C155" s="30" t="s">
        <v>246</v>
      </c>
      <c r="D155" s="32" t="n">
        <f aca="false">SUMIF('Libro Diario'!$C$5:$C$504,A155,'Libro Diario'!$F$5:$F$504)</f>
        <v>0</v>
      </c>
      <c r="E155" s="32" t="n">
        <f aca="false">SUMIF('Libro Diario'!$C$5:$C$504,A155,'Libro Diario'!$G$5:$G$504)</f>
        <v>0</v>
      </c>
      <c r="F155" s="32" t="n">
        <f aca="false">IF(D155&gt;=E155,D155-E155,0)</f>
        <v>0</v>
      </c>
      <c r="G155" s="32" t="n">
        <f aca="false">IF(E155&gt;D155,E155-D155,0)</f>
        <v>0</v>
      </c>
    </row>
    <row r="156" customFormat="false" ht="15" hidden="false" customHeight="true" outlineLevel="0" collapsed="false">
      <c r="A156" s="30" t="s">
        <v>274</v>
      </c>
      <c r="B156" s="31" t="s">
        <v>275</v>
      </c>
      <c r="C156" s="30" t="s">
        <v>246</v>
      </c>
      <c r="D156" s="32" t="n">
        <f aca="false">SUMIF('Libro Diario'!$C$5:$C$504,A156,'Libro Diario'!$F$5:$F$504)</f>
        <v>0</v>
      </c>
      <c r="E156" s="32" t="n">
        <f aca="false">SUMIF('Libro Diario'!$C$5:$C$504,A156,'Libro Diario'!$G$5:$G$504)</f>
        <v>0</v>
      </c>
      <c r="F156" s="32" t="n">
        <f aca="false">IF(D156&gt;=E156,D156-E156,0)</f>
        <v>0</v>
      </c>
      <c r="G156" s="32" t="n">
        <f aca="false">IF(E156&gt;D156,E156-D156,0)</f>
        <v>0</v>
      </c>
    </row>
    <row r="157" customFormat="false" ht="15" hidden="false" customHeight="true" outlineLevel="0" collapsed="false">
      <c r="A157" s="30" t="s">
        <v>276</v>
      </c>
      <c r="B157" s="31" t="s">
        <v>277</v>
      </c>
      <c r="C157" s="30" t="s">
        <v>246</v>
      </c>
      <c r="D157" s="32" t="n">
        <f aca="false">SUMIF('Libro Diario'!$C$5:$C$504,A157,'Libro Diario'!$F$5:$F$504)</f>
        <v>0</v>
      </c>
      <c r="E157" s="32" t="n">
        <f aca="false">SUMIF('Libro Diario'!$C$5:$C$504,A157,'Libro Diario'!$G$5:$G$504)</f>
        <v>0</v>
      </c>
      <c r="F157" s="32" t="n">
        <f aca="false">IF(D157&gt;=E157,D157-E157,0)</f>
        <v>0</v>
      </c>
      <c r="G157" s="32" t="n">
        <f aca="false">IF(E157&gt;D157,E157-D157,0)</f>
        <v>0</v>
      </c>
    </row>
    <row r="158" customFormat="false" ht="15" hidden="false" customHeight="true" outlineLevel="0" collapsed="false">
      <c r="A158" s="30" t="s">
        <v>278</v>
      </c>
      <c r="B158" s="31" t="s">
        <v>66</v>
      </c>
      <c r="C158" s="30" t="s">
        <v>246</v>
      </c>
      <c r="D158" s="32" t="n">
        <f aca="false">SUMIF('Libro Diario'!$C$5:$C$504,A158,'Libro Diario'!$F$5:$F$504)</f>
        <v>0</v>
      </c>
      <c r="E158" s="32" t="n">
        <f aca="false">SUMIF('Libro Diario'!$C$5:$C$504,A158,'Libro Diario'!$G$5:$G$504)</f>
        <v>0</v>
      </c>
      <c r="F158" s="32" t="n">
        <f aca="false">IF(D158&gt;=E158,D158-E158,0)</f>
        <v>0</v>
      </c>
      <c r="G158" s="32" t="n">
        <f aca="false">IF(E158&gt;D158,E158-D158,0)</f>
        <v>0</v>
      </c>
    </row>
    <row r="159" customFormat="false" ht="15" hidden="false" customHeight="true" outlineLevel="0" collapsed="false">
      <c r="A159" s="30" t="s">
        <v>279</v>
      </c>
      <c r="B159" s="31" t="s">
        <v>280</v>
      </c>
      <c r="C159" s="30" t="s">
        <v>246</v>
      </c>
      <c r="D159" s="32" t="n">
        <f aca="false">SUMIF('Libro Diario'!$C$5:$C$504,A159,'Libro Diario'!$F$5:$F$504)</f>
        <v>0</v>
      </c>
      <c r="E159" s="32" t="n">
        <f aca="false">SUMIF('Libro Diario'!$C$5:$C$504,A159,'Libro Diario'!$G$5:$G$504)</f>
        <v>0</v>
      </c>
      <c r="F159" s="32" t="n">
        <f aca="false">IF(D159&gt;=E159,D159-E159,0)</f>
        <v>0</v>
      </c>
      <c r="G159" s="32" t="n">
        <f aca="false">IF(E159&gt;D159,E159-D159,0)</f>
        <v>0</v>
      </c>
    </row>
    <row r="160" customFormat="false" ht="15" hidden="false" customHeight="true" outlineLevel="0" collapsed="false">
      <c r="A160" s="30" t="s">
        <v>281</v>
      </c>
      <c r="B160" s="31" t="s">
        <v>165</v>
      </c>
      <c r="C160" s="30" t="s">
        <v>246</v>
      </c>
      <c r="D160" s="32" t="n">
        <f aca="false">SUMIF('Libro Diario'!$C$5:$C$504,A160,'Libro Diario'!$F$5:$F$504)</f>
        <v>0</v>
      </c>
      <c r="E160" s="32" t="n">
        <f aca="false">SUMIF('Libro Diario'!$C$5:$C$504,A160,'Libro Diario'!$G$5:$G$504)</f>
        <v>0</v>
      </c>
      <c r="F160" s="32" t="n">
        <f aca="false">IF(D160&gt;=E160,D160-E160,0)</f>
        <v>0</v>
      </c>
      <c r="G160" s="32" t="n">
        <f aca="false">IF(E160&gt;D160,E160-D160,0)</f>
        <v>0</v>
      </c>
    </row>
    <row r="161" customFormat="false" ht="15" hidden="false" customHeight="true" outlineLevel="0" collapsed="false">
      <c r="A161" s="30" t="s">
        <v>282</v>
      </c>
      <c r="B161" s="31" t="s">
        <v>66</v>
      </c>
      <c r="C161" s="30" t="s">
        <v>246</v>
      </c>
      <c r="D161" s="32" t="n">
        <f aca="false">SUMIF('Libro Diario'!$C$5:$C$504,A161,'Libro Diario'!$F$5:$F$504)</f>
        <v>0</v>
      </c>
      <c r="E161" s="32" t="n">
        <f aca="false">SUMIF('Libro Diario'!$C$5:$C$504,A161,'Libro Diario'!$G$5:$G$504)</f>
        <v>0</v>
      </c>
      <c r="F161" s="32" t="n">
        <f aca="false">IF(D161&gt;=E161,D161-E161,0)</f>
        <v>0</v>
      </c>
      <c r="G161" s="32" t="n">
        <f aca="false">IF(E161&gt;D161,E161-D161,0)</f>
        <v>0</v>
      </c>
    </row>
    <row r="162" customFormat="false" ht="15" hidden="false" customHeight="true" outlineLevel="0" collapsed="false">
      <c r="A162" s="30" t="s">
        <v>283</v>
      </c>
      <c r="B162" s="31" t="s">
        <v>280</v>
      </c>
      <c r="C162" s="30" t="s">
        <v>246</v>
      </c>
      <c r="D162" s="32" t="n">
        <f aca="false">SUMIF('Libro Diario'!$C$5:$C$504,A162,'Libro Diario'!$F$5:$F$504)</f>
        <v>0</v>
      </c>
      <c r="E162" s="32" t="n">
        <f aca="false">SUMIF('Libro Diario'!$C$5:$C$504,A162,'Libro Diario'!$G$5:$G$504)</f>
        <v>0</v>
      </c>
      <c r="F162" s="32" t="n">
        <f aca="false">IF(D162&gt;=E162,D162-E162,0)</f>
        <v>0</v>
      </c>
      <c r="G162" s="32" t="n">
        <f aca="false">IF(E162&gt;D162,E162-D162,0)</f>
        <v>0</v>
      </c>
    </row>
    <row r="163" customFormat="false" ht="15" hidden="false" customHeight="true" outlineLevel="0" collapsed="false">
      <c r="A163" s="30" t="s">
        <v>284</v>
      </c>
      <c r="B163" s="31" t="s">
        <v>285</v>
      </c>
      <c r="C163" s="30" t="s">
        <v>246</v>
      </c>
      <c r="D163" s="32" t="n">
        <f aca="false">SUMIF('Libro Diario'!$C$5:$C$504,A163,'Libro Diario'!$F$5:$F$504)</f>
        <v>0</v>
      </c>
      <c r="E163" s="32" t="n">
        <f aca="false">SUMIF('Libro Diario'!$C$5:$C$504,A163,'Libro Diario'!$G$5:$G$504)</f>
        <v>0</v>
      </c>
      <c r="F163" s="32" t="n">
        <f aca="false">IF(D163&gt;=E163,D163-E163,0)</f>
        <v>0</v>
      </c>
      <c r="G163" s="32" t="n">
        <f aca="false">IF(E163&gt;D163,E163-D163,0)</f>
        <v>0</v>
      </c>
    </row>
    <row r="164" customFormat="false" ht="15" hidden="false" customHeight="true" outlineLevel="0" collapsed="false">
      <c r="A164" s="30" t="s">
        <v>286</v>
      </c>
      <c r="B164" s="31" t="s">
        <v>165</v>
      </c>
      <c r="C164" s="30" t="s">
        <v>246</v>
      </c>
      <c r="D164" s="32" t="n">
        <f aca="false">SUMIF('Libro Diario'!$C$5:$C$504,A164,'Libro Diario'!$F$5:$F$504)</f>
        <v>0</v>
      </c>
      <c r="E164" s="32" t="n">
        <f aca="false">SUMIF('Libro Diario'!$C$5:$C$504,A164,'Libro Diario'!$G$5:$G$504)</f>
        <v>0</v>
      </c>
      <c r="F164" s="32" t="n">
        <f aca="false">IF(D164&gt;=E164,D164-E164,0)</f>
        <v>0</v>
      </c>
      <c r="G164" s="32" t="n">
        <f aca="false">IF(E164&gt;D164,E164-D164,0)</f>
        <v>0</v>
      </c>
    </row>
    <row r="165" customFormat="false" ht="15" hidden="false" customHeight="true" outlineLevel="0" collapsed="false">
      <c r="A165" s="30" t="s">
        <v>287</v>
      </c>
      <c r="B165" s="31" t="s">
        <v>66</v>
      </c>
      <c r="C165" s="30" t="s">
        <v>246</v>
      </c>
      <c r="D165" s="32" t="n">
        <f aca="false">SUMIF('Libro Diario'!$C$5:$C$504,A165,'Libro Diario'!$F$5:$F$504)</f>
        <v>0</v>
      </c>
      <c r="E165" s="32" t="n">
        <f aca="false">SUMIF('Libro Diario'!$C$5:$C$504,A165,'Libro Diario'!$G$5:$G$504)</f>
        <v>0</v>
      </c>
      <c r="F165" s="32" t="n">
        <f aca="false">IF(D165&gt;=E165,D165-E165,0)</f>
        <v>0</v>
      </c>
      <c r="G165" s="32" t="n">
        <f aca="false">IF(E165&gt;D165,E165-D165,0)</f>
        <v>0</v>
      </c>
    </row>
    <row r="166" customFormat="false" ht="15" hidden="false" customHeight="true" outlineLevel="0" collapsed="false">
      <c r="A166" s="30" t="s">
        <v>288</v>
      </c>
      <c r="B166" s="31" t="s">
        <v>280</v>
      </c>
      <c r="C166" s="30" t="s">
        <v>246</v>
      </c>
      <c r="D166" s="32" t="n">
        <f aca="false">SUMIF('Libro Diario'!$C$5:$C$504,A166,'Libro Diario'!$F$5:$F$504)</f>
        <v>0</v>
      </c>
      <c r="E166" s="32" t="n">
        <f aca="false">SUMIF('Libro Diario'!$C$5:$C$504,A166,'Libro Diario'!$G$5:$G$504)</f>
        <v>0</v>
      </c>
      <c r="F166" s="32" t="n">
        <f aca="false">IF(D166&gt;=E166,D166-E166,0)</f>
        <v>0</v>
      </c>
      <c r="G166" s="32" t="n">
        <f aca="false">IF(E166&gt;D166,E166-D166,0)</f>
        <v>0</v>
      </c>
    </row>
    <row r="167" customFormat="false" ht="15" hidden="false" customHeight="true" outlineLevel="0" collapsed="false">
      <c r="A167" s="30" t="s">
        <v>289</v>
      </c>
      <c r="B167" s="31" t="s">
        <v>250</v>
      </c>
      <c r="C167" s="30" t="s">
        <v>246</v>
      </c>
      <c r="D167" s="32" t="n">
        <f aca="false">SUMIF('Libro Diario'!$C$5:$C$504,A167,'Libro Diario'!$F$5:$F$504)</f>
        <v>0</v>
      </c>
      <c r="E167" s="32" t="n">
        <f aca="false">SUMIF('Libro Diario'!$C$5:$C$504,A167,'Libro Diario'!$G$5:$G$504)</f>
        <v>0</v>
      </c>
      <c r="F167" s="32" t="n">
        <f aca="false">IF(D167&gt;=E167,D167-E167,0)</f>
        <v>0</v>
      </c>
      <c r="G167" s="32" t="n">
        <f aca="false">IF(E167&gt;D167,E167-D167,0)</f>
        <v>0</v>
      </c>
    </row>
    <row r="168" customFormat="false" ht="15" hidden="false" customHeight="true" outlineLevel="0" collapsed="false">
      <c r="A168" s="30" t="s">
        <v>290</v>
      </c>
      <c r="B168" s="31" t="s">
        <v>165</v>
      </c>
      <c r="C168" s="30" t="s">
        <v>246</v>
      </c>
      <c r="D168" s="32" t="n">
        <f aca="false">SUMIF('Libro Diario'!$C$5:$C$504,A168,'Libro Diario'!$F$5:$F$504)</f>
        <v>0</v>
      </c>
      <c r="E168" s="32" t="n">
        <f aca="false">SUMIF('Libro Diario'!$C$5:$C$504,A168,'Libro Diario'!$G$5:$G$504)</f>
        <v>0</v>
      </c>
      <c r="F168" s="32" t="n">
        <f aca="false">IF(D168&gt;=E168,D168-E168,0)</f>
        <v>0</v>
      </c>
      <c r="G168" s="32" t="n">
        <f aca="false">IF(E168&gt;D168,E168-D168,0)</f>
        <v>0</v>
      </c>
    </row>
    <row r="169" customFormat="false" ht="15" hidden="false" customHeight="true" outlineLevel="0" collapsed="false">
      <c r="A169" s="30" t="s">
        <v>291</v>
      </c>
      <c r="B169" s="31" t="s">
        <v>66</v>
      </c>
      <c r="C169" s="30" t="s">
        <v>246</v>
      </c>
      <c r="D169" s="32" t="n">
        <f aca="false">SUMIF('Libro Diario'!$C$5:$C$504,A169,'Libro Diario'!$F$5:$F$504)</f>
        <v>0</v>
      </c>
      <c r="E169" s="32" t="n">
        <f aca="false">SUMIF('Libro Diario'!$C$5:$C$504,A169,'Libro Diario'!$G$5:$G$504)</f>
        <v>0</v>
      </c>
      <c r="F169" s="32" t="n">
        <f aca="false">IF(D169&gt;=E169,D169-E169,0)</f>
        <v>0</v>
      </c>
      <c r="G169" s="32" t="n">
        <f aca="false">IF(E169&gt;D169,E169-D169,0)</f>
        <v>0</v>
      </c>
    </row>
    <row r="170" customFormat="false" ht="15" hidden="false" customHeight="true" outlineLevel="0" collapsed="false">
      <c r="A170" s="30" t="s">
        <v>292</v>
      </c>
      <c r="B170" s="31" t="s">
        <v>280</v>
      </c>
      <c r="C170" s="30" t="s">
        <v>246</v>
      </c>
      <c r="D170" s="32" t="n">
        <f aca="false">SUMIF('Libro Diario'!$C$5:$C$504,A170,'Libro Diario'!$F$5:$F$504)</f>
        <v>0</v>
      </c>
      <c r="E170" s="32" t="n">
        <f aca="false">SUMIF('Libro Diario'!$C$5:$C$504,A170,'Libro Diario'!$G$5:$G$504)</f>
        <v>0</v>
      </c>
      <c r="F170" s="32" t="n">
        <f aca="false">IF(D170&gt;=E170,D170-E170,0)</f>
        <v>0</v>
      </c>
      <c r="G170" s="32" t="n">
        <f aca="false">IF(E170&gt;D170,E170-D170,0)</f>
        <v>0</v>
      </c>
    </row>
    <row r="171" customFormat="false" ht="15" hidden="false" customHeight="true" outlineLevel="0" collapsed="false">
      <c r="A171" s="30" t="s">
        <v>293</v>
      </c>
      <c r="B171" s="31" t="s">
        <v>250</v>
      </c>
      <c r="C171" s="30" t="s">
        <v>246</v>
      </c>
      <c r="D171" s="32" t="n">
        <f aca="false">SUMIF('Libro Diario'!$C$5:$C$504,A171,'Libro Diario'!$F$5:$F$504)</f>
        <v>0</v>
      </c>
      <c r="E171" s="32" t="n">
        <f aca="false">SUMIF('Libro Diario'!$C$5:$C$504,A171,'Libro Diario'!$G$5:$G$504)</f>
        <v>0</v>
      </c>
      <c r="F171" s="32" t="n">
        <f aca="false">IF(D171&gt;=E171,D171-E171,0)</f>
        <v>0</v>
      </c>
      <c r="G171" s="32" t="n">
        <f aca="false">IF(E171&gt;D171,E171-D171,0)</f>
        <v>0</v>
      </c>
    </row>
    <row r="172" customFormat="false" ht="15" hidden="false" customHeight="true" outlineLevel="0" collapsed="false">
      <c r="A172" s="30" t="s">
        <v>294</v>
      </c>
      <c r="B172" s="31" t="s">
        <v>165</v>
      </c>
      <c r="C172" s="30" t="s">
        <v>246</v>
      </c>
      <c r="D172" s="32" t="n">
        <f aca="false">SUMIF('Libro Diario'!$C$5:$C$504,A172,'Libro Diario'!$F$5:$F$504)</f>
        <v>0</v>
      </c>
      <c r="E172" s="32" t="n">
        <f aca="false">SUMIF('Libro Diario'!$C$5:$C$504,A172,'Libro Diario'!$G$5:$G$504)</f>
        <v>0</v>
      </c>
      <c r="F172" s="32" t="n">
        <f aca="false">IF(D172&gt;=E172,D172-E172,0)</f>
        <v>0</v>
      </c>
      <c r="G172" s="32" t="n">
        <f aca="false">IF(E172&gt;D172,E172-D172,0)</f>
        <v>0</v>
      </c>
    </row>
    <row r="173" customFormat="false" ht="15" hidden="false" customHeight="true" outlineLevel="0" collapsed="false">
      <c r="A173" s="30" t="s">
        <v>295</v>
      </c>
      <c r="B173" s="31" t="s">
        <v>66</v>
      </c>
      <c r="C173" s="30" t="s">
        <v>246</v>
      </c>
      <c r="D173" s="32" t="n">
        <f aca="false">SUMIF('Libro Diario'!$C$5:$C$504,A173,'Libro Diario'!$F$5:$F$504)</f>
        <v>0</v>
      </c>
      <c r="E173" s="32" t="n">
        <f aca="false">SUMIF('Libro Diario'!$C$5:$C$504,A173,'Libro Diario'!$G$5:$G$504)</f>
        <v>0</v>
      </c>
      <c r="F173" s="32" t="n">
        <f aca="false">IF(D173&gt;=E173,D173-E173,0)</f>
        <v>0</v>
      </c>
      <c r="G173" s="32" t="n">
        <f aca="false">IF(E173&gt;D173,E173-D173,0)</f>
        <v>0</v>
      </c>
    </row>
    <row r="174" customFormat="false" ht="15" hidden="false" customHeight="true" outlineLevel="0" collapsed="false">
      <c r="A174" s="30" t="s">
        <v>296</v>
      </c>
      <c r="B174" s="31" t="s">
        <v>280</v>
      </c>
      <c r="C174" s="30" t="s">
        <v>246</v>
      </c>
      <c r="D174" s="32" t="n">
        <f aca="false">SUMIF('Libro Diario'!$C$5:$C$504,A174,'Libro Diario'!$F$5:$F$504)</f>
        <v>0</v>
      </c>
      <c r="E174" s="32" t="n">
        <f aca="false">SUMIF('Libro Diario'!$C$5:$C$504,A174,'Libro Diario'!$G$5:$G$504)</f>
        <v>0</v>
      </c>
      <c r="F174" s="32" t="n">
        <f aca="false">IF(D174&gt;=E174,D174-E174,0)</f>
        <v>0</v>
      </c>
      <c r="G174" s="32" t="n">
        <f aca="false">IF(E174&gt;D174,E174-D174,0)</f>
        <v>0</v>
      </c>
    </row>
    <row r="175" customFormat="false" ht="15" hidden="false" customHeight="true" outlineLevel="0" collapsed="false">
      <c r="A175" s="30" t="s">
        <v>297</v>
      </c>
      <c r="B175" s="31" t="s">
        <v>66</v>
      </c>
      <c r="C175" s="30" t="s">
        <v>246</v>
      </c>
      <c r="D175" s="32" t="n">
        <f aca="false">SUMIF('Libro Diario'!$C$5:$C$504,A175,'Libro Diario'!$F$5:$F$504)</f>
        <v>0</v>
      </c>
      <c r="E175" s="32" t="n">
        <f aca="false">SUMIF('Libro Diario'!$C$5:$C$504,A175,'Libro Diario'!$G$5:$G$504)</f>
        <v>0</v>
      </c>
      <c r="F175" s="32" t="n">
        <f aca="false">IF(D175&gt;=E175,D175-E175,0)</f>
        <v>0</v>
      </c>
      <c r="G175" s="32" t="n">
        <f aca="false">IF(E175&gt;D175,E175-D175,0)</f>
        <v>0</v>
      </c>
    </row>
    <row r="176" customFormat="false" ht="15" hidden="false" customHeight="true" outlineLevel="0" collapsed="false">
      <c r="A176" s="30" t="s">
        <v>298</v>
      </c>
      <c r="B176" s="31" t="s">
        <v>280</v>
      </c>
      <c r="C176" s="30" t="s">
        <v>246</v>
      </c>
      <c r="D176" s="32" t="n">
        <f aca="false">SUMIF('Libro Diario'!$C$5:$C$504,A176,'Libro Diario'!$F$5:$F$504)</f>
        <v>0</v>
      </c>
      <c r="E176" s="32" t="n">
        <f aca="false">SUMIF('Libro Diario'!$C$5:$C$504,A176,'Libro Diario'!$G$5:$G$504)</f>
        <v>0</v>
      </c>
      <c r="F176" s="32" t="n">
        <f aca="false">IF(D176&gt;=E176,D176-E176,0)</f>
        <v>0</v>
      </c>
      <c r="G176" s="32" t="n">
        <f aca="false">IF(E176&gt;D176,E176-D176,0)</f>
        <v>0</v>
      </c>
    </row>
    <row r="177" customFormat="false" ht="15" hidden="false" customHeight="true" outlineLevel="0" collapsed="false">
      <c r="A177" s="30" t="s">
        <v>299</v>
      </c>
      <c r="B177" s="31" t="s">
        <v>250</v>
      </c>
      <c r="C177" s="30" t="s">
        <v>246</v>
      </c>
      <c r="D177" s="32" t="n">
        <f aca="false">SUMIF('Libro Diario'!$C$5:$C$504,A177,'Libro Diario'!$F$5:$F$504)</f>
        <v>0</v>
      </c>
      <c r="E177" s="32" t="n">
        <f aca="false">SUMIF('Libro Diario'!$C$5:$C$504,A177,'Libro Diario'!$G$5:$G$504)</f>
        <v>0</v>
      </c>
      <c r="F177" s="32" t="n">
        <f aca="false">IF(D177&gt;=E177,D177-E177,0)</f>
        <v>0</v>
      </c>
      <c r="G177" s="32" t="n">
        <f aca="false">IF(E177&gt;D177,E177-D177,0)</f>
        <v>0</v>
      </c>
    </row>
    <row r="178" customFormat="false" ht="15" hidden="false" customHeight="true" outlineLevel="0" collapsed="false">
      <c r="A178" s="30" t="s">
        <v>300</v>
      </c>
      <c r="B178" s="31" t="s">
        <v>66</v>
      </c>
      <c r="C178" s="30" t="s">
        <v>246</v>
      </c>
      <c r="D178" s="32" t="n">
        <f aca="false">SUMIF('Libro Diario'!$C$5:$C$504,A178,'Libro Diario'!$F$5:$F$504)</f>
        <v>0</v>
      </c>
      <c r="E178" s="32" t="n">
        <f aca="false">SUMIF('Libro Diario'!$C$5:$C$504,A178,'Libro Diario'!$G$5:$G$504)</f>
        <v>0</v>
      </c>
      <c r="F178" s="32" t="n">
        <f aca="false">IF(D178&gt;=E178,D178-E178,0)</f>
        <v>0</v>
      </c>
      <c r="G178" s="32" t="n">
        <f aca="false">IF(E178&gt;D178,E178-D178,0)</f>
        <v>0</v>
      </c>
    </row>
    <row r="179" customFormat="false" ht="15" hidden="false" customHeight="true" outlineLevel="0" collapsed="false">
      <c r="A179" s="30" t="s">
        <v>301</v>
      </c>
      <c r="B179" s="31" t="s">
        <v>280</v>
      </c>
      <c r="C179" s="30" t="s">
        <v>246</v>
      </c>
      <c r="D179" s="32" t="n">
        <f aca="false">SUMIF('Libro Diario'!$C$5:$C$504,A179,'Libro Diario'!$F$5:$F$504)</f>
        <v>0</v>
      </c>
      <c r="E179" s="32" t="n">
        <f aca="false">SUMIF('Libro Diario'!$C$5:$C$504,A179,'Libro Diario'!$G$5:$G$504)</f>
        <v>0</v>
      </c>
      <c r="F179" s="32" t="n">
        <f aca="false">IF(D179&gt;=E179,D179-E179,0)</f>
        <v>0</v>
      </c>
      <c r="G179" s="32" t="n">
        <f aca="false">IF(E179&gt;D179,E179-D179,0)</f>
        <v>0</v>
      </c>
    </row>
    <row r="180" customFormat="false" ht="15" hidden="false" customHeight="true" outlineLevel="0" collapsed="false">
      <c r="A180" s="30" t="s">
        <v>299</v>
      </c>
      <c r="B180" s="31" t="s">
        <v>250</v>
      </c>
      <c r="C180" s="30" t="s">
        <v>246</v>
      </c>
      <c r="D180" s="32" t="n">
        <f aca="false">SUMIF('Libro Diario'!$C$5:$C$504,A180,'Libro Diario'!$F$5:$F$504)</f>
        <v>0</v>
      </c>
      <c r="E180" s="32" t="n">
        <f aca="false">SUMIF('Libro Diario'!$C$5:$C$504,A180,'Libro Diario'!$G$5:$G$504)</f>
        <v>0</v>
      </c>
      <c r="F180" s="32" t="n">
        <f aca="false">IF(D180&gt;=E180,D180-E180,0)</f>
        <v>0</v>
      </c>
      <c r="G180" s="32" t="n">
        <f aca="false">IF(E180&gt;D180,E180-D180,0)</f>
        <v>0</v>
      </c>
    </row>
    <row r="181" customFormat="false" ht="15" hidden="false" customHeight="true" outlineLevel="0" collapsed="false">
      <c r="A181" s="30" t="s">
        <v>302</v>
      </c>
      <c r="B181" s="31" t="s">
        <v>66</v>
      </c>
      <c r="C181" s="30" t="s">
        <v>246</v>
      </c>
      <c r="D181" s="32" t="n">
        <f aca="false">SUMIF('Libro Diario'!$C$5:$C$504,A181,'Libro Diario'!$F$5:$F$504)</f>
        <v>0</v>
      </c>
      <c r="E181" s="32" t="n">
        <f aca="false">SUMIF('Libro Diario'!$C$5:$C$504,A181,'Libro Diario'!$G$5:$G$504)</f>
        <v>0</v>
      </c>
      <c r="F181" s="32" t="n">
        <f aca="false">IF(D181&gt;=E181,D181-E181,0)</f>
        <v>0</v>
      </c>
      <c r="G181" s="32" t="n">
        <f aca="false">IF(E181&gt;D181,E181-D181,0)</f>
        <v>0</v>
      </c>
    </row>
    <row r="182" customFormat="false" ht="15" hidden="false" customHeight="true" outlineLevel="0" collapsed="false">
      <c r="A182" s="30" t="s">
        <v>303</v>
      </c>
      <c r="B182" s="31" t="s">
        <v>280</v>
      </c>
      <c r="C182" s="30" t="s">
        <v>246</v>
      </c>
      <c r="D182" s="32" t="n">
        <f aca="false">SUMIF('Libro Diario'!$C$5:$C$504,A182,'Libro Diario'!$F$5:$F$504)</f>
        <v>0</v>
      </c>
      <c r="E182" s="32" t="n">
        <f aca="false">SUMIF('Libro Diario'!$C$5:$C$504,A182,'Libro Diario'!$G$5:$G$504)</f>
        <v>0</v>
      </c>
      <c r="F182" s="32" t="n">
        <f aca="false">IF(D182&gt;=E182,D182-E182,0)</f>
        <v>0</v>
      </c>
      <c r="G182" s="32" t="n">
        <f aca="false">IF(E182&gt;D182,E182-D182,0)</f>
        <v>0</v>
      </c>
    </row>
    <row r="183" customFormat="false" ht="15" hidden="false" customHeight="true" outlineLevel="0" collapsed="false">
      <c r="A183" s="30" t="s">
        <v>304</v>
      </c>
      <c r="B183" s="31" t="s">
        <v>66</v>
      </c>
      <c r="C183" s="30" t="s">
        <v>246</v>
      </c>
      <c r="D183" s="32" t="n">
        <f aca="false">SUMIF('Libro Diario'!$C$5:$C$504,A183,'Libro Diario'!$F$5:$F$504)</f>
        <v>0</v>
      </c>
      <c r="E183" s="32" t="n">
        <f aca="false">SUMIF('Libro Diario'!$C$5:$C$504,A183,'Libro Diario'!$G$5:$G$504)</f>
        <v>0</v>
      </c>
      <c r="F183" s="32" t="n">
        <f aca="false">IF(D183&gt;=E183,D183-E183,0)</f>
        <v>0</v>
      </c>
      <c r="G183" s="32" t="n">
        <f aca="false">IF(E183&gt;D183,E183-D183,0)</f>
        <v>0</v>
      </c>
    </row>
    <row r="184" customFormat="false" ht="15" hidden="false" customHeight="true" outlineLevel="0" collapsed="false">
      <c r="A184" s="30" t="s">
        <v>305</v>
      </c>
      <c r="B184" s="31" t="s">
        <v>280</v>
      </c>
      <c r="C184" s="30" t="s">
        <v>246</v>
      </c>
      <c r="D184" s="32" t="n">
        <f aca="false">SUMIF('Libro Diario'!$C$5:$C$504,A184,'Libro Diario'!$F$5:$F$504)</f>
        <v>0</v>
      </c>
      <c r="E184" s="32" t="n">
        <f aca="false">SUMIF('Libro Diario'!$C$5:$C$504,A184,'Libro Diario'!$G$5:$G$504)</f>
        <v>0</v>
      </c>
      <c r="F184" s="32" t="n">
        <f aca="false">IF(D184&gt;=E184,D184-E184,0)</f>
        <v>0</v>
      </c>
      <c r="G184" s="32" t="n">
        <f aca="false">IF(E184&gt;D184,E184-D184,0)</f>
        <v>0</v>
      </c>
    </row>
    <row r="185" customFormat="false" ht="15" hidden="false" customHeight="true" outlineLevel="0" collapsed="false">
      <c r="A185" s="30" t="s">
        <v>306</v>
      </c>
      <c r="B185" s="31" t="s">
        <v>66</v>
      </c>
      <c r="C185" s="30" t="s">
        <v>246</v>
      </c>
      <c r="D185" s="32" t="n">
        <f aca="false">SUMIF('Libro Diario'!$C$5:$C$504,A185,'Libro Diario'!$F$5:$F$504)</f>
        <v>0</v>
      </c>
      <c r="E185" s="32" t="n">
        <f aca="false">SUMIF('Libro Diario'!$C$5:$C$504,A185,'Libro Diario'!$G$5:$G$504)</f>
        <v>0</v>
      </c>
      <c r="F185" s="32" t="n">
        <f aca="false">IF(D185&gt;=E185,D185-E185,0)</f>
        <v>0</v>
      </c>
      <c r="G185" s="32" t="n">
        <f aca="false">IF(E185&gt;D185,E185-D185,0)</f>
        <v>0</v>
      </c>
    </row>
    <row r="186" customFormat="false" ht="15" hidden="false" customHeight="true" outlineLevel="0" collapsed="false">
      <c r="A186" s="30" t="s">
        <v>307</v>
      </c>
      <c r="B186" s="31" t="s">
        <v>280</v>
      </c>
      <c r="C186" s="30" t="s">
        <v>246</v>
      </c>
      <c r="D186" s="32" t="n">
        <f aca="false">SUMIF('Libro Diario'!$C$5:$C$504,A186,'Libro Diario'!$F$5:$F$504)</f>
        <v>0</v>
      </c>
      <c r="E186" s="32" t="n">
        <f aca="false">SUMIF('Libro Diario'!$C$5:$C$504,A186,'Libro Diario'!$G$5:$G$504)</f>
        <v>0</v>
      </c>
      <c r="F186" s="32" t="n">
        <f aca="false">IF(D186&gt;=E186,D186-E186,0)</f>
        <v>0</v>
      </c>
      <c r="G186" s="32" t="n">
        <f aca="false">IF(E186&gt;D186,E186-D186,0)</f>
        <v>0</v>
      </c>
    </row>
    <row r="187" customFormat="false" ht="15" hidden="false" customHeight="true" outlineLevel="0" collapsed="false">
      <c r="A187" s="30" t="s">
        <v>308</v>
      </c>
      <c r="B187" s="31" t="s">
        <v>66</v>
      </c>
      <c r="C187" s="30" t="s">
        <v>246</v>
      </c>
      <c r="D187" s="32" t="n">
        <f aca="false">SUMIF('Libro Diario'!$C$5:$C$504,A187,'Libro Diario'!$F$5:$F$504)</f>
        <v>0</v>
      </c>
      <c r="E187" s="32" t="n">
        <f aca="false">SUMIF('Libro Diario'!$C$5:$C$504,A187,'Libro Diario'!$G$5:$G$504)</f>
        <v>0</v>
      </c>
      <c r="F187" s="32" t="n">
        <f aca="false">IF(D187&gt;=E187,D187-E187,0)</f>
        <v>0</v>
      </c>
      <c r="G187" s="32" t="n">
        <f aca="false">IF(E187&gt;D187,E187-D187,0)</f>
        <v>0</v>
      </c>
    </row>
    <row r="188" customFormat="false" ht="15" hidden="false" customHeight="true" outlineLevel="0" collapsed="false">
      <c r="A188" s="30" t="s">
        <v>309</v>
      </c>
      <c r="B188" s="31" t="s">
        <v>280</v>
      </c>
      <c r="C188" s="30" t="s">
        <v>246</v>
      </c>
      <c r="D188" s="32" t="n">
        <f aca="false">SUMIF('Libro Diario'!$C$5:$C$504,A188,'Libro Diario'!$F$5:$F$504)</f>
        <v>0</v>
      </c>
      <c r="E188" s="32" t="n">
        <f aca="false">SUMIF('Libro Diario'!$C$5:$C$504,A188,'Libro Diario'!$G$5:$G$504)</f>
        <v>0</v>
      </c>
      <c r="F188" s="32" t="n">
        <f aca="false">IF(D188&gt;=E188,D188-E188,0)</f>
        <v>0</v>
      </c>
      <c r="G188" s="32" t="n">
        <f aca="false">IF(E188&gt;D188,E188-D188,0)</f>
        <v>0</v>
      </c>
    </row>
    <row r="189" customFormat="false" ht="15" hidden="false" customHeight="true" outlineLevel="0" collapsed="false">
      <c r="A189" s="30" t="s">
        <v>310</v>
      </c>
      <c r="B189" s="31" t="s">
        <v>66</v>
      </c>
      <c r="C189" s="30" t="s">
        <v>246</v>
      </c>
      <c r="D189" s="32" t="n">
        <f aca="false">SUMIF('Libro Diario'!$C$5:$C$504,A189,'Libro Diario'!$F$5:$F$504)</f>
        <v>0</v>
      </c>
      <c r="E189" s="32" t="n">
        <f aca="false">SUMIF('Libro Diario'!$C$5:$C$504,A189,'Libro Diario'!$G$5:$G$504)</f>
        <v>0</v>
      </c>
      <c r="F189" s="32" t="n">
        <f aca="false">IF(D189&gt;=E189,D189-E189,0)</f>
        <v>0</v>
      </c>
      <c r="G189" s="32" t="n">
        <f aca="false">IF(E189&gt;D189,E189-D189,0)</f>
        <v>0</v>
      </c>
    </row>
    <row r="190" customFormat="false" ht="15" hidden="false" customHeight="true" outlineLevel="0" collapsed="false">
      <c r="A190" s="30" t="s">
        <v>311</v>
      </c>
      <c r="B190" s="31" t="s">
        <v>280</v>
      </c>
      <c r="C190" s="30" t="s">
        <v>246</v>
      </c>
      <c r="D190" s="32" t="n">
        <f aca="false">SUMIF('Libro Diario'!$C$5:$C$504,A190,'Libro Diario'!$F$5:$F$504)</f>
        <v>0</v>
      </c>
      <c r="E190" s="32" t="n">
        <f aca="false">SUMIF('Libro Diario'!$C$5:$C$504,A190,'Libro Diario'!$G$5:$G$504)</f>
        <v>0</v>
      </c>
      <c r="F190" s="32" t="n">
        <f aca="false">IF(D190&gt;=E190,D190-E190,0)</f>
        <v>0</v>
      </c>
      <c r="G190" s="32" t="n">
        <f aca="false">IF(E190&gt;D190,E190-D190,0)</f>
        <v>0</v>
      </c>
    </row>
    <row r="191" customFormat="false" ht="15" hidden="false" customHeight="true" outlineLevel="0" collapsed="false">
      <c r="A191" s="30" t="s">
        <v>312</v>
      </c>
      <c r="B191" s="31" t="s">
        <v>66</v>
      </c>
      <c r="C191" s="30" t="s">
        <v>246</v>
      </c>
      <c r="D191" s="32" t="n">
        <f aca="false">SUMIF('Libro Diario'!$C$5:$C$504,A191,'Libro Diario'!$F$5:$F$504)</f>
        <v>0</v>
      </c>
      <c r="E191" s="32" t="n">
        <f aca="false">SUMIF('Libro Diario'!$C$5:$C$504,A191,'Libro Diario'!$G$5:$G$504)</f>
        <v>0</v>
      </c>
      <c r="F191" s="32" t="n">
        <f aca="false">IF(D191&gt;=E191,D191-E191,0)</f>
        <v>0</v>
      </c>
      <c r="G191" s="32" t="n">
        <f aca="false">IF(E191&gt;D191,E191-D191,0)</f>
        <v>0</v>
      </c>
    </row>
    <row r="192" customFormat="false" ht="15" hidden="false" customHeight="true" outlineLevel="0" collapsed="false">
      <c r="A192" s="30" t="s">
        <v>313</v>
      </c>
      <c r="B192" s="31" t="s">
        <v>280</v>
      </c>
      <c r="C192" s="30" t="s">
        <v>246</v>
      </c>
      <c r="D192" s="32" t="n">
        <f aca="false">SUMIF('Libro Diario'!$C$5:$C$504,A192,'Libro Diario'!$F$5:$F$504)</f>
        <v>0</v>
      </c>
      <c r="E192" s="32" t="n">
        <f aca="false">SUMIF('Libro Diario'!$C$5:$C$504,A192,'Libro Diario'!$G$5:$G$504)</f>
        <v>0</v>
      </c>
      <c r="F192" s="32" t="n">
        <f aca="false">IF(D192&gt;=E192,D192-E192,0)</f>
        <v>0</v>
      </c>
      <c r="G192" s="32" t="n">
        <f aca="false">IF(E192&gt;D192,E192-D192,0)</f>
        <v>0</v>
      </c>
    </row>
    <row r="193" customFormat="false" ht="15" hidden="false" customHeight="true" outlineLevel="0" collapsed="false">
      <c r="A193" s="30" t="s">
        <v>314</v>
      </c>
      <c r="B193" s="31" t="s">
        <v>66</v>
      </c>
      <c r="C193" s="30" t="s">
        <v>246</v>
      </c>
      <c r="D193" s="32" t="n">
        <f aca="false">SUMIF('Libro Diario'!$C$5:$C$504,A193,'Libro Diario'!$F$5:$F$504)</f>
        <v>0</v>
      </c>
      <c r="E193" s="32" t="n">
        <f aca="false">SUMIF('Libro Diario'!$C$5:$C$504,A193,'Libro Diario'!$G$5:$G$504)</f>
        <v>0</v>
      </c>
      <c r="F193" s="32" t="n">
        <f aca="false">IF(D193&gt;=E193,D193-E193,0)</f>
        <v>0</v>
      </c>
      <c r="G193" s="32" t="n">
        <f aca="false">IF(E193&gt;D193,E193-D193,0)</f>
        <v>0</v>
      </c>
    </row>
    <row r="194" customFormat="false" ht="15" hidden="false" customHeight="true" outlineLevel="0" collapsed="false">
      <c r="A194" s="30" t="s">
        <v>315</v>
      </c>
      <c r="B194" s="31" t="s">
        <v>280</v>
      </c>
      <c r="C194" s="30" t="s">
        <v>246</v>
      </c>
      <c r="D194" s="32" t="n">
        <f aca="false">SUMIF('Libro Diario'!$C$5:$C$504,A194,'Libro Diario'!$F$5:$F$504)</f>
        <v>0</v>
      </c>
      <c r="E194" s="32" t="n">
        <f aca="false">SUMIF('Libro Diario'!$C$5:$C$504,A194,'Libro Diario'!$G$5:$G$504)</f>
        <v>0</v>
      </c>
      <c r="F194" s="32" t="n">
        <f aca="false">IF(D194&gt;=E194,D194-E194,0)</f>
        <v>0</v>
      </c>
      <c r="G194" s="32" t="n">
        <f aca="false">IF(E194&gt;D194,E194-D194,0)</f>
        <v>0</v>
      </c>
    </row>
    <row r="195" customFormat="false" ht="15" hidden="false" customHeight="true" outlineLevel="0" collapsed="false">
      <c r="A195" s="30" t="s">
        <v>316</v>
      </c>
      <c r="B195" s="31" t="s">
        <v>66</v>
      </c>
      <c r="C195" s="30" t="s">
        <v>246</v>
      </c>
      <c r="D195" s="32" t="n">
        <f aca="false">SUMIF('Libro Diario'!$C$5:$C$504,A195,'Libro Diario'!$F$5:$F$504)</f>
        <v>0</v>
      </c>
      <c r="E195" s="32" t="n">
        <f aca="false">SUMIF('Libro Diario'!$C$5:$C$504,A195,'Libro Diario'!$G$5:$G$504)</f>
        <v>0</v>
      </c>
      <c r="F195" s="32" t="n">
        <f aca="false">IF(D195&gt;=E195,D195-E195,0)</f>
        <v>0</v>
      </c>
      <c r="G195" s="32" t="n">
        <f aca="false">IF(E195&gt;D195,E195-D195,0)</f>
        <v>0</v>
      </c>
    </row>
    <row r="196" customFormat="false" ht="15" hidden="false" customHeight="true" outlineLevel="0" collapsed="false">
      <c r="A196" s="30" t="s">
        <v>317</v>
      </c>
      <c r="B196" s="31" t="s">
        <v>280</v>
      </c>
      <c r="C196" s="30" t="s">
        <v>246</v>
      </c>
      <c r="D196" s="32" t="n">
        <f aca="false">SUMIF('Libro Diario'!$C$5:$C$504,A196,'Libro Diario'!$F$5:$F$504)</f>
        <v>0</v>
      </c>
      <c r="E196" s="32" t="n">
        <f aca="false">SUMIF('Libro Diario'!$C$5:$C$504,A196,'Libro Diario'!$G$5:$G$504)</f>
        <v>0</v>
      </c>
      <c r="F196" s="32" t="n">
        <f aca="false">IF(D196&gt;=E196,D196-E196,0)</f>
        <v>0</v>
      </c>
      <c r="G196" s="32" t="n">
        <f aca="false">IF(E196&gt;D196,E196-D196,0)</f>
        <v>0</v>
      </c>
    </row>
    <row r="197" customFormat="false" ht="15" hidden="false" customHeight="true" outlineLevel="0" collapsed="false">
      <c r="A197" s="30" t="s">
        <v>318</v>
      </c>
      <c r="B197" s="31" t="s">
        <v>66</v>
      </c>
      <c r="C197" s="30" t="s">
        <v>246</v>
      </c>
      <c r="D197" s="32" t="n">
        <f aca="false">SUMIF('Libro Diario'!$C$5:$C$504,A197,'Libro Diario'!$F$5:$F$504)</f>
        <v>0</v>
      </c>
      <c r="E197" s="32" t="n">
        <f aca="false">SUMIF('Libro Diario'!$C$5:$C$504,A197,'Libro Diario'!$G$5:$G$504)</f>
        <v>0</v>
      </c>
      <c r="F197" s="32" t="n">
        <f aca="false">IF(D197&gt;=E197,D197-E197,0)</f>
        <v>0</v>
      </c>
      <c r="G197" s="32" t="n">
        <f aca="false">IF(E197&gt;D197,E197-D197,0)</f>
        <v>0</v>
      </c>
    </row>
    <row r="198" customFormat="false" ht="15" hidden="false" customHeight="true" outlineLevel="0" collapsed="false">
      <c r="A198" s="30" t="s">
        <v>319</v>
      </c>
      <c r="B198" s="31" t="s">
        <v>280</v>
      </c>
      <c r="C198" s="30" t="s">
        <v>246</v>
      </c>
      <c r="D198" s="32" t="n">
        <f aca="false">SUMIF('Libro Diario'!$C$5:$C$504,A198,'Libro Diario'!$F$5:$F$504)</f>
        <v>0</v>
      </c>
      <c r="E198" s="32" t="n">
        <f aca="false">SUMIF('Libro Diario'!$C$5:$C$504,A198,'Libro Diario'!$G$5:$G$504)</f>
        <v>0</v>
      </c>
      <c r="F198" s="32" t="n">
        <f aca="false">IF(D198&gt;=E198,D198-E198,0)</f>
        <v>0</v>
      </c>
      <c r="G198" s="32" t="n">
        <f aca="false">IF(E198&gt;D198,E198-D198,0)</f>
        <v>0</v>
      </c>
    </row>
    <row r="199" customFormat="false" ht="15" hidden="false" customHeight="true" outlineLevel="0" collapsed="false">
      <c r="A199" s="30" t="s">
        <v>320</v>
      </c>
      <c r="B199" s="31" t="s">
        <v>66</v>
      </c>
      <c r="C199" s="30" t="s">
        <v>246</v>
      </c>
      <c r="D199" s="32" t="n">
        <f aca="false">SUMIF('Libro Diario'!$C$5:$C$504,A199,'Libro Diario'!$F$5:$F$504)</f>
        <v>0</v>
      </c>
      <c r="E199" s="32" t="n">
        <f aca="false">SUMIF('Libro Diario'!$C$5:$C$504,A199,'Libro Diario'!$G$5:$G$504)</f>
        <v>0</v>
      </c>
      <c r="F199" s="32" t="n">
        <f aca="false">IF(D199&gt;=E199,D199-E199,0)</f>
        <v>0</v>
      </c>
      <c r="G199" s="32" t="n">
        <f aca="false">IF(E199&gt;D199,E199-D199,0)</f>
        <v>0</v>
      </c>
    </row>
    <row r="200" customFormat="false" ht="15" hidden="false" customHeight="true" outlineLevel="0" collapsed="false">
      <c r="A200" s="30" t="s">
        <v>321</v>
      </c>
      <c r="B200" s="31" t="s">
        <v>280</v>
      </c>
      <c r="C200" s="30" t="s">
        <v>246</v>
      </c>
      <c r="D200" s="32" t="n">
        <f aca="false">SUMIF('Libro Diario'!$C$5:$C$504,A200,'Libro Diario'!$F$5:$F$504)</f>
        <v>0</v>
      </c>
      <c r="E200" s="32" t="n">
        <f aca="false">SUMIF('Libro Diario'!$C$5:$C$504,A200,'Libro Diario'!$G$5:$G$504)</f>
        <v>0</v>
      </c>
      <c r="F200" s="32" t="n">
        <f aca="false">IF(D200&gt;=E200,D200-E200,0)</f>
        <v>0</v>
      </c>
      <c r="G200" s="32" t="n">
        <f aca="false">IF(E200&gt;D200,E200-D200,0)</f>
        <v>0</v>
      </c>
    </row>
    <row r="201" customFormat="false" ht="15" hidden="false" customHeight="true" outlineLevel="0" collapsed="false">
      <c r="A201" s="30" t="s">
        <v>322</v>
      </c>
      <c r="B201" s="31" t="s">
        <v>66</v>
      </c>
      <c r="C201" s="30" t="s">
        <v>246</v>
      </c>
      <c r="D201" s="32" t="n">
        <f aca="false">SUMIF('Libro Diario'!$C$5:$C$504,A201,'Libro Diario'!$F$5:$F$504)</f>
        <v>0</v>
      </c>
      <c r="E201" s="32" t="n">
        <f aca="false">SUMIF('Libro Diario'!$C$5:$C$504,A201,'Libro Diario'!$G$5:$G$504)</f>
        <v>0</v>
      </c>
      <c r="F201" s="32" t="n">
        <f aca="false">IF(D201&gt;=E201,D201-E201,0)</f>
        <v>0</v>
      </c>
      <c r="G201" s="32" t="n">
        <f aca="false">IF(E201&gt;D201,E201-D201,0)</f>
        <v>0</v>
      </c>
    </row>
    <row r="202" customFormat="false" ht="15" hidden="false" customHeight="true" outlineLevel="0" collapsed="false">
      <c r="A202" s="30" t="s">
        <v>323</v>
      </c>
      <c r="B202" s="31" t="s">
        <v>280</v>
      </c>
      <c r="C202" s="30" t="s">
        <v>246</v>
      </c>
      <c r="D202" s="32" t="n">
        <f aca="false">SUMIF('Libro Diario'!$C$5:$C$504,A202,'Libro Diario'!$F$5:$F$504)</f>
        <v>0</v>
      </c>
      <c r="E202" s="32" t="n">
        <f aca="false">SUMIF('Libro Diario'!$C$5:$C$504,A202,'Libro Diario'!$G$5:$G$504)</f>
        <v>0</v>
      </c>
      <c r="F202" s="32" t="n">
        <f aca="false">IF(D202&gt;=E202,D202-E202,0)</f>
        <v>0</v>
      </c>
      <c r="G202" s="32" t="n">
        <f aca="false">IF(E202&gt;D202,E202-D202,0)</f>
        <v>0</v>
      </c>
    </row>
    <row r="203" customFormat="false" ht="15" hidden="false" customHeight="true" outlineLevel="0" collapsed="false">
      <c r="A203" s="30" t="s">
        <v>324</v>
      </c>
      <c r="B203" s="31" t="s">
        <v>66</v>
      </c>
      <c r="C203" s="30" t="s">
        <v>246</v>
      </c>
      <c r="D203" s="32" t="n">
        <f aca="false">SUMIF('Libro Diario'!$C$5:$C$504,A203,'Libro Diario'!$F$5:$F$504)</f>
        <v>0</v>
      </c>
      <c r="E203" s="32" t="n">
        <f aca="false">SUMIF('Libro Diario'!$C$5:$C$504,A203,'Libro Diario'!$G$5:$G$504)</f>
        <v>0</v>
      </c>
      <c r="F203" s="32" t="n">
        <f aca="false">IF(D203&gt;=E203,D203-E203,0)</f>
        <v>0</v>
      </c>
      <c r="G203" s="32" t="n">
        <f aca="false">IF(E203&gt;D203,E203-D203,0)</f>
        <v>0</v>
      </c>
    </row>
    <row r="204" customFormat="false" ht="15" hidden="false" customHeight="true" outlineLevel="0" collapsed="false">
      <c r="A204" s="30" t="s">
        <v>325</v>
      </c>
      <c r="B204" s="31" t="s">
        <v>285</v>
      </c>
      <c r="C204" s="30" t="s">
        <v>246</v>
      </c>
      <c r="D204" s="32" t="n">
        <f aca="false">SUMIF('Libro Diario'!$C$5:$C$504,A204,'Libro Diario'!$F$5:$F$504)</f>
        <v>0</v>
      </c>
      <c r="E204" s="32" t="n">
        <f aca="false">SUMIF('Libro Diario'!$C$5:$C$504,A204,'Libro Diario'!$G$5:$G$504)</f>
        <v>0</v>
      </c>
      <c r="F204" s="32" t="n">
        <f aca="false">IF(D204&gt;=E204,D204-E204,0)</f>
        <v>0</v>
      </c>
      <c r="G204" s="32" t="n">
        <f aca="false">IF(E204&gt;D204,E204-D204,0)</f>
        <v>0</v>
      </c>
    </row>
    <row r="205" customFormat="false" ht="15" hidden="false" customHeight="true" outlineLevel="0" collapsed="false">
      <c r="A205" s="30" t="s">
        <v>326</v>
      </c>
      <c r="B205" s="31" t="s">
        <v>165</v>
      </c>
      <c r="C205" s="30" t="s">
        <v>246</v>
      </c>
      <c r="D205" s="32" t="n">
        <f aca="false">SUMIF('Libro Diario'!$C$5:$C$504,A205,'Libro Diario'!$F$5:$F$504)</f>
        <v>0</v>
      </c>
      <c r="E205" s="32" t="n">
        <f aca="false">SUMIF('Libro Diario'!$C$5:$C$504,A205,'Libro Diario'!$G$5:$G$504)</f>
        <v>0</v>
      </c>
      <c r="F205" s="32" t="n">
        <f aca="false">IF(D205&gt;=E205,D205-E205,0)</f>
        <v>0</v>
      </c>
      <c r="G205" s="32" t="n">
        <f aca="false">IF(E205&gt;D205,E205-D205,0)</f>
        <v>0</v>
      </c>
    </row>
    <row r="206" customFormat="false" ht="15" hidden="false" customHeight="true" outlineLevel="0" collapsed="false">
      <c r="A206" s="30" t="s">
        <v>327</v>
      </c>
      <c r="B206" s="31" t="s">
        <v>66</v>
      </c>
      <c r="C206" s="30" t="s">
        <v>246</v>
      </c>
      <c r="D206" s="32" t="n">
        <f aca="false">SUMIF('Libro Diario'!$C$5:$C$504,A206,'Libro Diario'!$F$5:$F$504)</f>
        <v>0</v>
      </c>
      <c r="E206" s="32" t="n">
        <f aca="false">SUMIF('Libro Diario'!$C$5:$C$504,A206,'Libro Diario'!$G$5:$G$504)</f>
        <v>0</v>
      </c>
      <c r="F206" s="32" t="n">
        <f aca="false">IF(D206&gt;=E206,D206-E206,0)</f>
        <v>0</v>
      </c>
      <c r="G206" s="32" t="n">
        <f aca="false">IF(E206&gt;D206,E206-D206,0)</f>
        <v>0</v>
      </c>
    </row>
    <row r="207" customFormat="false" ht="15" hidden="false" customHeight="true" outlineLevel="0" collapsed="false">
      <c r="A207" s="30" t="s">
        <v>328</v>
      </c>
      <c r="B207" s="31" t="s">
        <v>285</v>
      </c>
      <c r="C207" s="30" t="s">
        <v>246</v>
      </c>
      <c r="D207" s="32" t="n">
        <f aca="false">SUMIF('Libro Diario'!$C$5:$C$504,A207,'Libro Diario'!$F$5:$F$504)</f>
        <v>0</v>
      </c>
      <c r="E207" s="32" t="n">
        <f aca="false">SUMIF('Libro Diario'!$C$5:$C$504,A207,'Libro Diario'!$G$5:$G$504)</f>
        <v>0</v>
      </c>
      <c r="F207" s="32" t="n">
        <f aca="false">IF(D207&gt;=E207,D207-E207,0)</f>
        <v>0</v>
      </c>
      <c r="G207" s="32" t="n">
        <f aca="false">IF(E207&gt;D207,E207-D207,0)</f>
        <v>0</v>
      </c>
    </row>
    <row r="208" customFormat="false" ht="15" hidden="false" customHeight="true" outlineLevel="0" collapsed="false">
      <c r="A208" s="30" t="s">
        <v>329</v>
      </c>
      <c r="B208" s="31" t="s">
        <v>165</v>
      </c>
      <c r="C208" s="30" t="s">
        <v>246</v>
      </c>
      <c r="D208" s="32" t="n">
        <f aca="false">SUMIF('Libro Diario'!$C$5:$C$504,A208,'Libro Diario'!$F$5:$F$504)</f>
        <v>0</v>
      </c>
      <c r="E208" s="32" t="n">
        <f aca="false">SUMIF('Libro Diario'!$C$5:$C$504,A208,'Libro Diario'!$G$5:$G$504)</f>
        <v>0</v>
      </c>
      <c r="F208" s="32" t="n">
        <f aca="false">IF(D208&gt;=E208,D208-E208,0)</f>
        <v>0</v>
      </c>
      <c r="G208" s="32" t="n">
        <f aca="false">IF(E208&gt;D208,E208-D208,0)</f>
        <v>0</v>
      </c>
    </row>
    <row r="209" customFormat="false" ht="15" hidden="false" customHeight="true" outlineLevel="0" collapsed="false">
      <c r="A209" s="30" t="s">
        <v>330</v>
      </c>
      <c r="B209" s="31" t="s">
        <v>66</v>
      </c>
      <c r="C209" s="30" t="s">
        <v>246</v>
      </c>
      <c r="D209" s="32" t="n">
        <f aca="false">SUMIF('Libro Diario'!$C$5:$C$504,A209,'Libro Diario'!$F$5:$F$504)</f>
        <v>0</v>
      </c>
      <c r="E209" s="32" t="n">
        <f aca="false">SUMIF('Libro Diario'!$C$5:$C$504,A209,'Libro Diario'!$G$5:$G$504)</f>
        <v>0</v>
      </c>
      <c r="F209" s="32" t="n">
        <f aca="false">IF(D209&gt;=E209,D209-E209,0)</f>
        <v>0</v>
      </c>
      <c r="G209" s="32" t="n">
        <f aca="false">IF(E209&gt;D209,E209-D209,0)</f>
        <v>0</v>
      </c>
    </row>
    <row r="210" customFormat="false" ht="15" hidden="false" customHeight="true" outlineLevel="0" collapsed="false">
      <c r="A210" s="30" t="s">
        <v>331</v>
      </c>
      <c r="B210" s="31" t="s">
        <v>280</v>
      </c>
      <c r="C210" s="30" t="s">
        <v>246</v>
      </c>
      <c r="D210" s="32" t="n">
        <f aca="false">SUMIF('Libro Diario'!$C$5:$C$504,A210,'Libro Diario'!$F$5:$F$504)</f>
        <v>0</v>
      </c>
      <c r="E210" s="32" t="n">
        <f aca="false">SUMIF('Libro Diario'!$C$5:$C$504,A210,'Libro Diario'!$G$5:$G$504)</f>
        <v>0</v>
      </c>
      <c r="F210" s="32" t="n">
        <f aca="false">IF(D210&gt;=E210,D210-E210,0)</f>
        <v>0</v>
      </c>
      <c r="G210" s="32" t="n">
        <f aca="false">IF(E210&gt;D210,E210-D210,0)</f>
        <v>0</v>
      </c>
    </row>
    <row r="211" customFormat="false" ht="15" hidden="false" customHeight="true" outlineLevel="0" collapsed="false">
      <c r="A211" s="30" t="s">
        <v>332</v>
      </c>
      <c r="B211" s="31" t="s">
        <v>250</v>
      </c>
      <c r="C211" s="30" t="s">
        <v>246</v>
      </c>
      <c r="D211" s="32" t="n">
        <f aca="false">SUMIF('Libro Diario'!$C$5:$C$504,A211,'Libro Diario'!$F$5:$F$504)</f>
        <v>0</v>
      </c>
      <c r="E211" s="32" t="n">
        <f aca="false">SUMIF('Libro Diario'!$C$5:$C$504,A211,'Libro Diario'!$G$5:$G$504)</f>
        <v>0</v>
      </c>
      <c r="F211" s="32" t="n">
        <f aca="false">IF(D211&gt;=E211,D211-E211,0)</f>
        <v>0</v>
      </c>
      <c r="G211" s="32" t="n">
        <f aca="false">IF(E211&gt;D211,E211-D211,0)</f>
        <v>0</v>
      </c>
    </row>
    <row r="212" customFormat="false" ht="15" hidden="false" customHeight="true" outlineLevel="0" collapsed="false">
      <c r="A212" s="30" t="s">
        <v>333</v>
      </c>
      <c r="B212" s="31" t="s">
        <v>66</v>
      </c>
      <c r="C212" s="30" t="s">
        <v>246</v>
      </c>
      <c r="D212" s="32" t="n">
        <f aca="false">SUMIF('Libro Diario'!$C$5:$C$504,A212,'Libro Diario'!$F$5:$F$504)</f>
        <v>0</v>
      </c>
      <c r="E212" s="32" t="n">
        <f aca="false">SUMIF('Libro Diario'!$C$5:$C$504,A212,'Libro Diario'!$G$5:$G$504)</f>
        <v>0</v>
      </c>
      <c r="F212" s="32" t="n">
        <f aca="false">IF(D212&gt;=E212,D212-E212,0)</f>
        <v>0</v>
      </c>
      <c r="G212" s="32" t="n">
        <f aca="false">IF(E212&gt;D212,E212-D212,0)</f>
        <v>0</v>
      </c>
    </row>
    <row r="213" customFormat="false" ht="15" hidden="false" customHeight="true" outlineLevel="0" collapsed="false">
      <c r="A213" s="30" t="s">
        <v>334</v>
      </c>
      <c r="B213" s="31" t="s">
        <v>280</v>
      </c>
      <c r="C213" s="30" t="s">
        <v>246</v>
      </c>
      <c r="D213" s="32" t="n">
        <f aca="false">SUMIF('Libro Diario'!$C$5:$C$504,A213,'Libro Diario'!$F$5:$F$504)</f>
        <v>0</v>
      </c>
      <c r="E213" s="32" t="n">
        <f aca="false">SUMIF('Libro Diario'!$C$5:$C$504,A213,'Libro Diario'!$G$5:$G$504)</f>
        <v>0</v>
      </c>
      <c r="F213" s="32" t="n">
        <f aca="false">IF(D213&gt;=E213,D213-E213,0)</f>
        <v>0</v>
      </c>
      <c r="G213" s="32" t="n">
        <f aca="false">IF(E213&gt;D213,E213-D213,0)</f>
        <v>0</v>
      </c>
    </row>
    <row r="214" customFormat="false" ht="15" hidden="false" customHeight="true" outlineLevel="0" collapsed="false">
      <c r="A214" s="30" t="s">
        <v>335</v>
      </c>
      <c r="B214" s="31" t="s">
        <v>250</v>
      </c>
      <c r="C214" s="30" t="s">
        <v>246</v>
      </c>
      <c r="D214" s="32" t="n">
        <f aca="false">SUMIF('Libro Diario'!$C$5:$C$504,A214,'Libro Diario'!$F$5:$F$504)</f>
        <v>0</v>
      </c>
      <c r="E214" s="32" t="n">
        <f aca="false">SUMIF('Libro Diario'!$C$5:$C$504,A214,'Libro Diario'!$G$5:$G$504)</f>
        <v>0</v>
      </c>
      <c r="F214" s="32" t="n">
        <f aca="false">IF(D214&gt;=E214,D214-E214,0)</f>
        <v>0</v>
      </c>
      <c r="G214" s="32" t="n">
        <f aca="false">IF(E214&gt;D214,E214-D214,0)</f>
        <v>0</v>
      </c>
    </row>
    <row r="215" customFormat="false" ht="15" hidden="false" customHeight="true" outlineLevel="0" collapsed="false">
      <c r="A215" s="30" t="s">
        <v>336</v>
      </c>
      <c r="B215" s="31" t="s">
        <v>165</v>
      </c>
      <c r="C215" s="30" t="s">
        <v>246</v>
      </c>
      <c r="D215" s="32" t="n">
        <f aca="false">SUMIF('Libro Diario'!$C$5:$C$504,A215,'Libro Diario'!$F$5:$F$504)</f>
        <v>0</v>
      </c>
      <c r="E215" s="32" t="n">
        <f aca="false">SUMIF('Libro Diario'!$C$5:$C$504,A215,'Libro Diario'!$G$5:$G$504)</f>
        <v>0</v>
      </c>
      <c r="F215" s="32" t="n">
        <f aca="false">IF(D215&gt;=E215,D215-E215,0)</f>
        <v>0</v>
      </c>
      <c r="G215" s="32" t="n">
        <f aca="false">IF(E215&gt;D215,E215-D215,0)</f>
        <v>0</v>
      </c>
    </row>
    <row r="216" customFormat="false" ht="15" hidden="false" customHeight="true" outlineLevel="0" collapsed="false">
      <c r="A216" s="30" t="s">
        <v>337</v>
      </c>
      <c r="B216" s="31" t="s">
        <v>66</v>
      </c>
      <c r="C216" s="30" t="s">
        <v>246</v>
      </c>
      <c r="D216" s="32" t="n">
        <f aca="false">SUMIF('Libro Diario'!$C$5:$C$504,A216,'Libro Diario'!$F$5:$F$504)</f>
        <v>0</v>
      </c>
      <c r="E216" s="32" t="n">
        <f aca="false">SUMIF('Libro Diario'!$C$5:$C$504,A216,'Libro Diario'!$G$5:$G$504)</f>
        <v>0</v>
      </c>
      <c r="F216" s="32" t="n">
        <f aca="false">IF(D216&gt;=E216,D216-E216,0)</f>
        <v>0</v>
      </c>
      <c r="G216" s="32" t="n">
        <f aca="false">IF(E216&gt;D216,E216-D216,0)</f>
        <v>0</v>
      </c>
    </row>
    <row r="217" customFormat="false" ht="15" hidden="false" customHeight="true" outlineLevel="0" collapsed="false">
      <c r="A217" s="30" t="s">
        <v>338</v>
      </c>
      <c r="B217" s="31" t="s">
        <v>280</v>
      </c>
      <c r="C217" s="30" t="s">
        <v>246</v>
      </c>
      <c r="D217" s="32" t="n">
        <f aca="false">SUMIF('Libro Diario'!$C$5:$C$504,A217,'Libro Diario'!$F$5:$F$504)</f>
        <v>0</v>
      </c>
      <c r="E217" s="32" t="n">
        <f aca="false">SUMIF('Libro Diario'!$C$5:$C$504,A217,'Libro Diario'!$G$5:$G$504)</f>
        <v>0</v>
      </c>
      <c r="F217" s="32" t="n">
        <f aca="false">IF(D217&gt;=E217,D217-E217,0)</f>
        <v>0</v>
      </c>
      <c r="G217" s="32" t="n">
        <f aca="false">IF(E217&gt;D217,E217-D217,0)</f>
        <v>0</v>
      </c>
    </row>
    <row r="218" customFormat="false" ht="15" hidden="false" customHeight="true" outlineLevel="0" collapsed="false">
      <c r="A218" s="30" t="s">
        <v>339</v>
      </c>
      <c r="B218" s="31" t="s">
        <v>250</v>
      </c>
      <c r="C218" s="30" t="s">
        <v>246</v>
      </c>
      <c r="D218" s="32" t="n">
        <f aca="false">SUMIF('Libro Diario'!$C$5:$C$504,A218,'Libro Diario'!$F$5:$F$504)</f>
        <v>0</v>
      </c>
      <c r="E218" s="32" t="n">
        <f aca="false">SUMIF('Libro Diario'!$C$5:$C$504,A218,'Libro Diario'!$G$5:$G$504)</f>
        <v>0</v>
      </c>
      <c r="F218" s="32" t="n">
        <f aca="false">IF(D218&gt;=E218,D218-E218,0)</f>
        <v>0</v>
      </c>
      <c r="G218" s="32" t="n">
        <f aca="false">IF(E218&gt;D218,E218-D218,0)</f>
        <v>0</v>
      </c>
    </row>
    <row r="219" customFormat="false" ht="15" hidden="false" customHeight="true" outlineLevel="0" collapsed="false">
      <c r="A219" s="30" t="s">
        <v>340</v>
      </c>
      <c r="B219" s="31" t="s">
        <v>66</v>
      </c>
      <c r="C219" s="30" t="s">
        <v>246</v>
      </c>
      <c r="D219" s="32" t="n">
        <f aca="false">SUMIF('Libro Diario'!$C$5:$C$504,A219,'Libro Diario'!$F$5:$F$504)</f>
        <v>0</v>
      </c>
      <c r="E219" s="32" t="n">
        <f aca="false">SUMIF('Libro Diario'!$C$5:$C$504,A219,'Libro Diario'!$G$5:$G$504)</f>
        <v>0</v>
      </c>
      <c r="F219" s="32" t="n">
        <f aca="false">IF(D219&gt;=E219,D219-E219,0)</f>
        <v>0</v>
      </c>
      <c r="G219" s="32" t="n">
        <f aca="false">IF(E219&gt;D219,E219-D219,0)</f>
        <v>0</v>
      </c>
    </row>
    <row r="220" customFormat="false" ht="15" hidden="false" customHeight="true" outlineLevel="0" collapsed="false">
      <c r="A220" s="30" t="s">
        <v>341</v>
      </c>
      <c r="B220" s="31" t="s">
        <v>280</v>
      </c>
      <c r="C220" s="30" t="s">
        <v>246</v>
      </c>
      <c r="D220" s="32" t="n">
        <f aca="false">SUMIF('Libro Diario'!$C$5:$C$504,A220,'Libro Diario'!$F$5:$F$504)</f>
        <v>0</v>
      </c>
      <c r="E220" s="32" t="n">
        <f aca="false">SUMIF('Libro Diario'!$C$5:$C$504,A220,'Libro Diario'!$G$5:$G$504)</f>
        <v>0</v>
      </c>
      <c r="F220" s="32" t="n">
        <f aca="false">IF(D220&gt;=E220,D220-E220,0)</f>
        <v>0</v>
      </c>
      <c r="G220" s="32" t="n">
        <f aca="false">IF(E220&gt;D220,E220-D220,0)</f>
        <v>0</v>
      </c>
    </row>
    <row r="221" customFormat="false" ht="15" hidden="false" customHeight="true" outlineLevel="0" collapsed="false">
      <c r="A221" s="30" t="s">
        <v>342</v>
      </c>
      <c r="B221" s="31" t="s">
        <v>250</v>
      </c>
      <c r="C221" s="30" t="s">
        <v>246</v>
      </c>
      <c r="D221" s="32" t="n">
        <f aca="false">SUMIF('Libro Diario'!$C$5:$C$504,A221,'Libro Diario'!$F$5:$F$504)</f>
        <v>0</v>
      </c>
      <c r="E221" s="32" t="n">
        <f aca="false">SUMIF('Libro Diario'!$C$5:$C$504,A221,'Libro Diario'!$G$5:$G$504)</f>
        <v>0</v>
      </c>
      <c r="F221" s="32" t="n">
        <f aca="false">IF(D221&gt;=E221,D221-E221,0)</f>
        <v>0</v>
      </c>
      <c r="G221" s="32" t="n">
        <f aca="false">IF(E221&gt;D221,E221-D221,0)</f>
        <v>0</v>
      </c>
    </row>
    <row r="222" customFormat="false" ht="15" hidden="false" customHeight="true" outlineLevel="0" collapsed="false">
      <c r="A222" s="30" t="s">
        <v>343</v>
      </c>
      <c r="B222" s="31" t="s">
        <v>66</v>
      </c>
      <c r="C222" s="30" t="s">
        <v>246</v>
      </c>
      <c r="D222" s="32" t="n">
        <f aca="false">SUMIF('Libro Diario'!$C$5:$C$504,A222,'Libro Diario'!$F$5:$F$504)</f>
        <v>0</v>
      </c>
      <c r="E222" s="32" t="n">
        <f aca="false">SUMIF('Libro Diario'!$C$5:$C$504,A222,'Libro Diario'!$G$5:$G$504)</f>
        <v>0</v>
      </c>
      <c r="F222" s="32" t="n">
        <f aca="false">IF(D222&gt;=E222,D222-E222,0)</f>
        <v>0</v>
      </c>
      <c r="G222" s="32" t="n">
        <f aca="false">IF(E222&gt;D222,E222-D222,0)</f>
        <v>0</v>
      </c>
    </row>
    <row r="223" customFormat="false" ht="15" hidden="false" customHeight="true" outlineLevel="0" collapsed="false">
      <c r="A223" s="30" t="s">
        <v>344</v>
      </c>
      <c r="B223" s="31" t="s">
        <v>280</v>
      </c>
      <c r="C223" s="30" t="s">
        <v>246</v>
      </c>
      <c r="D223" s="32" t="n">
        <f aca="false">SUMIF('Libro Diario'!$C$5:$C$504,A223,'Libro Diario'!$F$5:$F$504)</f>
        <v>0</v>
      </c>
      <c r="E223" s="32" t="n">
        <f aca="false">SUMIF('Libro Diario'!$C$5:$C$504,A223,'Libro Diario'!$G$5:$G$504)</f>
        <v>0</v>
      </c>
      <c r="F223" s="32" t="n">
        <f aca="false">IF(D223&gt;=E223,D223-E223,0)</f>
        <v>0</v>
      </c>
      <c r="G223" s="32" t="n">
        <f aca="false">IF(E223&gt;D223,E223-D223,0)</f>
        <v>0</v>
      </c>
    </row>
    <row r="224" customFormat="false" ht="15" hidden="false" customHeight="true" outlineLevel="0" collapsed="false">
      <c r="A224" s="30" t="s">
        <v>345</v>
      </c>
      <c r="B224" s="31" t="s">
        <v>66</v>
      </c>
      <c r="C224" s="30" t="s">
        <v>246</v>
      </c>
      <c r="D224" s="32" t="n">
        <f aca="false">SUMIF('Libro Diario'!$C$5:$C$504,A224,'Libro Diario'!$F$5:$F$504)</f>
        <v>0</v>
      </c>
      <c r="E224" s="32" t="n">
        <f aca="false">SUMIF('Libro Diario'!$C$5:$C$504,A224,'Libro Diario'!$G$5:$G$504)</f>
        <v>0</v>
      </c>
      <c r="F224" s="32" t="n">
        <f aca="false">IF(D224&gt;=E224,D224-E224,0)</f>
        <v>0</v>
      </c>
      <c r="G224" s="32" t="n">
        <f aca="false">IF(E224&gt;D224,E224-D224,0)</f>
        <v>0</v>
      </c>
    </row>
    <row r="225" customFormat="false" ht="15" hidden="false" customHeight="true" outlineLevel="0" collapsed="false">
      <c r="A225" s="30" t="s">
        <v>346</v>
      </c>
      <c r="B225" s="31" t="s">
        <v>280</v>
      </c>
      <c r="C225" s="30" t="s">
        <v>246</v>
      </c>
      <c r="D225" s="32" t="n">
        <f aca="false">SUMIF('Libro Diario'!$C$5:$C$504,A225,'Libro Diario'!$F$5:$F$504)</f>
        <v>0</v>
      </c>
      <c r="E225" s="32" t="n">
        <f aca="false">SUMIF('Libro Diario'!$C$5:$C$504,A225,'Libro Diario'!$G$5:$G$504)</f>
        <v>0</v>
      </c>
      <c r="F225" s="32" t="n">
        <f aca="false">IF(D225&gt;=E225,D225-E225,0)</f>
        <v>0</v>
      </c>
      <c r="G225" s="32" t="n">
        <f aca="false">IF(E225&gt;D225,E225-D225,0)</f>
        <v>0</v>
      </c>
    </row>
    <row r="226" customFormat="false" ht="15" hidden="false" customHeight="true" outlineLevel="0" collapsed="false">
      <c r="A226" s="30" t="s">
        <v>347</v>
      </c>
      <c r="B226" s="31" t="s">
        <v>66</v>
      </c>
      <c r="C226" s="30" t="s">
        <v>246</v>
      </c>
      <c r="D226" s="32" t="n">
        <f aca="false">SUMIF('Libro Diario'!$C$5:$C$504,A226,'Libro Diario'!$F$5:$F$504)</f>
        <v>0</v>
      </c>
      <c r="E226" s="32" t="n">
        <f aca="false">SUMIF('Libro Diario'!$C$5:$C$504,A226,'Libro Diario'!$G$5:$G$504)</f>
        <v>0</v>
      </c>
      <c r="F226" s="32" t="n">
        <f aca="false">IF(D226&gt;=E226,D226-E226,0)</f>
        <v>0</v>
      </c>
      <c r="G226" s="32" t="n">
        <f aca="false">IF(E226&gt;D226,E226-D226,0)</f>
        <v>0</v>
      </c>
    </row>
    <row r="227" customFormat="false" ht="15" hidden="false" customHeight="true" outlineLevel="0" collapsed="false">
      <c r="A227" s="30" t="s">
        <v>348</v>
      </c>
      <c r="B227" s="31" t="s">
        <v>280</v>
      </c>
      <c r="C227" s="30" t="s">
        <v>246</v>
      </c>
      <c r="D227" s="32" t="n">
        <f aca="false">SUMIF('Libro Diario'!$C$5:$C$504,A227,'Libro Diario'!$F$5:$F$504)</f>
        <v>0</v>
      </c>
      <c r="E227" s="32" t="n">
        <f aca="false">SUMIF('Libro Diario'!$C$5:$C$504,A227,'Libro Diario'!$G$5:$G$504)</f>
        <v>0</v>
      </c>
      <c r="F227" s="32" t="n">
        <f aca="false">IF(D227&gt;=E227,D227-E227,0)</f>
        <v>0</v>
      </c>
      <c r="G227" s="32" t="n">
        <f aca="false">IF(E227&gt;D227,E227-D227,0)</f>
        <v>0</v>
      </c>
    </row>
    <row r="228" customFormat="false" ht="15" hidden="false" customHeight="true" outlineLevel="0" collapsed="false">
      <c r="A228" s="30" t="s">
        <v>349</v>
      </c>
      <c r="B228" s="31" t="s">
        <v>66</v>
      </c>
      <c r="C228" s="30" t="s">
        <v>246</v>
      </c>
      <c r="D228" s="32" t="n">
        <f aca="false">SUMIF('Libro Diario'!$C$5:$C$504,A228,'Libro Diario'!$F$5:$F$504)</f>
        <v>0</v>
      </c>
      <c r="E228" s="32" t="n">
        <f aca="false">SUMIF('Libro Diario'!$C$5:$C$504,A228,'Libro Diario'!$G$5:$G$504)</f>
        <v>0</v>
      </c>
      <c r="F228" s="32" t="n">
        <f aca="false">IF(D228&gt;=E228,D228-E228,0)</f>
        <v>0</v>
      </c>
      <c r="G228" s="32" t="n">
        <f aca="false">IF(E228&gt;D228,E228-D228,0)</f>
        <v>0</v>
      </c>
    </row>
    <row r="229" customFormat="false" ht="15" hidden="false" customHeight="true" outlineLevel="0" collapsed="false">
      <c r="A229" s="30" t="s">
        <v>350</v>
      </c>
      <c r="B229" s="31" t="s">
        <v>280</v>
      </c>
      <c r="C229" s="30" t="s">
        <v>246</v>
      </c>
      <c r="D229" s="32" t="n">
        <f aca="false">SUMIF('Libro Diario'!$C$5:$C$504,A229,'Libro Diario'!$F$5:$F$504)</f>
        <v>0</v>
      </c>
      <c r="E229" s="32" t="n">
        <f aca="false">SUMIF('Libro Diario'!$C$5:$C$504,A229,'Libro Diario'!$G$5:$G$504)</f>
        <v>0</v>
      </c>
      <c r="F229" s="32" t="n">
        <f aca="false">IF(D229&gt;=E229,D229-E229,0)</f>
        <v>0</v>
      </c>
      <c r="G229" s="32" t="n">
        <f aca="false">IF(E229&gt;D229,E229-D229,0)</f>
        <v>0</v>
      </c>
    </row>
    <row r="230" customFormat="false" ht="15" hidden="false" customHeight="true" outlineLevel="0" collapsed="false">
      <c r="A230" s="30" t="s">
        <v>351</v>
      </c>
      <c r="B230" s="31" t="s">
        <v>66</v>
      </c>
      <c r="C230" s="30" t="s">
        <v>246</v>
      </c>
      <c r="D230" s="32" t="n">
        <f aca="false">SUMIF('Libro Diario'!$C$5:$C$504,A230,'Libro Diario'!$F$5:$F$504)</f>
        <v>0</v>
      </c>
      <c r="E230" s="32" t="n">
        <f aca="false">SUMIF('Libro Diario'!$C$5:$C$504,A230,'Libro Diario'!$G$5:$G$504)</f>
        <v>0</v>
      </c>
      <c r="F230" s="32" t="n">
        <f aca="false">IF(D230&gt;=E230,D230-E230,0)</f>
        <v>0</v>
      </c>
      <c r="G230" s="32" t="n">
        <f aca="false">IF(E230&gt;D230,E230-D230,0)</f>
        <v>0</v>
      </c>
    </row>
    <row r="231" customFormat="false" ht="15" hidden="false" customHeight="true" outlineLevel="0" collapsed="false">
      <c r="A231" s="30" t="s">
        <v>352</v>
      </c>
      <c r="B231" s="31" t="s">
        <v>280</v>
      </c>
      <c r="C231" s="30" t="s">
        <v>246</v>
      </c>
      <c r="D231" s="32" t="n">
        <f aca="false">SUMIF('Libro Diario'!$C$5:$C$504,A231,'Libro Diario'!$F$5:$F$504)</f>
        <v>0</v>
      </c>
      <c r="E231" s="32" t="n">
        <f aca="false">SUMIF('Libro Diario'!$C$5:$C$504,A231,'Libro Diario'!$G$5:$G$504)</f>
        <v>0</v>
      </c>
      <c r="F231" s="32" t="n">
        <f aca="false">IF(D231&gt;=E231,D231-E231,0)</f>
        <v>0</v>
      </c>
      <c r="G231" s="32" t="n">
        <f aca="false">IF(E231&gt;D231,E231-D231,0)</f>
        <v>0</v>
      </c>
    </row>
    <row r="232" customFormat="false" ht="15" hidden="false" customHeight="true" outlineLevel="0" collapsed="false">
      <c r="A232" s="30" t="s">
        <v>353</v>
      </c>
      <c r="B232" s="31" t="s">
        <v>66</v>
      </c>
      <c r="C232" s="30" t="s">
        <v>246</v>
      </c>
      <c r="D232" s="32" t="n">
        <f aca="false">SUMIF('Libro Diario'!$C$5:$C$504,A232,'Libro Diario'!$F$5:$F$504)</f>
        <v>0</v>
      </c>
      <c r="E232" s="32" t="n">
        <f aca="false">SUMIF('Libro Diario'!$C$5:$C$504,A232,'Libro Diario'!$G$5:$G$504)</f>
        <v>0</v>
      </c>
      <c r="F232" s="32" t="n">
        <f aca="false">IF(D232&gt;=E232,D232-E232,0)</f>
        <v>0</v>
      </c>
      <c r="G232" s="32" t="n">
        <f aca="false">IF(E232&gt;D232,E232-D232,0)</f>
        <v>0</v>
      </c>
    </row>
    <row r="233" customFormat="false" ht="15" hidden="false" customHeight="true" outlineLevel="0" collapsed="false">
      <c r="A233" s="30" t="s">
        <v>354</v>
      </c>
      <c r="B233" s="31" t="s">
        <v>280</v>
      </c>
      <c r="C233" s="30" t="s">
        <v>246</v>
      </c>
      <c r="D233" s="32" t="n">
        <f aca="false">SUMIF('Libro Diario'!$C$5:$C$504,A233,'Libro Diario'!$F$5:$F$504)</f>
        <v>0</v>
      </c>
      <c r="E233" s="32" t="n">
        <f aca="false">SUMIF('Libro Diario'!$C$5:$C$504,A233,'Libro Diario'!$G$5:$G$504)</f>
        <v>0</v>
      </c>
      <c r="F233" s="32" t="n">
        <f aca="false">IF(D233&gt;=E233,D233-E233,0)</f>
        <v>0</v>
      </c>
      <c r="G233" s="32" t="n">
        <f aca="false">IF(E233&gt;D233,E233-D233,0)</f>
        <v>0</v>
      </c>
    </row>
    <row r="234" customFormat="false" ht="15" hidden="false" customHeight="true" outlineLevel="0" collapsed="false">
      <c r="A234" s="30" t="s">
        <v>355</v>
      </c>
      <c r="B234" s="31" t="s">
        <v>66</v>
      </c>
      <c r="C234" s="30" t="s">
        <v>246</v>
      </c>
      <c r="D234" s="32" t="n">
        <f aca="false">SUMIF('Libro Diario'!$C$5:$C$504,A234,'Libro Diario'!$F$5:$F$504)</f>
        <v>0</v>
      </c>
      <c r="E234" s="32" t="n">
        <f aca="false">SUMIF('Libro Diario'!$C$5:$C$504,A234,'Libro Diario'!$G$5:$G$504)</f>
        <v>0</v>
      </c>
      <c r="F234" s="32" t="n">
        <f aca="false">IF(D234&gt;=E234,D234-E234,0)</f>
        <v>0</v>
      </c>
      <c r="G234" s="32" t="n">
        <f aca="false">IF(E234&gt;D234,E234-D234,0)</f>
        <v>0</v>
      </c>
    </row>
    <row r="235" customFormat="false" ht="15" hidden="false" customHeight="true" outlineLevel="0" collapsed="false">
      <c r="A235" s="30" t="s">
        <v>356</v>
      </c>
      <c r="B235" s="31" t="s">
        <v>280</v>
      </c>
      <c r="C235" s="30" t="s">
        <v>246</v>
      </c>
      <c r="D235" s="32" t="n">
        <f aca="false">SUMIF('Libro Diario'!$C$5:$C$504,A235,'Libro Diario'!$F$5:$F$504)</f>
        <v>0</v>
      </c>
      <c r="E235" s="32" t="n">
        <f aca="false">SUMIF('Libro Diario'!$C$5:$C$504,A235,'Libro Diario'!$G$5:$G$504)</f>
        <v>0</v>
      </c>
      <c r="F235" s="32" t="n">
        <f aca="false">IF(D235&gt;=E235,D235-E235,0)</f>
        <v>0</v>
      </c>
      <c r="G235" s="32" t="n">
        <f aca="false">IF(E235&gt;D235,E235-D235,0)</f>
        <v>0</v>
      </c>
    </row>
    <row r="236" customFormat="false" ht="15" hidden="false" customHeight="true" outlineLevel="0" collapsed="false">
      <c r="A236" s="30" t="s">
        <v>357</v>
      </c>
      <c r="B236" s="31" t="s">
        <v>66</v>
      </c>
      <c r="C236" s="30" t="s">
        <v>246</v>
      </c>
      <c r="D236" s="32" t="n">
        <f aca="false">SUMIF('Libro Diario'!$C$5:$C$504,A236,'Libro Diario'!$F$5:$F$504)</f>
        <v>0</v>
      </c>
      <c r="E236" s="32" t="n">
        <f aca="false">SUMIF('Libro Diario'!$C$5:$C$504,A236,'Libro Diario'!$G$5:$G$504)</f>
        <v>0</v>
      </c>
      <c r="F236" s="32" t="n">
        <f aca="false">IF(D236&gt;=E236,D236-E236,0)</f>
        <v>0</v>
      </c>
      <c r="G236" s="32" t="n">
        <f aca="false">IF(E236&gt;D236,E236-D236,0)</f>
        <v>0</v>
      </c>
    </row>
    <row r="237" customFormat="false" ht="15" hidden="false" customHeight="true" outlineLevel="0" collapsed="false">
      <c r="A237" s="30" t="s">
        <v>358</v>
      </c>
      <c r="B237" s="31" t="s">
        <v>280</v>
      </c>
      <c r="C237" s="30" t="s">
        <v>246</v>
      </c>
      <c r="D237" s="32" t="n">
        <f aca="false">SUMIF('Libro Diario'!$C$5:$C$504,A237,'Libro Diario'!$F$5:$F$504)</f>
        <v>0</v>
      </c>
      <c r="E237" s="32" t="n">
        <f aca="false">SUMIF('Libro Diario'!$C$5:$C$504,A237,'Libro Diario'!$G$5:$G$504)</f>
        <v>0</v>
      </c>
      <c r="F237" s="32" t="n">
        <f aca="false">IF(D237&gt;=E237,D237-E237,0)</f>
        <v>0</v>
      </c>
      <c r="G237" s="32" t="n">
        <f aca="false">IF(E237&gt;D237,E237-D237,0)</f>
        <v>0</v>
      </c>
    </row>
    <row r="238" customFormat="false" ht="15" hidden="false" customHeight="true" outlineLevel="0" collapsed="false">
      <c r="A238" s="30" t="s">
        <v>359</v>
      </c>
      <c r="B238" s="31" t="s">
        <v>66</v>
      </c>
      <c r="C238" s="30" t="s">
        <v>246</v>
      </c>
      <c r="D238" s="32" t="n">
        <f aca="false">SUMIF('Libro Diario'!$C$5:$C$504,A238,'Libro Diario'!$F$5:$F$504)</f>
        <v>0</v>
      </c>
      <c r="E238" s="32" t="n">
        <f aca="false">SUMIF('Libro Diario'!$C$5:$C$504,A238,'Libro Diario'!$G$5:$G$504)</f>
        <v>0</v>
      </c>
      <c r="F238" s="32" t="n">
        <f aca="false">IF(D238&gt;=E238,D238-E238,0)</f>
        <v>0</v>
      </c>
      <c r="G238" s="32" t="n">
        <f aca="false">IF(E238&gt;D238,E238-D238,0)</f>
        <v>0</v>
      </c>
    </row>
    <row r="239" customFormat="false" ht="15" hidden="false" customHeight="true" outlineLevel="0" collapsed="false">
      <c r="A239" s="30" t="s">
        <v>360</v>
      </c>
      <c r="B239" s="31" t="s">
        <v>280</v>
      </c>
      <c r="C239" s="30" t="s">
        <v>246</v>
      </c>
      <c r="D239" s="32" t="n">
        <f aca="false">SUMIF('Libro Diario'!$C$5:$C$504,A239,'Libro Diario'!$F$5:$F$504)</f>
        <v>0</v>
      </c>
      <c r="E239" s="32" t="n">
        <f aca="false">SUMIF('Libro Diario'!$C$5:$C$504,A239,'Libro Diario'!$G$5:$G$504)</f>
        <v>0</v>
      </c>
      <c r="F239" s="32" t="n">
        <f aca="false">IF(D239&gt;=E239,D239-E239,0)</f>
        <v>0</v>
      </c>
      <c r="G239" s="32" t="n">
        <f aca="false">IF(E239&gt;D239,E239-D239,0)</f>
        <v>0</v>
      </c>
    </row>
    <row r="240" customFormat="false" ht="15" hidden="false" customHeight="true" outlineLevel="0" collapsed="false">
      <c r="A240" s="30" t="s">
        <v>361</v>
      </c>
      <c r="B240" s="31" t="s">
        <v>66</v>
      </c>
      <c r="C240" s="30" t="s">
        <v>246</v>
      </c>
      <c r="D240" s="32" t="n">
        <f aca="false">SUMIF('Libro Diario'!$C$5:$C$504,A240,'Libro Diario'!$F$5:$F$504)</f>
        <v>0</v>
      </c>
      <c r="E240" s="32" t="n">
        <f aca="false">SUMIF('Libro Diario'!$C$5:$C$504,A240,'Libro Diario'!$G$5:$G$504)</f>
        <v>0</v>
      </c>
      <c r="F240" s="32" t="n">
        <f aca="false">IF(D240&gt;=E240,D240-E240,0)</f>
        <v>0</v>
      </c>
      <c r="G240" s="32" t="n">
        <f aca="false">IF(E240&gt;D240,E240-D240,0)</f>
        <v>0</v>
      </c>
    </row>
    <row r="241" customFormat="false" ht="15" hidden="false" customHeight="true" outlineLevel="0" collapsed="false">
      <c r="A241" s="30" t="s">
        <v>362</v>
      </c>
      <c r="B241" s="31" t="s">
        <v>280</v>
      </c>
      <c r="C241" s="30" t="s">
        <v>246</v>
      </c>
      <c r="D241" s="32" t="n">
        <f aca="false">SUMIF('Libro Diario'!$C$5:$C$504,A241,'Libro Diario'!$F$5:$F$504)</f>
        <v>0</v>
      </c>
      <c r="E241" s="32" t="n">
        <f aca="false">SUMIF('Libro Diario'!$C$5:$C$504,A241,'Libro Diario'!$G$5:$G$504)</f>
        <v>0</v>
      </c>
      <c r="F241" s="32" t="n">
        <f aca="false">IF(D241&gt;=E241,D241-E241,0)</f>
        <v>0</v>
      </c>
      <c r="G241" s="32" t="n">
        <f aca="false">IF(E241&gt;D241,E241-D241,0)</f>
        <v>0</v>
      </c>
    </row>
    <row r="242" customFormat="false" ht="15" hidden="false" customHeight="true" outlineLevel="0" collapsed="false">
      <c r="A242" s="30" t="s">
        <v>363</v>
      </c>
      <c r="B242" s="31" t="s">
        <v>66</v>
      </c>
      <c r="C242" s="30" t="s">
        <v>246</v>
      </c>
      <c r="D242" s="32" t="n">
        <f aca="false">SUMIF('Libro Diario'!$C$5:$C$504,A242,'Libro Diario'!$F$5:$F$504)</f>
        <v>0</v>
      </c>
      <c r="E242" s="32" t="n">
        <f aca="false">SUMIF('Libro Diario'!$C$5:$C$504,A242,'Libro Diario'!$G$5:$G$504)</f>
        <v>0</v>
      </c>
      <c r="F242" s="32" t="n">
        <f aca="false">IF(D242&gt;=E242,D242-E242,0)</f>
        <v>0</v>
      </c>
      <c r="G242" s="32" t="n">
        <f aca="false">IF(E242&gt;D242,E242-D242,0)</f>
        <v>0</v>
      </c>
    </row>
    <row r="243" customFormat="false" ht="15" hidden="false" customHeight="true" outlineLevel="0" collapsed="false">
      <c r="A243" s="30" t="s">
        <v>364</v>
      </c>
      <c r="B243" s="31" t="s">
        <v>250</v>
      </c>
      <c r="C243" s="30" t="s">
        <v>246</v>
      </c>
      <c r="D243" s="32" t="n">
        <f aca="false">SUMIF('Libro Diario'!$C$5:$C$504,A243,'Libro Diario'!$F$5:$F$504)</f>
        <v>0</v>
      </c>
      <c r="E243" s="32" t="n">
        <f aca="false">SUMIF('Libro Diario'!$C$5:$C$504,A243,'Libro Diario'!$G$5:$G$504)</f>
        <v>0</v>
      </c>
      <c r="F243" s="32" t="n">
        <f aca="false">IF(D243&gt;=E243,D243-E243,0)</f>
        <v>0</v>
      </c>
      <c r="G243" s="32" t="n">
        <f aca="false">IF(E243&gt;D243,E243-D243,0)</f>
        <v>0</v>
      </c>
    </row>
    <row r="244" customFormat="false" ht="15" hidden="false" customHeight="true" outlineLevel="0" collapsed="false">
      <c r="A244" s="30" t="s">
        <v>365</v>
      </c>
      <c r="B244" s="31" t="s">
        <v>66</v>
      </c>
      <c r="C244" s="30" t="s">
        <v>246</v>
      </c>
      <c r="D244" s="32" t="n">
        <f aca="false">SUMIF('Libro Diario'!$C$5:$C$504,A244,'Libro Diario'!$F$5:$F$504)</f>
        <v>0</v>
      </c>
      <c r="E244" s="32" t="n">
        <f aca="false">SUMIF('Libro Diario'!$C$5:$C$504,A244,'Libro Diario'!$G$5:$G$504)</f>
        <v>0</v>
      </c>
      <c r="F244" s="32" t="n">
        <f aca="false">IF(D244&gt;=E244,D244-E244,0)</f>
        <v>0</v>
      </c>
      <c r="G244" s="32" t="n">
        <f aca="false">IF(E244&gt;D244,E244-D244,0)</f>
        <v>0</v>
      </c>
    </row>
    <row r="245" customFormat="false" ht="15" hidden="false" customHeight="true" outlineLevel="0" collapsed="false">
      <c r="A245" s="30" t="s">
        <v>366</v>
      </c>
      <c r="B245" s="31" t="s">
        <v>250</v>
      </c>
      <c r="C245" s="30" t="s">
        <v>246</v>
      </c>
      <c r="D245" s="32" t="n">
        <f aca="false">SUMIF('Libro Diario'!$C$5:$C$504,A245,'Libro Diario'!$F$5:$F$504)</f>
        <v>0</v>
      </c>
      <c r="E245" s="32" t="n">
        <f aca="false">SUMIF('Libro Diario'!$C$5:$C$504,A245,'Libro Diario'!$G$5:$G$504)</f>
        <v>0</v>
      </c>
      <c r="F245" s="32" t="n">
        <f aca="false">IF(D245&gt;=E245,D245-E245,0)</f>
        <v>0</v>
      </c>
      <c r="G245" s="32" t="n">
        <f aca="false">IF(E245&gt;D245,E245-D245,0)</f>
        <v>0</v>
      </c>
    </row>
    <row r="246" customFormat="false" ht="15" hidden="false" customHeight="true" outlineLevel="0" collapsed="false">
      <c r="A246" s="30" t="s">
        <v>367</v>
      </c>
      <c r="B246" s="31" t="s">
        <v>368</v>
      </c>
      <c r="C246" s="30" t="s">
        <v>246</v>
      </c>
      <c r="D246" s="32" t="n">
        <f aca="false">SUMIF('Libro Diario'!$C$5:$C$504,A246,'Libro Diario'!$F$5:$F$504)</f>
        <v>0</v>
      </c>
      <c r="E246" s="32" t="n">
        <f aca="false">SUMIF('Libro Diario'!$C$5:$C$504,A246,'Libro Diario'!$G$5:$G$504)</f>
        <v>0</v>
      </c>
      <c r="F246" s="32" t="n">
        <f aca="false">IF(D246&gt;=E246,D246-E246,0)</f>
        <v>0</v>
      </c>
      <c r="G246" s="32" t="n">
        <f aca="false">IF(E246&gt;D246,E246-D246,0)</f>
        <v>0</v>
      </c>
    </row>
    <row r="247" customFormat="false" ht="15" hidden="false" customHeight="true" outlineLevel="0" collapsed="false">
      <c r="A247" s="30" t="s">
        <v>369</v>
      </c>
      <c r="B247" s="31" t="s">
        <v>370</v>
      </c>
      <c r="C247" s="30" t="s">
        <v>246</v>
      </c>
      <c r="D247" s="32" t="n">
        <f aca="false">SUMIF('Libro Diario'!$C$5:$C$504,A247,'Libro Diario'!$F$5:$F$504)</f>
        <v>0</v>
      </c>
      <c r="E247" s="32" t="n">
        <f aca="false">SUMIF('Libro Diario'!$C$5:$C$504,A247,'Libro Diario'!$G$5:$G$504)</f>
        <v>0</v>
      </c>
      <c r="F247" s="32" t="n">
        <f aca="false">IF(D247&gt;=E247,D247-E247,0)</f>
        <v>0</v>
      </c>
      <c r="G247" s="32" t="n">
        <f aca="false">IF(E247&gt;D247,E247-D247,0)</f>
        <v>0</v>
      </c>
    </row>
    <row r="248" customFormat="false" ht="15" hidden="false" customHeight="true" outlineLevel="0" collapsed="false">
      <c r="A248" s="30" t="s">
        <v>371</v>
      </c>
      <c r="B248" s="31" t="s">
        <v>372</v>
      </c>
      <c r="C248" s="30" t="s">
        <v>246</v>
      </c>
      <c r="D248" s="32" t="n">
        <f aca="false">SUMIF('Libro Diario'!$C$5:$C$504,A248,'Libro Diario'!$F$5:$F$504)</f>
        <v>0</v>
      </c>
      <c r="E248" s="32" t="n">
        <f aca="false">SUMIF('Libro Diario'!$C$5:$C$504,A248,'Libro Diario'!$G$5:$G$504)</f>
        <v>0</v>
      </c>
      <c r="F248" s="32" t="n">
        <f aca="false">IF(D248&gt;=E248,D248-E248,0)</f>
        <v>0</v>
      </c>
      <c r="G248" s="32" t="n">
        <f aca="false">IF(E248&gt;D248,E248-D248,0)</f>
        <v>0</v>
      </c>
    </row>
    <row r="249" customFormat="false" ht="15" hidden="false" customHeight="true" outlineLevel="0" collapsed="false">
      <c r="A249" s="30" t="s">
        <v>373</v>
      </c>
      <c r="B249" s="31" t="s">
        <v>374</v>
      </c>
      <c r="C249" s="30" t="s">
        <v>246</v>
      </c>
      <c r="D249" s="32" t="n">
        <f aca="false">SUMIF('Libro Diario'!$C$5:$C$504,A249,'Libro Diario'!$F$5:$F$504)</f>
        <v>0</v>
      </c>
      <c r="E249" s="32" t="n">
        <f aca="false">SUMIF('Libro Diario'!$C$5:$C$504,A249,'Libro Diario'!$G$5:$G$504)</f>
        <v>0</v>
      </c>
      <c r="F249" s="32" t="n">
        <f aca="false">IF(D249&gt;=E249,D249-E249,0)</f>
        <v>0</v>
      </c>
      <c r="G249" s="32" t="n">
        <f aca="false">IF(E249&gt;D249,E249-D249,0)</f>
        <v>0</v>
      </c>
    </row>
    <row r="250" customFormat="false" ht="15" hidden="false" customHeight="true" outlineLevel="0" collapsed="false">
      <c r="A250" s="30" t="s">
        <v>375</v>
      </c>
      <c r="B250" s="31" t="s">
        <v>376</v>
      </c>
      <c r="C250" s="30" t="s">
        <v>246</v>
      </c>
      <c r="D250" s="32" t="n">
        <f aca="false">SUMIF('Libro Diario'!$C$5:$C$504,A250,'Libro Diario'!$F$5:$F$504)</f>
        <v>0</v>
      </c>
      <c r="E250" s="32" t="n">
        <f aca="false">SUMIF('Libro Diario'!$C$5:$C$504,A250,'Libro Diario'!$G$5:$G$504)</f>
        <v>0</v>
      </c>
      <c r="F250" s="32" t="n">
        <f aca="false">IF(D250&gt;=E250,D250-E250,0)</f>
        <v>0</v>
      </c>
      <c r="G250" s="32" t="n">
        <f aca="false">IF(E250&gt;D250,E250-D250,0)</f>
        <v>0</v>
      </c>
    </row>
    <row r="251" customFormat="false" ht="15" hidden="false" customHeight="true" outlineLevel="0" collapsed="false">
      <c r="A251" s="30" t="s">
        <v>377</v>
      </c>
      <c r="B251" s="31" t="s">
        <v>370</v>
      </c>
      <c r="C251" s="30" t="s">
        <v>246</v>
      </c>
      <c r="D251" s="32" t="n">
        <f aca="false">SUMIF('Libro Diario'!$C$5:$C$504,A251,'Libro Diario'!$F$5:$F$504)</f>
        <v>0</v>
      </c>
      <c r="E251" s="32" t="n">
        <f aca="false">SUMIF('Libro Diario'!$C$5:$C$504,A251,'Libro Diario'!$G$5:$G$504)</f>
        <v>0</v>
      </c>
      <c r="F251" s="32" t="n">
        <f aca="false">IF(D251&gt;=E251,D251-E251,0)</f>
        <v>0</v>
      </c>
      <c r="G251" s="32" t="n">
        <f aca="false">IF(E251&gt;D251,E251-D251,0)</f>
        <v>0</v>
      </c>
    </row>
    <row r="252" customFormat="false" ht="15" hidden="false" customHeight="true" outlineLevel="0" collapsed="false">
      <c r="A252" s="30" t="s">
        <v>378</v>
      </c>
      <c r="B252" s="31" t="s">
        <v>372</v>
      </c>
      <c r="C252" s="30" t="s">
        <v>246</v>
      </c>
      <c r="D252" s="32" t="n">
        <f aca="false">SUMIF('Libro Diario'!$C$5:$C$504,A252,'Libro Diario'!$F$5:$F$504)</f>
        <v>0</v>
      </c>
      <c r="E252" s="32" t="n">
        <f aca="false">SUMIF('Libro Diario'!$C$5:$C$504,A252,'Libro Diario'!$G$5:$G$504)</f>
        <v>0</v>
      </c>
      <c r="F252" s="32" t="n">
        <f aca="false">IF(D252&gt;=E252,D252-E252,0)</f>
        <v>0</v>
      </c>
      <c r="G252" s="32" t="n">
        <f aca="false">IF(E252&gt;D252,E252-D252,0)</f>
        <v>0</v>
      </c>
    </row>
    <row r="253" customFormat="false" ht="15" hidden="false" customHeight="true" outlineLevel="0" collapsed="false">
      <c r="A253" s="30" t="s">
        <v>379</v>
      </c>
      <c r="B253" s="31" t="s">
        <v>374</v>
      </c>
      <c r="C253" s="30" t="s">
        <v>246</v>
      </c>
      <c r="D253" s="32" t="n">
        <f aca="false">SUMIF('Libro Diario'!$C$5:$C$504,A253,'Libro Diario'!$F$5:$F$504)</f>
        <v>0</v>
      </c>
      <c r="E253" s="32" t="n">
        <f aca="false">SUMIF('Libro Diario'!$C$5:$C$504,A253,'Libro Diario'!$G$5:$G$504)</f>
        <v>0</v>
      </c>
      <c r="F253" s="32" t="n">
        <f aca="false">IF(D253&gt;=E253,D253-E253,0)</f>
        <v>0</v>
      </c>
      <c r="G253" s="32" t="n">
        <f aca="false">IF(E253&gt;D253,E253-D253,0)</f>
        <v>0</v>
      </c>
    </row>
    <row r="254" customFormat="false" ht="15" hidden="false" customHeight="true" outlineLevel="0" collapsed="false">
      <c r="A254" s="30" t="s">
        <v>380</v>
      </c>
      <c r="B254" s="31" t="s">
        <v>381</v>
      </c>
      <c r="C254" s="30" t="s">
        <v>246</v>
      </c>
      <c r="D254" s="32" t="n">
        <f aca="false">SUMIF('Libro Diario'!$C$5:$C$504,A254,'Libro Diario'!$F$5:$F$504)</f>
        <v>0</v>
      </c>
      <c r="E254" s="32" t="n">
        <f aca="false">SUMIF('Libro Diario'!$C$5:$C$504,A254,'Libro Diario'!$G$5:$G$504)</f>
        <v>0</v>
      </c>
      <c r="F254" s="32" t="n">
        <f aca="false">IF(D254&gt;=E254,D254-E254,0)</f>
        <v>0</v>
      </c>
      <c r="G254" s="32" t="n">
        <f aca="false">IF(E254&gt;D254,E254-D254,0)</f>
        <v>0</v>
      </c>
    </row>
    <row r="255" customFormat="false" ht="15" hidden="false" customHeight="true" outlineLevel="0" collapsed="false">
      <c r="A255" s="30" t="s">
        <v>382</v>
      </c>
      <c r="B255" s="31" t="s">
        <v>383</v>
      </c>
      <c r="C255" s="30" t="s">
        <v>246</v>
      </c>
      <c r="D255" s="32" t="n">
        <f aca="false">SUMIF('Libro Diario'!$C$5:$C$504,A255,'Libro Diario'!$F$5:$F$504)</f>
        <v>0</v>
      </c>
      <c r="E255" s="32" t="n">
        <f aca="false">SUMIF('Libro Diario'!$C$5:$C$504,A255,'Libro Diario'!$G$5:$G$504)</f>
        <v>0</v>
      </c>
      <c r="F255" s="32" t="n">
        <f aca="false">IF(D255&gt;=E255,D255-E255,0)</f>
        <v>0</v>
      </c>
      <c r="G255" s="32" t="n">
        <f aca="false">IF(E255&gt;D255,E255-D255,0)</f>
        <v>0</v>
      </c>
    </row>
    <row r="256" customFormat="false" ht="15" hidden="false" customHeight="true" outlineLevel="0" collapsed="false">
      <c r="A256" s="30" t="s">
        <v>384</v>
      </c>
      <c r="B256" s="31" t="s">
        <v>385</v>
      </c>
      <c r="C256" s="30" t="s">
        <v>246</v>
      </c>
      <c r="D256" s="32" t="n">
        <f aca="false">SUMIF('Libro Diario'!$C$5:$C$504,A256,'Libro Diario'!$F$5:$F$504)</f>
        <v>0</v>
      </c>
      <c r="E256" s="32" t="n">
        <f aca="false">SUMIF('Libro Diario'!$C$5:$C$504,A256,'Libro Diario'!$G$5:$G$504)</f>
        <v>0</v>
      </c>
      <c r="F256" s="32" t="n">
        <f aca="false">IF(D256&gt;=E256,D256-E256,0)</f>
        <v>0</v>
      </c>
      <c r="G256" s="32" t="n">
        <f aca="false">IF(E256&gt;D256,E256-D256,0)</f>
        <v>0</v>
      </c>
    </row>
    <row r="257" customFormat="false" ht="15" hidden="false" customHeight="true" outlineLevel="0" collapsed="false">
      <c r="A257" s="30" t="s">
        <v>386</v>
      </c>
      <c r="B257" s="31" t="s">
        <v>387</v>
      </c>
      <c r="C257" s="30" t="s">
        <v>246</v>
      </c>
      <c r="D257" s="32" t="n">
        <f aca="false">SUMIF('Libro Diario'!$C$5:$C$504,A257,'Libro Diario'!$F$5:$F$504)</f>
        <v>0</v>
      </c>
      <c r="E257" s="32" t="n">
        <f aca="false">SUMIF('Libro Diario'!$C$5:$C$504,A257,'Libro Diario'!$G$5:$G$504)</f>
        <v>0</v>
      </c>
      <c r="F257" s="32" t="n">
        <f aca="false">IF(D257&gt;=E257,D257-E257,0)</f>
        <v>0</v>
      </c>
      <c r="G257" s="32" t="n">
        <f aca="false">IF(E257&gt;D257,E257-D257,0)</f>
        <v>0</v>
      </c>
    </row>
    <row r="258" customFormat="false" ht="15" hidden="false" customHeight="true" outlineLevel="0" collapsed="false">
      <c r="A258" s="30" t="s">
        <v>388</v>
      </c>
      <c r="B258" s="31" t="s">
        <v>389</v>
      </c>
      <c r="C258" s="30" t="s">
        <v>246</v>
      </c>
      <c r="D258" s="32" t="n">
        <f aca="false">SUMIF('Libro Diario'!$C$5:$C$504,A258,'Libro Diario'!$F$5:$F$504)</f>
        <v>0</v>
      </c>
      <c r="E258" s="32" t="n">
        <f aca="false">SUMIF('Libro Diario'!$C$5:$C$504,A258,'Libro Diario'!$G$5:$G$504)</f>
        <v>0</v>
      </c>
      <c r="F258" s="32" t="n">
        <f aca="false">IF(D258&gt;=E258,D258-E258,0)</f>
        <v>0</v>
      </c>
      <c r="G258" s="32" t="n">
        <f aca="false">IF(E258&gt;D258,E258-D258,0)</f>
        <v>0</v>
      </c>
    </row>
    <row r="259" customFormat="false" ht="15" hidden="false" customHeight="true" outlineLevel="0" collapsed="false">
      <c r="A259" s="30" t="s">
        <v>390</v>
      </c>
      <c r="B259" s="31" t="s">
        <v>391</v>
      </c>
      <c r="C259" s="30" t="s">
        <v>246</v>
      </c>
      <c r="D259" s="32" t="n">
        <f aca="false">SUMIF('Libro Diario'!$C$5:$C$504,A259,'Libro Diario'!$F$5:$F$504)</f>
        <v>0</v>
      </c>
      <c r="E259" s="32" t="n">
        <f aca="false">SUMIF('Libro Diario'!$C$5:$C$504,A259,'Libro Diario'!$G$5:$G$504)</f>
        <v>0</v>
      </c>
      <c r="F259" s="32" t="n">
        <f aca="false">IF(D259&gt;=E259,D259-E259,0)</f>
        <v>0</v>
      </c>
      <c r="G259" s="32" t="n">
        <f aca="false">IF(E259&gt;D259,E259-D259,0)</f>
        <v>0</v>
      </c>
    </row>
    <row r="260" customFormat="false" ht="15" hidden="false" customHeight="true" outlineLevel="0" collapsed="false">
      <c r="A260" s="30" t="s">
        <v>392</v>
      </c>
      <c r="B260" s="31" t="s">
        <v>393</v>
      </c>
      <c r="C260" s="30" t="s">
        <v>246</v>
      </c>
      <c r="D260" s="32" t="n">
        <f aca="false">SUMIF('Libro Diario'!$C$5:$C$504,A260,'Libro Diario'!$F$5:$F$504)</f>
        <v>0</v>
      </c>
      <c r="E260" s="32" t="n">
        <f aca="false">SUMIF('Libro Diario'!$C$5:$C$504,A260,'Libro Diario'!$G$5:$G$504)</f>
        <v>0</v>
      </c>
      <c r="F260" s="32" t="n">
        <f aca="false">IF(D260&gt;=E260,D260-E260,0)</f>
        <v>0</v>
      </c>
      <c r="G260" s="32" t="n">
        <f aca="false">IF(E260&gt;D260,E260-D260,0)</f>
        <v>0</v>
      </c>
    </row>
    <row r="261" customFormat="false" ht="15" hidden="false" customHeight="true" outlineLevel="0" collapsed="false">
      <c r="A261" s="30" t="s">
        <v>394</v>
      </c>
      <c r="B261" s="31" t="s">
        <v>395</v>
      </c>
      <c r="C261" s="30" t="s">
        <v>246</v>
      </c>
      <c r="D261" s="32" t="n">
        <f aca="false">SUMIF('Libro Diario'!$C$5:$C$504,A261,'Libro Diario'!$F$5:$F$504)</f>
        <v>0</v>
      </c>
      <c r="E261" s="32" t="n">
        <f aca="false">SUMIF('Libro Diario'!$C$5:$C$504,A261,'Libro Diario'!$G$5:$G$504)</f>
        <v>0</v>
      </c>
      <c r="F261" s="32" t="n">
        <f aca="false">IF(D261&gt;=E261,D261-E261,0)</f>
        <v>0</v>
      </c>
      <c r="G261" s="32" t="n">
        <f aca="false">IF(E261&gt;D261,E261-D261,0)</f>
        <v>0</v>
      </c>
    </row>
    <row r="262" customFormat="false" ht="15" hidden="false" customHeight="true" outlineLevel="0" collapsed="false">
      <c r="A262" s="30" t="s">
        <v>396</v>
      </c>
      <c r="B262" s="31" t="s">
        <v>397</v>
      </c>
      <c r="C262" s="30" t="s">
        <v>246</v>
      </c>
      <c r="D262" s="32" t="n">
        <f aca="false">SUMIF('Libro Diario'!$C$5:$C$504,A262,'Libro Diario'!$F$5:$F$504)</f>
        <v>0</v>
      </c>
      <c r="E262" s="32" t="n">
        <f aca="false">SUMIF('Libro Diario'!$C$5:$C$504,A262,'Libro Diario'!$G$5:$G$504)</f>
        <v>0</v>
      </c>
      <c r="F262" s="32" t="n">
        <f aca="false">IF(D262&gt;=E262,D262-E262,0)</f>
        <v>0</v>
      </c>
      <c r="G262" s="32" t="n">
        <f aca="false">IF(E262&gt;D262,E262-D262,0)</f>
        <v>0</v>
      </c>
    </row>
    <row r="263" customFormat="false" ht="15" hidden="false" customHeight="true" outlineLevel="0" collapsed="false">
      <c r="A263" s="30" t="s">
        <v>398</v>
      </c>
      <c r="B263" s="31" t="s">
        <v>399</v>
      </c>
      <c r="C263" s="30" t="s">
        <v>246</v>
      </c>
      <c r="D263" s="32" t="n">
        <f aca="false">SUMIF('Libro Diario'!$C$5:$C$504,A263,'Libro Diario'!$F$5:$F$504)</f>
        <v>0</v>
      </c>
      <c r="E263" s="32" t="n">
        <f aca="false">SUMIF('Libro Diario'!$C$5:$C$504,A263,'Libro Diario'!$G$5:$G$504)</f>
        <v>0</v>
      </c>
      <c r="F263" s="32" t="n">
        <f aca="false">IF(D263&gt;=E263,D263-E263,0)</f>
        <v>0</v>
      </c>
      <c r="G263" s="32" t="n">
        <f aca="false">IF(E263&gt;D263,E263-D263,0)</f>
        <v>0</v>
      </c>
    </row>
    <row r="264" customFormat="false" ht="15" hidden="false" customHeight="true" outlineLevel="0" collapsed="false">
      <c r="A264" s="30" t="s">
        <v>400</v>
      </c>
      <c r="B264" s="31" t="s">
        <v>401</v>
      </c>
      <c r="C264" s="30" t="s">
        <v>246</v>
      </c>
      <c r="D264" s="32" t="n">
        <f aca="false">SUMIF('Libro Diario'!$C$5:$C$504,A264,'Libro Diario'!$F$5:$F$504)</f>
        <v>0</v>
      </c>
      <c r="E264" s="32" t="n">
        <f aca="false">SUMIF('Libro Diario'!$C$5:$C$504,A264,'Libro Diario'!$G$5:$G$504)</f>
        <v>0</v>
      </c>
      <c r="F264" s="32" t="n">
        <f aca="false">IF(D264&gt;=E264,D264-E264,0)</f>
        <v>0</v>
      </c>
      <c r="G264" s="32" t="n">
        <f aca="false">IF(E264&gt;D264,E264-D264,0)</f>
        <v>0</v>
      </c>
    </row>
    <row r="265" customFormat="false" ht="15" hidden="false" customHeight="true" outlineLevel="0" collapsed="false">
      <c r="A265" s="30" t="s">
        <v>402</v>
      </c>
      <c r="B265" s="31" t="s">
        <v>403</v>
      </c>
      <c r="C265" s="30" t="s">
        <v>246</v>
      </c>
      <c r="D265" s="32" t="n">
        <f aca="false">SUMIF('Libro Diario'!$C$5:$C$504,A265,'Libro Diario'!$F$5:$F$504)</f>
        <v>0</v>
      </c>
      <c r="E265" s="32" t="n">
        <f aca="false">SUMIF('Libro Diario'!$C$5:$C$504,A265,'Libro Diario'!$G$5:$G$504)</f>
        <v>0</v>
      </c>
      <c r="F265" s="32" t="n">
        <f aca="false">IF(D265&gt;=E265,D265-E265,0)</f>
        <v>0</v>
      </c>
      <c r="G265" s="32" t="n">
        <f aca="false">IF(E265&gt;D265,E265-D265,0)</f>
        <v>0</v>
      </c>
    </row>
    <row r="266" customFormat="false" ht="15" hidden="false" customHeight="true" outlineLevel="0" collapsed="false">
      <c r="A266" s="30" t="s">
        <v>404</v>
      </c>
      <c r="B266" s="31" t="s">
        <v>405</v>
      </c>
      <c r="C266" s="30" t="s">
        <v>246</v>
      </c>
      <c r="D266" s="32" t="n">
        <f aca="false">SUMIF('Libro Diario'!$C$5:$C$504,A266,'Libro Diario'!$F$5:$F$504)</f>
        <v>0</v>
      </c>
      <c r="E266" s="32" t="n">
        <f aca="false">SUMIF('Libro Diario'!$C$5:$C$504,A266,'Libro Diario'!$G$5:$G$504)</f>
        <v>0</v>
      </c>
      <c r="F266" s="32" t="n">
        <f aca="false">IF(D266&gt;=E266,D266-E266,0)</f>
        <v>0</v>
      </c>
      <c r="G266" s="32" t="n">
        <f aca="false">IF(E266&gt;D266,E266-D266,0)</f>
        <v>0</v>
      </c>
    </row>
    <row r="267" customFormat="false" ht="15" hidden="false" customHeight="true" outlineLevel="0" collapsed="false">
      <c r="A267" s="30" t="s">
        <v>406</v>
      </c>
      <c r="B267" s="31" t="s">
        <v>407</v>
      </c>
      <c r="C267" s="30" t="s">
        <v>246</v>
      </c>
      <c r="D267" s="32" t="n">
        <f aca="false">SUMIF('Libro Diario'!$C$5:$C$504,A267,'Libro Diario'!$F$5:$F$504)</f>
        <v>0</v>
      </c>
      <c r="E267" s="32" t="n">
        <f aca="false">SUMIF('Libro Diario'!$C$5:$C$504,A267,'Libro Diario'!$G$5:$G$504)</f>
        <v>0</v>
      </c>
      <c r="F267" s="32" t="n">
        <f aca="false">IF(D267&gt;=E267,D267-E267,0)</f>
        <v>0</v>
      </c>
      <c r="G267" s="32" t="n">
        <f aca="false">IF(E267&gt;D267,E267-D267,0)</f>
        <v>0</v>
      </c>
    </row>
    <row r="268" customFormat="false" ht="15" hidden="false" customHeight="true" outlineLevel="0" collapsed="false">
      <c r="A268" s="30" t="s">
        <v>408</v>
      </c>
      <c r="B268" s="31" t="s">
        <v>409</v>
      </c>
      <c r="C268" s="30" t="s">
        <v>246</v>
      </c>
      <c r="D268" s="32" t="n">
        <f aca="false">SUMIF('Libro Diario'!$C$5:$C$504,A268,'Libro Diario'!$F$5:$F$504)</f>
        <v>0</v>
      </c>
      <c r="E268" s="32" t="n">
        <f aca="false">SUMIF('Libro Diario'!$C$5:$C$504,A268,'Libro Diario'!$G$5:$G$504)</f>
        <v>0</v>
      </c>
      <c r="F268" s="32" t="n">
        <f aca="false">IF(D268&gt;=E268,D268-E268,0)</f>
        <v>0</v>
      </c>
      <c r="G268" s="32" t="n">
        <f aca="false">IF(E268&gt;D268,E268-D268,0)</f>
        <v>0</v>
      </c>
    </row>
    <row r="269" customFormat="false" ht="15" hidden="false" customHeight="true" outlineLevel="0" collapsed="false">
      <c r="A269" s="30" t="s">
        <v>410</v>
      </c>
      <c r="B269" s="31" t="s">
        <v>411</v>
      </c>
      <c r="C269" s="30" t="s">
        <v>246</v>
      </c>
      <c r="D269" s="32" t="n">
        <f aca="false">SUMIF('Libro Diario'!$C$5:$C$504,A269,'Libro Diario'!$F$5:$F$504)</f>
        <v>0</v>
      </c>
      <c r="E269" s="32" t="n">
        <f aca="false">SUMIF('Libro Diario'!$C$5:$C$504,A269,'Libro Diario'!$G$5:$G$504)</f>
        <v>0</v>
      </c>
      <c r="F269" s="32" t="n">
        <f aca="false">IF(D269&gt;=E269,D269-E269,0)</f>
        <v>0</v>
      </c>
      <c r="G269" s="32" t="n">
        <f aca="false">IF(E269&gt;D269,E269-D269,0)</f>
        <v>0</v>
      </c>
    </row>
    <row r="270" customFormat="false" ht="15" hidden="false" customHeight="true" outlineLevel="0" collapsed="false">
      <c r="A270" s="30" t="s">
        <v>412</v>
      </c>
      <c r="B270" s="31" t="s">
        <v>413</v>
      </c>
      <c r="C270" s="30" t="s">
        <v>246</v>
      </c>
      <c r="D270" s="32" t="n">
        <f aca="false">SUMIF('Libro Diario'!$C$5:$C$504,A270,'Libro Diario'!$F$5:$F$504)</f>
        <v>0</v>
      </c>
      <c r="E270" s="32" t="n">
        <f aca="false">SUMIF('Libro Diario'!$C$5:$C$504,A270,'Libro Diario'!$G$5:$G$504)</f>
        <v>0</v>
      </c>
      <c r="F270" s="32" t="n">
        <f aca="false">IF(D270&gt;=E270,D270-E270,0)</f>
        <v>0</v>
      </c>
      <c r="G270" s="32" t="n">
        <f aca="false">IF(E270&gt;D270,E270-D270,0)</f>
        <v>0</v>
      </c>
    </row>
    <row r="271" customFormat="false" ht="15" hidden="false" customHeight="true" outlineLevel="0" collapsed="false">
      <c r="A271" s="30" t="s">
        <v>414</v>
      </c>
      <c r="B271" s="31" t="s">
        <v>66</v>
      </c>
      <c r="C271" s="30" t="s">
        <v>246</v>
      </c>
      <c r="D271" s="32" t="n">
        <f aca="false">SUMIF('Libro Diario'!$C$5:$C$504,A271,'Libro Diario'!$F$5:$F$504)</f>
        <v>0</v>
      </c>
      <c r="E271" s="32" t="n">
        <f aca="false">SUMIF('Libro Diario'!$C$5:$C$504,A271,'Libro Diario'!$G$5:$G$504)</f>
        <v>0</v>
      </c>
      <c r="F271" s="32" t="n">
        <f aca="false">IF(D271&gt;=E271,D271-E271,0)</f>
        <v>0</v>
      </c>
      <c r="G271" s="32" t="n">
        <f aca="false">IF(E271&gt;D271,E271-D271,0)</f>
        <v>0</v>
      </c>
    </row>
    <row r="272" customFormat="false" ht="15" hidden="false" customHeight="true" outlineLevel="0" collapsed="false">
      <c r="A272" s="30" t="s">
        <v>415</v>
      </c>
      <c r="B272" s="31" t="s">
        <v>66</v>
      </c>
      <c r="C272" s="30" t="s">
        <v>246</v>
      </c>
      <c r="D272" s="32" t="n">
        <f aca="false">SUMIF('Libro Diario'!$C$5:$C$504,A272,'Libro Diario'!$F$5:$F$504)</f>
        <v>0</v>
      </c>
      <c r="E272" s="32" t="n">
        <f aca="false">SUMIF('Libro Diario'!$C$5:$C$504,A272,'Libro Diario'!$G$5:$G$504)</f>
        <v>0</v>
      </c>
      <c r="F272" s="32" t="n">
        <f aca="false">IF(D272&gt;=E272,D272-E272,0)</f>
        <v>0</v>
      </c>
      <c r="G272" s="32" t="n">
        <f aca="false">IF(E272&gt;D272,E272-D272,0)</f>
        <v>0</v>
      </c>
    </row>
    <row r="273" customFormat="false" ht="15" hidden="false" customHeight="true" outlineLevel="0" collapsed="false">
      <c r="A273" s="30" t="s">
        <v>416</v>
      </c>
      <c r="B273" s="31" t="s">
        <v>250</v>
      </c>
      <c r="C273" s="30" t="s">
        <v>246</v>
      </c>
      <c r="D273" s="32" t="n">
        <f aca="false">SUMIF('Libro Diario'!$C$5:$C$504,A273,'Libro Diario'!$F$5:$F$504)</f>
        <v>0</v>
      </c>
      <c r="E273" s="32" t="n">
        <f aca="false">SUMIF('Libro Diario'!$C$5:$C$504,A273,'Libro Diario'!$G$5:$G$504)</f>
        <v>0</v>
      </c>
      <c r="F273" s="32" t="n">
        <f aca="false">IF(D273&gt;=E273,D273-E273,0)</f>
        <v>0</v>
      </c>
      <c r="G273" s="32" t="n">
        <f aca="false">IF(E273&gt;D273,E273-D273,0)</f>
        <v>0</v>
      </c>
    </row>
    <row r="274" customFormat="false" ht="15" hidden="false" customHeight="true" outlineLevel="0" collapsed="false">
      <c r="A274" s="30" t="s">
        <v>417</v>
      </c>
      <c r="B274" s="31" t="s">
        <v>66</v>
      </c>
      <c r="C274" s="30" t="s">
        <v>246</v>
      </c>
      <c r="D274" s="32" t="n">
        <f aca="false">SUMIF('Libro Diario'!$C$5:$C$504,A274,'Libro Diario'!$F$5:$F$504)</f>
        <v>0</v>
      </c>
      <c r="E274" s="32" t="n">
        <f aca="false">SUMIF('Libro Diario'!$C$5:$C$504,A274,'Libro Diario'!$G$5:$G$504)</f>
        <v>0</v>
      </c>
      <c r="F274" s="32" t="n">
        <f aca="false">IF(D274&gt;=E274,D274-E274,0)</f>
        <v>0</v>
      </c>
      <c r="G274" s="32" t="n">
        <f aca="false">IF(E274&gt;D274,E274-D274,0)</f>
        <v>0</v>
      </c>
    </row>
    <row r="275" customFormat="false" ht="15" hidden="false" customHeight="true" outlineLevel="0" collapsed="false">
      <c r="A275" s="30" t="s">
        <v>418</v>
      </c>
      <c r="B275" s="31" t="s">
        <v>254</v>
      </c>
      <c r="C275" s="30" t="s">
        <v>246</v>
      </c>
      <c r="D275" s="32" t="n">
        <f aca="false">SUMIF('Libro Diario'!$C$5:$C$504,A275,'Libro Diario'!$F$5:$F$504)</f>
        <v>0</v>
      </c>
      <c r="E275" s="32" t="n">
        <f aca="false">SUMIF('Libro Diario'!$C$5:$C$504,A275,'Libro Diario'!$G$5:$G$504)</f>
        <v>0</v>
      </c>
      <c r="F275" s="32" t="n">
        <f aca="false">IF(D275&gt;=E275,D275-E275,0)</f>
        <v>0</v>
      </c>
      <c r="G275" s="32" t="n">
        <f aca="false">IF(E275&gt;D275,E275-D275,0)</f>
        <v>0</v>
      </c>
    </row>
    <row r="276" customFormat="false" ht="15" hidden="false" customHeight="true" outlineLevel="0" collapsed="false">
      <c r="A276" s="30" t="s">
        <v>419</v>
      </c>
      <c r="B276" s="31" t="s">
        <v>256</v>
      </c>
      <c r="C276" s="30" t="s">
        <v>246</v>
      </c>
      <c r="D276" s="32" t="n">
        <f aca="false">SUMIF('Libro Diario'!$C$5:$C$504,A276,'Libro Diario'!$F$5:$F$504)</f>
        <v>0</v>
      </c>
      <c r="E276" s="32" t="n">
        <f aca="false">SUMIF('Libro Diario'!$C$5:$C$504,A276,'Libro Diario'!$G$5:$G$504)</f>
        <v>0</v>
      </c>
      <c r="F276" s="32" t="n">
        <f aca="false">IF(D276&gt;=E276,D276-E276,0)</f>
        <v>0</v>
      </c>
      <c r="G276" s="32" t="n">
        <f aca="false">IF(E276&gt;D276,E276-D276,0)</f>
        <v>0</v>
      </c>
    </row>
    <row r="277" customFormat="false" ht="15" hidden="false" customHeight="true" outlineLevel="0" collapsed="false">
      <c r="A277" s="30" t="s">
        <v>420</v>
      </c>
      <c r="B277" s="31" t="s">
        <v>66</v>
      </c>
      <c r="C277" s="30" t="s">
        <v>246</v>
      </c>
      <c r="D277" s="32" t="n">
        <f aca="false">SUMIF('Libro Diario'!$C$5:$C$504,A277,'Libro Diario'!$F$5:$F$504)</f>
        <v>0</v>
      </c>
      <c r="E277" s="32" t="n">
        <f aca="false">SUMIF('Libro Diario'!$C$5:$C$504,A277,'Libro Diario'!$G$5:$G$504)</f>
        <v>0</v>
      </c>
      <c r="F277" s="32" t="n">
        <f aca="false">IF(D277&gt;=E277,D277-E277,0)</f>
        <v>0</v>
      </c>
      <c r="G277" s="32" t="n">
        <f aca="false">IF(E277&gt;D277,E277-D277,0)</f>
        <v>0</v>
      </c>
    </row>
    <row r="278" customFormat="false" ht="15" hidden="false" customHeight="true" outlineLevel="0" collapsed="false">
      <c r="A278" s="30" t="s">
        <v>421</v>
      </c>
      <c r="B278" s="31" t="s">
        <v>250</v>
      </c>
      <c r="C278" s="30" t="s">
        <v>246</v>
      </c>
      <c r="D278" s="32" t="n">
        <f aca="false">SUMIF('Libro Diario'!$C$5:$C$504,A278,'Libro Diario'!$F$5:$F$504)</f>
        <v>0</v>
      </c>
      <c r="E278" s="32" t="n">
        <f aca="false">SUMIF('Libro Diario'!$C$5:$C$504,A278,'Libro Diario'!$G$5:$G$504)</f>
        <v>0</v>
      </c>
      <c r="F278" s="32" t="n">
        <f aca="false">IF(D278&gt;=E278,D278-E278,0)</f>
        <v>0</v>
      </c>
      <c r="G278" s="32" t="n">
        <f aca="false">IF(E278&gt;D278,E278-D278,0)</f>
        <v>0</v>
      </c>
    </row>
    <row r="279" customFormat="false" ht="15" hidden="false" customHeight="true" outlineLevel="0" collapsed="false">
      <c r="A279" s="30" t="s">
        <v>422</v>
      </c>
      <c r="B279" s="31" t="s">
        <v>423</v>
      </c>
      <c r="C279" s="30" t="s">
        <v>246</v>
      </c>
      <c r="D279" s="32" t="n">
        <f aca="false">SUMIF('Libro Diario'!$C$5:$C$504,A279,'Libro Diario'!$F$5:$F$504)</f>
        <v>0</v>
      </c>
      <c r="E279" s="32" t="n">
        <f aca="false">SUMIF('Libro Diario'!$C$5:$C$504,A279,'Libro Diario'!$G$5:$G$504)</f>
        <v>0</v>
      </c>
      <c r="F279" s="32" t="n">
        <f aca="false">IF(D279&gt;=E279,D279-E279,0)</f>
        <v>0</v>
      </c>
      <c r="G279" s="32" t="n">
        <f aca="false">IF(E279&gt;D279,E279-D279,0)</f>
        <v>0</v>
      </c>
    </row>
    <row r="280" customFormat="false" ht="15" hidden="false" customHeight="true" outlineLevel="0" collapsed="false">
      <c r="A280" s="30" t="s">
        <v>424</v>
      </c>
      <c r="B280" s="31" t="s">
        <v>66</v>
      </c>
      <c r="C280" s="30" t="s">
        <v>246</v>
      </c>
      <c r="D280" s="32" t="n">
        <f aca="false">SUMIF('Libro Diario'!$C$5:$C$504,A280,'Libro Diario'!$F$5:$F$504)</f>
        <v>0</v>
      </c>
      <c r="E280" s="32" t="n">
        <f aca="false">SUMIF('Libro Diario'!$C$5:$C$504,A280,'Libro Diario'!$G$5:$G$504)</f>
        <v>0</v>
      </c>
      <c r="F280" s="32" t="n">
        <f aca="false">IF(D280&gt;=E280,D280-E280,0)</f>
        <v>0</v>
      </c>
      <c r="G280" s="32" t="n">
        <f aca="false">IF(E280&gt;D280,E280-D280,0)</f>
        <v>0</v>
      </c>
    </row>
    <row r="281" customFormat="false" ht="15" hidden="false" customHeight="true" outlineLevel="0" collapsed="false">
      <c r="A281" s="30" t="s">
        <v>425</v>
      </c>
      <c r="B281" s="31" t="s">
        <v>263</v>
      </c>
      <c r="C281" s="30" t="s">
        <v>246</v>
      </c>
      <c r="D281" s="32" t="n">
        <f aca="false">SUMIF('Libro Diario'!$C$5:$C$504,A281,'Libro Diario'!$F$5:$F$504)</f>
        <v>0</v>
      </c>
      <c r="E281" s="32" t="n">
        <f aca="false">SUMIF('Libro Diario'!$C$5:$C$504,A281,'Libro Diario'!$G$5:$G$504)</f>
        <v>0</v>
      </c>
      <c r="F281" s="32" t="n">
        <f aca="false">IF(D281&gt;=E281,D281-E281,0)</f>
        <v>0</v>
      </c>
      <c r="G281" s="32" t="n">
        <f aca="false">IF(E281&gt;D281,E281-D281,0)</f>
        <v>0</v>
      </c>
    </row>
    <row r="282" customFormat="false" ht="15" hidden="false" customHeight="true" outlineLevel="0" collapsed="false">
      <c r="A282" s="30" t="s">
        <v>426</v>
      </c>
      <c r="B282" s="31" t="s">
        <v>427</v>
      </c>
      <c r="C282" s="30" t="s">
        <v>246</v>
      </c>
      <c r="D282" s="32" t="n">
        <f aca="false">SUMIF('Libro Diario'!$C$5:$C$504,A282,'Libro Diario'!$F$5:$F$504)</f>
        <v>0</v>
      </c>
      <c r="E282" s="32" t="n">
        <f aca="false">SUMIF('Libro Diario'!$C$5:$C$504,A282,'Libro Diario'!$G$5:$G$504)</f>
        <v>0</v>
      </c>
      <c r="F282" s="32" t="n">
        <f aca="false">IF(D282&gt;=E282,D282-E282,0)</f>
        <v>0</v>
      </c>
      <c r="G282" s="32" t="n">
        <f aca="false">IF(E282&gt;D282,E282-D282,0)</f>
        <v>0</v>
      </c>
    </row>
    <row r="283" customFormat="false" ht="15" hidden="false" customHeight="true" outlineLevel="0" collapsed="false">
      <c r="A283" s="30" t="s">
        <v>428</v>
      </c>
      <c r="B283" s="31" t="s">
        <v>273</v>
      </c>
      <c r="C283" s="30" t="s">
        <v>246</v>
      </c>
      <c r="D283" s="32" t="n">
        <f aca="false">SUMIF('Libro Diario'!$C$5:$C$504,A283,'Libro Diario'!$F$5:$F$504)</f>
        <v>0</v>
      </c>
      <c r="E283" s="32" t="n">
        <f aca="false">SUMIF('Libro Diario'!$C$5:$C$504,A283,'Libro Diario'!$G$5:$G$504)</f>
        <v>0</v>
      </c>
      <c r="F283" s="32" t="n">
        <f aca="false">IF(D283&gt;=E283,D283-E283,0)</f>
        <v>0</v>
      </c>
      <c r="G283" s="32" t="n">
        <f aca="false">IF(E283&gt;D283,E283-D283,0)</f>
        <v>0</v>
      </c>
    </row>
    <row r="284" customFormat="false" ht="15" hidden="false" customHeight="true" outlineLevel="0" collapsed="false">
      <c r="A284" s="30" t="s">
        <v>429</v>
      </c>
      <c r="B284" s="31" t="s">
        <v>275</v>
      </c>
      <c r="C284" s="30" t="s">
        <v>246</v>
      </c>
      <c r="D284" s="32" t="n">
        <f aca="false">SUMIF('Libro Diario'!$C$5:$C$504,A284,'Libro Diario'!$F$5:$F$504)</f>
        <v>0</v>
      </c>
      <c r="E284" s="32" t="n">
        <f aca="false">SUMIF('Libro Diario'!$C$5:$C$504,A284,'Libro Diario'!$G$5:$G$504)</f>
        <v>0</v>
      </c>
      <c r="F284" s="32" t="n">
        <f aca="false">IF(D284&gt;=E284,D284-E284,0)</f>
        <v>0</v>
      </c>
      <c r="G284" s="32" t="n">
        <f aca="false">IF(E284&gt;D284,E284-D284,0)</f>
        <v>0</v>
      </c>
    </row>
    <row r="285" customFormat="false" ht="15" hidden="false" customHeight="true" outlineLevel="0" collapsed="false">
      <c r="A285" s="30" t="s">
        <v>430</v>
      </c>
      <c r="B285" s="31" t="s">
        <v>277</v>
      </c>
      <c r="C285" s="30" t="s">
        <v>246</v>
      </c>
      <c r="D285" s="32" t="n">
        <f aca="false">SUMIF('Libro Diario'!$C$5:$C$504,A285,'Libro Diario'!$F$5:$F$504)</f>
        <v>0</v>
      </c>
      <c r="E285" s="32" t="n">
        <f aca="false">SUMIF('Libro Diario'!$C$5:$C$504,A285,'Libro Diario'!$G$5:$G$504)</f>
        <v>0</v>
      </c>
      <c r="F285" s="32" t="n">
        <f aca="false">IF(D285&gt;=E285,D285-E285,0)</f>
        <v>0</v>
      </c>
      <c r="G285" s="32" t="n">
        <f aca="false">IF(E285&gt;D285,E285-D285,0)</f>
        <v>0</v>
      </c>
    </row>
    <row r="286" customFormat="false" ht="15" hidden="false" customHeight="true" outlineLevel="0" collapsed="false">
      <c r="A286" s="30" t="s">
        <v>431</v>
      </c>
      <c r="B286" s="31" t="s">
        <v>407</v>
      </c>
      <c r="C286" s="30" t="s">
        <v>246</v>
      </c>
      <c r="D286" s="32" t="n">
        <f aca="false">SUMIF('Libro Diario'!$C$5:$C$504,A286,'Libro Diario'!$F$5:$F$504)</f>
        <v>0</v>
      </c>
      <c r="E286" s="32" t="n">
        <f aca="false">SUMIF('Libro Diario'!$C$5:$C$504,A286,'Libro Diario'!$G$5:$G$504)</f>
        <v>0</v>
      </c>
      <c r="F286" s="32" t="n">
        <f aca="false">IF(D286&gt;=E286,D286-E286,0)</f>
        <v>0</v>
      </c>
      <c r="G286" s="32" t="n">
        <f aca="false">IF(E286&gt;D286,E286-D286,0)</f>
        <v>0</v>
      </c>
    </row>
    <row r="287" customFormat="false" ht="15" hidden="false" customHeight="true" outlineLevel="0" collapsed="false">
      <c r="A287" s="30" t="s">
        <v>432</v>
      </c>
      <c r="B287" s="31" t="s">
        <v>409</v>
      </c>
      <c r="C287" s="30" t="s">
        <v>246</v>
      </c>
      <c r="D287" s="32" t="n">
        <f aca="false">SUMIF('Libro Diario'!$C$5:$C$504,A287,'Libro Diario'!$F$5:$F$504)</f>
        <v>0</v>
      </c>
      <c r="E287" s="32" t="n">
        <f aca="false">SUMIF('Libro Diario'!$C$5:$C$504,A287,'Libro Diario'!$G$5:$G$504)</f>
        <v>0</v>
      </c>
      <c r="F287" s="32" t="n">
        <f aca="false">IF(D287&gt;=E287,D287-E287,0)</f>
        <v>0</v>
      </c>
      <c r="G287" s="32" t="n">
        <f aca="false">IF(E287&gt;D287,E287-D287,0)</f>
        <v>0</v>
      </c>
    </row>
    <row r="288" customFormat="false" ht="15" hidden="false" customHeight="true" outlineLevel="0" collapsed="false">
      <c r="A288" s="30" t="s">
        <v>433</v>
      </c>
      <c r="B288" s="31" t="s">
        <v>411</v>
      </c>
      <c r="C288" s="30" t="s">
        <v>246</v>
      </c>
      <c r="D288" s="32" t="n">
        <f aca="false">SUMIF('Libro Diario'!$C$5:$C$504,A288,'Libro Diario'!$F$5:$F$504)</f>
        <v>0</v>
      </c>
      <c r="E288" s="32" t="n">
        <f aca="false">SUMIF('Libro Diario'!$C$5:$C$504,A288,'Libro Diario'!$G$5:$G$504)</f>
        <v>0</v>
      </c>
      <c r="F288" s="32" t="n">
        <f aca="false">IF(D288&gt;=E288,D288-E288,0)</f>
        <v>0</v>
      </c>
      <c r="G288" s="32" t="n">
        <f aca="false">IF(E288&gt;D288,E288-D288,0)</f>
        <v>0</v>
      </c>
    </row>
    <row r="289" customFormat="false" ht="15" hidden="false" customHeight="true" outlineLevel="0" collapsed="false">
      <c r="A289" s="30" t="s">
        <v>434</v>
      </c>
      <c r="B289" s="31" t="s">
        <v>413</v>
      </c>
      <c r="C289" s="30" t="s">
        <v>246</v>
      </c>
      <c r="D289" s="32" t="n">
        <f aca="false">SUMIF('Libro Diario'!$C$5:$C$504,A289,'Libro Diario'!$F$5:$F$504)</f>
        <v>0</v>
      </c>
      <c r="E289" s="32" t="n">
        <f aca="false">SUMIF('Libro Diario'!$C$5:$C$504,A289,'Libro Diario'!$G$5:$G$504)</f>
        <v>0</v>
      </c>
      <c r="F289" s="32" t="n">
        <f aca="false">IF(D289&gt;=E289,D289-E289,0)</f>
        <v>0</v>
      </c>
      <c r="G289" s="32" t="n">
        <f aca="false">IF(E289&gt;D289,E289-D289,0)</f>
        <v>0</v>
      </c>
    </row>
    <row r="290" customFormat="false" ht="15" hidden="false" customHeight="true" outlineLevel="0" collapsed="false">
      <c r="A290" s="30" t="s">
        <v>435</v>
      </c>
      <c r="B290" s="31" t="s">
        <v>436</v>
      </c>
      <c r="C290" s="30" t="s">
        <v>437</v>
      </c>
      <c r="D290" s="32" t="n">
        <f aca="false">SUMIF('Libro Diario'!$C$5:$C$504,A290,'Libro Diario'!$F$5:$F$504)</f>
        <v>0</v>
      </c>
      <c r="E290" s="32" t="n">
        <f aca="false">SUMIF('Libro Diario'!$C$5:$C$504,A290,'Libro Diario'!$G$5:$G$504)</f>
        <v>0</v>
      </c>
      <c r="F290" s="32" t="n">
        <f aca="false">IF(D290&gt;=E290,D290-E290,0)</f>
        <v>0</v>
      </c>
      <c r="G290" s="32" t="n">
        <f aca="false">IF(E290&gt;D290,E290-D290,0)</f>
        <v>0</v>
      </c>
    </row>
    <row r="291" customFormat="false" ht="15" hidden="false" customHeight="true" outlineLevel="0" collapsed="false">
      <c r="A291" s="30" t="s">
        <v>438</v>
      </c>
      <c r="B291" s="31" t="s">
        <v>66</v>
      </c>
      <c r="C291" s="30" t="s">
        <v>437</v>
      </c>
      <c r="D291" s="32" t="n">
        <f aca="false">SUMIF('Libro Diario'!$C$5:$C$504,A291,'Libro Diario'!$F$5:$F$504)</f>
        <v>0</v>
      </c>
      <c r="E291" s="32" t="n">
        <f aca="false">SUMIF('Libro Diario'!$C$5:$C$504,A291,'Libro Diario'!$G$5:$G$504)</f>
        <v>0</v>
      </c>
      <c r="F291" s="32" t="n">
        <f aca="false">IF(D291&gt;=E291,D291-E291,0)</f>
        <v>0</v>
      </c>
      <c r="G291" s="32" t="n">
        <f aca="false">IF(E291&gt;D291,E291-D291,0)</f>
        <v>0</v>
      </c>
    </row>
    <row r="292" customFormat="false" ht="15" hidden="false" customHeight="true" outlineLevel="0" collapsed="false">
      <c r="A292" s="30" t="s">
        <v>439</v>
      </c>
      <c r="B292" s="31" t="s">
        <v>165</v>
      </c>
      <c r="C292" s="30" t="s">
        <v>437</v>
      </c>
      <c r="D292" s="32" t="n">
        <f aca="false">SUMIF('Libro Diario'!$C$5:$C$504,A292,'Libro Diario'!$F$5:$F$504)</f>
        <v>0</v>
      </c>
      <c r="E292" s="32" t="n">
        <f aca="false">SUMIF('Libro Diario'!$C$5:$C$504,A292,'Libro Diario'!$G$5:$G$504)</f>
        <v>0</v>
      </c>
      <c r="F292" s="32" t="n">
        <f aca="false">IF(D292&gt;=E292,D292-E292,0)</f>
        <v>0</v>
      </c>
      <c r="G292" s="32" t="n">
        <f aca="false">IF(E292&gt;D292,E292-D292,0)</f>
        <v>0</v>
      </c>
    </row>
    <row r="293" customFormat="false" ht="15" hidden="false" customHeight="true" outlineLevel="0" collapsed="false">
      <c r="A293" s="30" t="s">
        <v>440</v>
      </c>
      <c r="B293" s="31" t="s">
        <v>441</v>
      </c>
      <c r="C293" s="30" t="s">
        <v>437</v>
      </c>
      <c r="D293" s="32" t="n">
        <f aca="false">SUMIF('Libro Diario'!$C$5:$C$504,A293,'Libro Diario'!$F$5:$F$504)</f>
        <v>0</v>
      </c>
      <c r="E293" s="32" t="n">
        <f aca="false">SUMIF('Libro Diario'!$C$5:$C$504,A293,'Libro Diario'!$G$5:$G$504)</f>
        <v>0</v>
      </c>
      <c r="F293" s="32" t="n">
        <f aca="false">IF(D293&gt;=E293,D293-E293,0)</f>
        <v>0</v>
      </c>
      <c r="G293" s="32" t="n">
        <f aca="false">IF(E293&gt;D293,E293-D293,0)</f>
        <v>0</v>
      </c>
    </row>
    <row r="294" customFormat="false" ht="15" hidden="false" customHeight="true" outlineLevel="0" collapsed="false">
      <c r="A294" s="30" t="s">
        <v>438</v>
      </c>
      <c r="B294" s="31" t="s">
        <v>66</v>
      </c>
      <c r="C294" s="30" t="s">
        <v>437</v>
      </c>
      <c r="D294" s="32" t="n">
        <f aca="false">SUMIF('Libro Diario'!$C$5:$C$504,A294,'Libro Diario'!$F$5:$F$504)</f>
        <v>0</v>
      </c>
      <c r="E294" s="32" t="n">
        <f aca="false">SUMIF('Libro Diario'!$C$5:$C$504,A294,'Libro Diario'!$G$5:$G$504)</f>
        <v>0</v>
      </c>
      <c r="F294" s="32" t="n">
        <f aca="false">IF(D294&gt;=E294,D294-E294,0)</f>
        <v>0</v>
      </c>
      <c r="G294" s="32" t="n">
        <f aca="false">IF(E294&gt;D294,E294-D294,0)</f>
        <v>0</v>
      </c>
    </row>
    <row r="295" customFormat="false" ht="15" hidden="false" customHeight="true" outlineLevel="0" collapsed="false">
      <c r="A295" s="30" t="s">
        <v>439</v>
      </c>
      <c r="B295" s="31" t="s">
        <v>165</v>
      </c>
      <c r="C295" s="30" t="s">
        <v>437</v>
      </c>
      <c r="D295" s="32" t="n">
        <f aca="false">SUMIF('Libro Diario'!$C$5:$C$504,A295,'Libro Diario'!$F$5:$F$504)</f>
        <v>0</v>
      </c>
      <c r="E295" s="32" t="n">
        <f aca="false">SUMIF('Libro Diario'!$C$5:$C$504,A295,'Libro Diario'!$G$5:$G$504)</f>
        <v>0</v>
      </c>
      <c r="F295" s="32" t="n">
        <f aca="false">IF(D295&gt;=E295,D295-E295,0)</f>
        <v>0</v>
      </c>
      <c r="G295" s="32" t="n">
        <f aca="false">IF(E295&gt;D295,E295-D295,0)</f>
        <v>0</v>
      </c>
    </row>
    <row r="296" customFormat="false" ht="15" hidden="false" customHeight="true" outlineLevel="0" collapsed="false">
      <c r="A296" s="30" t="s">
        <v>442</v>
      </c>
      <c r="B296" s="31" t="s">
        <v>443</v>
      </c>
      <c r="C296" s="30" t="s">
        <v>437</v>
      </c>
      <c r="D296" s="32" t="n">
        <f aca="false">SUMIF('Libro Diario'!$C$5:$C$504,A296,'Libro Diario'!$F$5:$F$504)</f>
        <v>0</v>
      </c>
      <c r="E296" s="32" t="n">
        <f aca="false">SUMIF('Libro Diario'!$C$5:$C$504,A296,'Libro Diario'!$G$5:$G$504)</f>
        <v>0</v>
      </c>
      <c r="F296" s="32" t="n">
        <f aca="false">IF(D296&gt;=E296,D296-E296,0)</f>
        <v>0</v>
      </c>
      <c r="G296" s="32" t="n">
        <f aca="false">IF(E296&gt;D296,E296-D296,0)</f>
        <v>0</v>
      </c>
    </row>
    <row r="297" customFormat="false" ht="15" hidden="false" customHeight="true" outlineLevel="0" collapsed="false">
      <c r="A297" s="30" t="s">
        <v>444</v>
      </c>
      <c r="B297" s="31" t="s">
        <v>66</v>
      </c>
      <c r="C297" s="30" t="s">
        <v>437</v>
      </c>
      <c r="D297" s="32" t="n">
        <f aca="false">SUMIF('Libro Diario'!$C$5:$C$504,A297,'Libro Diario'!$F$5:$F$504)</f>
        <v>0</v>
      </c>
      <c r="E297" s="32" t="n">
        <f aca="false">SUMIF('Libro Diario'!$C$5:$C$504,A297,'Libro Diario'!$G$5:$G$504)</f>
        <v>0</v>
      </c>
      <c r="F297" s="32" t="n">
        <f aca="false">IF(D297&gt;=E297,D297-E297,0)</f>
        <v>0</v>
      </c>
      <c r="G297" s="32" t="n">
        <f aca="false">IF(E297&gt;D297,E297-D297,0)</f>
        <v>0</v>
      </c>
    </row>
    <row r="298" customFormat="false" ht="15" hidden="false" customHeight="true" outlineLevel="0" collapsed="false">
      <c r="A298" s="30" t="s">
        <v>445</v>
      </c>
      <c r="B298" s="31" t="s">
        <v>165</v>
      </c>
      <c r="C298" s="30" t="s">
        <v>437</v>
      </c>
      <c r="D298" s="32" t="n">
        <f aca="false">SUMIF('Libro Diario'!$C$5:$C$504,A298,'Libro Diario'!$F$5:$F$504)</f>
        <v>0</v>
      </c>
      <c r="E298" s="32" t="n">
        <f aca="false">SUMIF('Libro Diario'!$C$5:$C$504,A298,'Libro Diario'!$G$5:$G$504)</f>
        <v>0</v>
      </c>
      <c r="F298" s="32" t="n">
        <f aca="false">IF(D298&gt;=E298,D298-E298,0)</f>
        <v>0</v>
      </c>
      <c r="G298" s="32" t="n">
        <f aca="false">IF(E298&gt;D298,E298-D298,0)</f>
        <v>0</v>
      </c>
    </row>
    <row r="299" customFormat="false" ht="15" hidden="false" customHeight="true" outlineLevel="0" collapsed="false">
      <c r="A299" s="30" t="s">
        <v>446</v>
      </c>
      <c r="B299" s="31" t="s">
        <v>443</v>
      </c>
      <c r="C299" s="30" t="s">
        <v>437</v>
      </c>
      <c r="D299" s="32" t="n">
        <f aca="false">SUMIF('Libro Diario'!$C$5:$C$504,A299,'Libro Diario'!$F$5:$F$504)</f>
        <v>0</v>
      </c>
      <c r="E299" s="32" t="n">
        <f aca="false">SUMIF('Libro Diario'!$C$5:$C$504,A299,'Libro Diario'!$G$5:$G$504)</f>
        <v>0</v>
      </c>
      <c r="F299" s="32" t="n">
        <f aca="false">IF(D299&gt;=E299,D299-E299,0)</f>
        <v>0</v>
      </c>
      <c r="G299" s="32" t="n">
        <f aca="false">IF(E299&gt;D299,E299-D299,0)</f>
        <v>0</v>
      </c>
    </row>
    <row r="300" customFormat="false" ht="15" hidden="false" customHeight="true" outlineLevel="0" collapsed="false">
      <c r="A300" s="30" t="s">
        <v>447</v>
      </c>
      <c r="B300" s="31" t="s">
        <v>66</v>
      </c>
      <c r="C300" s="30" t="s">
        <v>437</v>
      </c>
      <c r="D300" s="32" t="n">
        <f aca="false">SUMIF('Libro Diario'!$C$5:$C$504,A300,'Libro Diario'!$F$5:$F$504)</f>
        <v>0</v>
      </c>
      <c r="E300" s="32" t="n">
        <f aca="false">SUMIF('Libro Diario'!$C$5:$C$504,A300,'Libro Diario'!$G$5:$G$504)</f>
        <v>0</v>
      </c>
      <c r="F300" s="32" t="n">
        <f aca="false">IF(D300&gt;=E300,D300-E300,0)</f>
        <v>0</v>
      </c>
      <c r="G300" s="32" t="n">
        <f aca="false">IF(E300&gt;D300,E300-D300,0)</f>
        <v>0</v>
      </c>
    </row>
    <row r="301" customFormat="false" ht="15" hidden="false" customHeight="true" outlineLevel="0" collapsed="false">
      <c r="A301" s="30" t="s">
        <v>448</v>
      </c>
      <c r="B301" s="31" t="s">
        <v>165</v>
      </c>
      <c r="C301" s="30" t="s">
        <v>437</v>
      </c>
      <c r="D301" s="32" t="n">
        <f aca="false">SUMIF('Libro Diario'!$C$5:$C$504,A301,'Libro Diario'!$F$5:$F$504)</f>
        <v>0</v>
      </c>
      <c r="E301" s="32" t="n">
        <f aca="false">SUMIF('Libro Diario'!$C$5:$C$504,A301,'Libro Diario'!$G$5:$G$504)</f>
        <v>0</v>
      </c>
      <c r="F301" s="32" t="n">
        <f aca="false">IF(D301&gt;=E301,D301-E301,0)</f>
        <v>0</v>
      </c>
      <c r="G301" s="32" t="n">
        <f aca="false">IF(E301&gt;D301,E301-D301,0)</f>
        <v>0</v>
      </c>
    </row>
    <row r="302" customFormat="false" ht="15" hidden="false" customHeight="true" outlineLevel="0" collapsed="false">
      <c r="A302" s="30" t="s">
        <v>449</v>
      </c>
      <c r="B302" s="31" t="s">
        <v>443</v>
      </c>
      <c r="C302" s="30" t="s">
        <v>437</v>
      </c>
      <c r="D302" s="32" t="n">
        <f aca="false">SUMIF('Libro Diario'!$C$5:$C$504,A302,'Libro Diario'!$F$5:$F$504)</f>
        <v>0</v>
      </c>
      <c r="E302" s="32" t="n">
        <f aca="false">SUMIF('Libro Diario'!$C$5:$C$504,A302,'Libro Diario'!$G$5:$G$504)</f>
        <v>0</v>
      </c>
      <c r="F302" s="32" t="n">
        <f aca="false">IF(D302&gt;=E302,D302-E302,0)</f>
        <v>0</v>
      </c>
      <c r="G302" s="32" t="n">
        <f aca="false">IF(E302&gt;D302,E302-D302,0)</f>
        <v>0</v>
      </c>
    </row>
    <row r="303" customFormat="false" ht="15" hidden="false" customHeight="true" outlineLevel="0" collapsed="false">
      <c r="A303" s="30" t="s">
        <v>450</v>
      </c>
      <c r="B303" s="31" t="s">
        <v>66</v>
      </c>
      <c r="C303" s="30" t="s">
        <v>437</v>
      </c>
      <c r="D303" s="32" t="n">
        <f aca="false">SUMIF('Libro Diario'!$C$5:$C$504,A303,'Libro Diario'!$F$5:$F$504)</f>
        <v>0</v>
      </c>
      <c r="E303" s="32" t="n">
        <f aca="false">SUMIF('Libro Diario'!$C$5:$C$504,A303,'Libro Diario'!$G$5:$G$504)</f>
        <v>0</v>
      </c>
      <c r="F303" s="32" t="n">
        <f aca="false">IF(D303&gt;=E303,D303-E303,0)</f>
        <v>0</v>
      </c>
      <c r="G303" s="32" t="n">
        <f aca="false">IF(E303&gt;D303,E303-D303,0)</f>
        <v>0</v>
      </c>
    </row>
    <row r="304" customFormat="false" ht="15" hidden="false" customHeight="true" outlineLevel="0" collapsed="false">
      <c r="A304" s="30" t="s">
        <v>451</v>
      </c>
      <c r="B304" s="31" t="s">
        <v>165</v>
      </c>
      <c r="C304" s="30" t="s">
        <v>437</v>
      </c>
      <c r="D304" s="32" t="n">
        <f aca="false">SUMIF('Libro Diario'!$C$5:$C$504,A304,'Libro Diario'!$F$5:$F$504)</f>
        <v>0</v>
      </c>
      <c r="E304" s="32" t="n">
        <f aca="false">SUMIF('Libro Diario'!$C$5:$C$504,A304,'Libro Diario'!$G$5:$G$504)</f>
        <v>0</v>
      </c>
      <c r="F304" s="32" t="n">
        <f aca="false">IF(D304&gt;=E304,D304-E304,0)</f>
        <v>0</v>
      </c>
      <c r="G304" s="32" t="n">
        <f aca="false">IF(E304&gt;D304,E304-D304,0)</f>
        <v>0</v>
      </c>
    </row>
    <row r="305" customFormat="false" ht="15" hidden="false" customHeight="true" outlineLevel="0" collapsed="false">
      <c r="A305" s="30" t="s">
        <v>452</v>
      </c>
      <c r="B305" s="31" t="s">
        <v>443</v>
      </c>
      <c r="C305" s="30" t="s">
        <v>437</v>
      </c>
      <c r="D305" s="32" t="n">
        <f aca="false">SUMIF('Libro Diario'!$C$5:$C$504,A305,'Libro Diario'!$F$5:$F$504)</f>
        <v>0</v>
      </c>
      <c r="E305" s="32" t="n">
        <f aca="false">SUMIF('Libro Diario'!$C$5:$C$504,A305,'Libro Diario'!$G$5:$G$504)</f>
        <v>0</v>
      </c>
      <c r="F305" s="32" t="n">
        <f aca="false">IF(D305&gt;=E305,D305-E305,0)</f>
        <v>0</v>
      </c>
      <c r="G305" s="32" t="n">
        <f aca="false">IF(E305&gt;D305,E305-D305,0)</f>
        <v>0</v>
      </c>
    </row>
    <row r="306" customFormat="false" ht="15" hidden="false" customHeight="true" outlineLevel="0" collapsed="false">
      <c r="A306" s="30" t="s">
        <v>453</v>
      </c>
      <c r="B306" s="31" t="s">
        <v>66</v>
      </c>
      <c r="C306" s="30" t="s">
        <v>437</v>
      </c>
      <c r="D306" s="32" t="n">
        <f aca="false">SUMIF('Libro Diario'!$C$5:$C$504,A306,'Libro Diario'!$F$5:$F$504)</f>
        <v>0</v>
      </c>
      <c r="E306" s="32" t="n">
        <f aca="false">SUMIF('Libro Diario'!$C$5:$C$504,A306,'Libro Diario'!$G$5:$G$504)</f>
        <v>0</v>
      </c>
      <c r="F306" s="32" t="n">
        <f aca="false">IF(D306&gt;=E306,D306-E306,0)</f>
        <v>0</v>
      </c>
      <c r="G306" s="32" t="n">
        <f aca="false">IF(E306&gt;D306,E306-D306,0)</f>
        <v>0</v>
      </c>
    </row>
    <row r="307" customFormat="false" ht="15" hidden="false" customHeight="true" outlineLevel="0" collapsed="false">
      <c r="A307" s="30" t="s">
        <v>454</v>
      </c>
      <c r="B307" s="31" t="s">
        <v>165</v>
      </c>
      <c r="C307" s="30" t="s">
        <v>437</v>
      </c>
      <c r="D307" s="32" t="n">
        <f aca="false">SUMIF('Libro Diario'!$C$5:$C$504,A307,'Libro Diario'!$F$5:$F$504)</f>
        <v>0</v>
      </c>
      <c r="E307" s="32" t="n">
        <f aca="false">SUMIF('Libro Diario'!$C$5:$C$504,A307,'Libro Diario'!$G$5:$G$504)</f>
        <v>0</v>
      </c>
      <c r="F307" s="32" t="n">
        <f aca="false">IF(D307&gt;=E307,D307-E307,0)</f>
        <v>0</v>
      </c>
      <c r="G307" s="32" t="n">
        <f aca="false">IF(E307&gt;D307,E307-D307,0)</f>
        <v>0</v>
      </c>
    </row>
    <row r="308" customFormat="false" ht="15" hidden="false" customHeight="true" outlineLevel="0" collapsed="false">
      <c r="A308" s="30" t="s">
        <v>455</v>
      </c>
      <c r="B308" s="31" t="s">
        <v>66</v>
      </c>
      <c r="C308" s="30" t="s">
        <v>437</v>
      </c>
      <c r="D308" s="32" t="n">
        <f aca="false">SUMIF('Libro Diario'!$C$5:$C$504,A308,'Libro Diario'!$F$5:$F$504)</f>
        <v>0</v>
      </c>
      <c r="E308" s="32" t="n">
        <f aca="false">SUMIF('Libro Diario'!$C$5:$C$504,A308,'Libro Diario'!$G$5:$G$504)</f>
        <v>0</v>
      </c>
      <c r="F308" s="32" t="n">
        <f aca="false">IF(D308&gt;=E308,D308-E308,0)</f>
        <v>0</v>
      </c>
      <c r="G308" s="32" t="n">
        <f aca="false">IF(E308&gt;D308,E308-D308,0)</f>
        <v>0</v>
      </c>
    </row>
    <row r="309" customFormat="false" ht="15" hidden="false" customHeight="true" outlineLevel="0" collapsed="false">
      <c r="A309" s="30" t="s">
        <v>456</v>
      </c>
      <c r="B309" s="31" t="s">
        <v>165</v>
      </c>
      <c r="C309" s="30" t="s">
        <v>437</v>
      </c>
      <c r="D309" s="32" t="n">
        <f aca="false">SUMIF('Libro Diario'!$C$5:$C$504,A309,'Libro Diario'!$F$5:$F$504)</f>
        <v>0</v>
      </c>
      <c r="E309" s="32" t="n">
        <f aca="false">SUMIF('Libro Diario'!$C$5:$C$504,A309,'Libro Diario'!$G$5:$G$504)</f>
        <v>0</v>
      </c>
      <c r="F309" s="32" t="n">
        <f aca="false">IF(D309&gt;=E309,D309-E309,0)</f>
        <v>0</v>
      </c>
      <c r="G309" s="32" t="n">
        <f aca="false">IF(E309&gt;D309,E309-D309,0)</f>
        <v>0</v>
      </c>
    </row>
    <row r="310" customFormat="false" ht="15" hidden="false" customHeight="true" outlineLevel="0" collapsed="false">
      <c r="A310" s="30" t="s">
        <v>457</v>
      </c>
      <c r="B310" s="31" t="s">
        <v>66</v>
      </c>
      <c r="C310" s="30" t="s">
        <v>437</v>
      </c>
      <c r="D310" s="32" t="n">
        <f aca="false">SUMIF('Libro Diario'!$C$5:$C$504,A310,'Libro Diario'!$F$5:$F$504)</f>
        <v>0</v>
      </c>
      <c r="E310" s="32" t="n">
        <f aca="false">SUMIF('Libro Diario'!$C$5:$C$504,A310,'Libro Diario'!$G$5:$G$504)</f>
        <v>0</v>
      </c>
      <c r="F310" s="32" t="n">
        <f aca="false">IF(D310&gt;=E310,D310-E310,0)</f>
        <v>0</v>
      </c>
      <c r="G310" s="32" t="n">
        <f aca="false">IF(E310&gt;D310,E310-D310,0)</f>
        <v>0</v>
      </c>
    </row>
    <row r="311" customFormat="false" ht="15" hidden="false" customHeight="true" outlineLevel="0" collapsed="false">
      <c r="A311" s="30" t="s">
        <v>458</v>
      </c>
      <c r="B311" s="31" t="s">
        <v>165</v>
      </c>
      <c r="C311" s="30" t="s">
        <v>437</v>
      </c>
      <c r="D311" s="32" t="n">
        <f aca="false">SUMIF('Libro Diario'!$C$5:$C$504,A311,'Libro Diario'!$F$5:$F$504)</f>
        <v>0</v>
      </c>
      <c r="E311" s="32" t="n">
        <f aca="false">SUMIF('Libro Diario'!$C$5:$C$504,A311,'Libro Diario'!$G$5:$G$504)</f>
        <v>0</v>
      </c>
      <c r="F311" s="32" t="n">
        <f aca="false">IF(D311&gt;=E311,D311-E311,0)</f>
        <v>0</v>
      </c>
      <c r="G311" s="32" t="n">
        <f aca="false">IF(E311&gt;D311,E311-D311,0)</f>
        <v>0</v>
      </c>
    </row>
    <row r="312" customFormat="false" ht="15" hidden="false" customHeight="true" outlineLevel="0" collapsed="false">
      <c r="A312" s="30" t="s">
        <v>459</v>
      </c>
      <c r="B312" s="31" t="s">
        <v>443</v>
      </c>
      <c r="C312" s="30" t="s">
        <v>437</v>
      </c>
      <c r="D312" s="32" t="n">
        <f aca="false">SUMIF('Libro Diario'!$C$5:$C$504,A312,'Libro Diario'!$F$5:$F$504)</f>
        <v>0</v>
      </c>
      <c r="E312" s="32" t="n">
        <f aca="false">SUMIF('Libro Diario'!$C$5:$C$504,A312,'Libro Diario'!$G$5:$G$504)</f>
        <v>0</v>
      </c>
      <c r="F312" s="32" t="n">
        <f aca="false">IF(D312&gt;=E312,D312-E312,0)</f>
        <v>0</v>
      </c>
      <c r="G312" s="32" t="n">
        <f aca="false">IF(E312&gt;D312,E312-D312,0)</f>
        <v>0</v>
      </c>
    </row>
    <row r="313" customFormat="false" ht="15" hidden="false" customHeight="true" outlineLevel="0" collapsed="false">
      <c r="A313" s="30" t="s">
        <v>460</v>
      </c>
      <c r="B313" s="31" t="s">
        <v>66</v>
      </c>
      <c r="C313" s="30" t="s">
        <v>437</v>
      </c>
      <c r="D313" s="32" t="n">
        <f aca="false">SUMIF('Libro Diario'!$C$5:$C$504,A313,'Libro Diario'!$F$5:$F$504)</f>
        <v>0</v>
      </c>
      <c r="E313" s="32" t="n">
        <f aca="false">SUMIF('Libro Diario'!$C$5:$C$504,A313,'Libro Diario'!$G$5:$G$504)</f>
        <v>0</v>
      </c>
      <c r="F313" s="32" t="n">
        <f aca="false">IF(D313&gt;=E313,D313-E313,0)</f>
        <v>0</v>
      </c>
      <c r="G313" s="32" t="n">
        <f aca="false">IF(E313&gt;D313,E313-D313,0)</f>
        <v>0</v>
      </c>
    </row>
    <row r="314" customFormat="false" ht="15" hidden="false" customHeight="true" outlineLevel="0" collapsed="false">
      <c r="A314" s="30" t="s">
        <v>461</v>
      </c>
      <c r="B314" s="31" t="s">
        <v>165</v>
      </c>
      <c r="C314" s="30" t="s">
        <v>437</v>
      </c>
      <c r="D314" s="32" t="n">
        <f aca="false">SUMIF('Libro Diario'!$C$5:$C$504,A314,'Libro Diario'!$F$5:$F$504)</f>
        <v>0</v>
      </c>
      <c r="E314" s="32" t="n">
        <f aca="false">SUMIF('Libro Diario'!$C$5:$C$504,A314,'Libro Diario'!$G$5:$G$504)</f>
        <v>0</v>
      </c>
      <c r="F314" s="32" t="n">
        <f aca="false">IF(D314&gt;=E314,D314-E314,0)</f>
        <v>0</v>
      </c>
      <c r="G314" s="32" t="n">
        <f aca="false">IF(E314&gt;D314,E314-D314,0)</f>
        <v>0</v>
      </c>
    </row>
    <row r="315" customFormat="false" ht="15" hidden="false" customHeight="true" outlineLevel="0" collapsed="false">
      <c r="A315" s="30" t="s">
        <v>462</v>
      </c>
      <c r="B315" s="31" t="s">
        <v>443</v>
      </c>
      <c r="C315" s="30" t="s">
        <v>437</v>
      </c>
      <c r="D315" s="32" t="n">
        <f aca="false">SUMIF('Libro Diario'!$C$5:$C$504,A315,'Libro Diario'!$F$5:$F$504)</f>
        <v>0</v>
      </c>
      <c r="E315" s="32" t="n">
        <f aca="false">SUMIF('Libro Diario'!$C$5:$C$504,A315,'Libro Diario'!$G$5:$G$504)</f>
        <v>0</v>
      </c>
      <c r="F315" s="32" t="n">
        <f aca="false">IF(D315&gt;=E315,D315-E315,0)</f>
        <v>0</v>
      </c>
      <c r="G315" s="32" t="n">
        <f aca="false">IF(E315&gt;D315,E315-D315,0)</f>
        <v>0</v>
      </c>
    </row>
    <row r="316" customFormat="false" ht="15" hidden="false" customHeight="true" outlineLevel="0" collapsed="false">
      <c r="A316" s="30" t="s">
        <v>463</v>
      </c>
      <c r="B316" s="31" t="s">
        <v>66</v>
      </c>
      <c r="C316" s="30" t="s">
        <v>437</v>
      </c>
      <c r="D316" s="32" t="n">
        <f aca="false">SUMIF('Libro Diario'!$C$5:$C$504,A316,'Libro Diario'!$F$5:$F$504)</f>
        <v>0</v>
      </c>
      <c r="E316" s="32" t="n">
        <f aca="false">SUMIF('Libro Diario'!$C$5:$C$504,A316,'Libro Diario'!$G$5:$G$504)</f>
        <v>0</v>
      </c>
      <c r="F316" s="32" t="n">
        <f aca="false">IF(D316&gt;=E316,D316-E316,0)</f>
        <v>0</v>
      </c>
      <c r="G316" s="32" t="n">
        <f aca="false">IF(E316&gt;D316,E316-D316,0)</f>
        <v>0</v>
      </c>
    </row>
    <row r="317" customFormat="false" ht="15" hidden="false" customHeight="true" outlineLevel="0" collapsed="false">
      <c r="A317" s="30" t="s">
        <v>464</v>
      </c>
      <c r="B317" s="31" t="s">
        <v>165</v>
      </c>
      <c r="C317" s="30" t="s">
        <v>437</v>
      </c>
      <c r="D317" s="32" t="n">
        <f aca="false">SUMIF('Libro Diario'!$C$5:$C$504,A317,'Libro Diario'!$F$5:$F$504)</f>
        <v>0</v>
      </c>
      <c r="E317" s="32" t="n">
        <f aca="false">SUMIF('Libro Diario'!$C$5:$C$504,A317,'Libro Diario'!$G$5:$G$504)</f>
        <v>0</v>
      </c>
      <c r="F317" s="32" t="n">
        <f aca="false">IF(D317&gt;=E317,D317-E317,0)</f>
        <v>0</v>
      </c>
      <c r="G317" s="32" t="n">
        <f aca="false">IF(E317&gt;D317,E317-D317,0)</f>
        <v>0</v>
      </c>
    </row>
    <row r="318" customFormat="false" ht="15" hidden="false" customHeight="true" outlineLevel="0" collapsed="false">
      <c r="A318" s="30" t="s">
        <v>465</v>
      </c>
      <c r="B318" s="31" t="s">
        <v>66</v>
      </c>
      <c r="C318" s="30" t="s">
        <v>437</v>
      </c>
      <c r="D318" s="32" t="n">
        <f aca="false">SUMIF('Libro Diario'!$C$5:$C$504,A318,'Libro Diario'!$F$5:$F$504)</f>
        <v>0</v>
      </c>
      <c r="E318" s="32" t="n">
        <f aca="false">SUMIF('Libro Diario'!$C$5:$C$504,A318,'Libro Diario'!$G$5:$G$504)</f>
        <v>0</v>
      </c>
      <c r="F318" s="32" t="n">
        <f aca="false">IF(D318&gt;=E318,D318-E318,0)</f>
        <v>0</v>
      </c>
      <c r="G318" s="32" t="n">
        <f aca="false">IF(E318&gt;D318,E318-D318,0)</f>
        <v>0</v>
      </c>
    </row>
    <row r="319" customFormat="false" ht="15" hidden="false" customHeight="true" outlineLevel="0" collapsed="false">
      <c r="A319" s="30" t="s">
        <v>466</v>
      </c>
      <c r="B319" s="31" t="s">
        <v>165</v>
      </c>
      <c r="C319" s="30" t="s">
        <v>437</v>
      </c>
      <c r="D319" s="32" t="n">
        <f aca="false">SUMIF('Libro Diario'!$C$5:$C$504,A319,'Libro Diario'!$F$5:$F$504)</f>
        <v>0</v>
      </c>
      <c r="E319" s="32" t="n">
        <f aca="false">SUMIF('Libro Diario'!$C$5:$C$504,A319,'Libro Diario'!$G$5:$G$504)</f>
        <v>0</v>
      </c>
      <c r="F319" s="32" t="n">
        <f aca="false">IF(D319&gt;=E319,D319-E319,0)</f>
        <v>0</v>
      </c>
      <c r="G319" s="32" t="n">
        <f aca="false">IF(E319&gt;D319,E319-D319,0)</f>
        <v>0</v>
      </c>
    </row>
    <row r="320" customFormat="false" ht="15" hidden="false" customHeight="true" outlineLevel="0" collapsed="false">
      <c r="A320" s="30" t="s">
        <v>467</v>
      </c>
      <c r="B320" s="31" t="s">
        <v>66</v>
      </c>
      <c r="C320" s="30" t="s">
        <v>437</v>
      </c>
      <c r="D320" s="32" t="n">
        <f aca="false">SUMIF('Libro Diario'!$C$5:$C$504,A320,'Libro Diario'!$F$5:$F$504)</f>
        <v>0</v>
      </c>
      <c r="E320" s="32" t="n">
        <f aca="false">SUMIF('Libro Diario'!$C$5:$C$504,A320,'Libro Diario'!$G$5:$G$504)</f>
        <v>0</v>
      </c>
      <c r="F320" s="32" t="n">
        <f aca="false">IF(D320&gt;=E320,D320-E320,0)</f>
        <v>0</v>
      </c>
      <c r="G320" s="32" t="n">
        <f aca="false">IF(E320&gt;D320,E320-D320,0)</f>
        <v>0</v>
      </c>
    </row>
    <row r="321" customFormat="false" ht="15" hidden="false" customHeight="true" outlineLevel="0" collapsed="false">
      <c r="A321" s="30" t="s">
        <v>468</v>
      </c>
      <c r="B321" s="31" t="s">
        <v>280</v>
      </c>
      <c r="C321" s="30" t="s">
        <v>437</v>
      </c>
      <c r="D321" s="32" t="n">
        <f aca="false">SUMIF('Libro Diario'!$C$5:$C$504,A321,'Libro Diario'!$F$5:$F$504)</f>
        <v>0</v>
      </c>
      <c r="E321" s="32" t="n">
        <f aca="false">SUMIF('Libro Diario'!$C$5:$C$504,A321,'Libro Diario'!$G$5:$G$504)</f>
        <v>0</v>
      </c>
      <c r="F321" s="32" t="n">
        <f aca="false">IF(D321&gt;=E321,D321-E321,0)</f>
        <v>0</v>
      </c>
      <c r="G321" s="32" t="n">
        <f aca="false">IF(E321&gt;D321,E321-D321,0)</f>
        <v>0</v>
      </c>
    </row>
    <row r="322" customFormat="false" ht="15" hidden="false" customHeight="true" outlineLevel="0" collapsed="false">
      <c r="A322" s="30" t="s">
        <v>469</v>
      </c>
      <c r="B322" s="31" t="s">
        <v>165</v>
      </c>
      <c r="C322" s="30" t="s">
        <v>437</v>
      </c>
      <c r="D322" s="32" t="n">
        <f aca="false">SUMIF('Libro Diario'!$C$5:$C$504,A322,'Libro Diario'!$F$5:$F$504)</f>
        <v>0</v>
      </c>
      <c r="E322" s="32" t="n">
        <f aca="false">SUMIF('Libro Diario'!$C$5:$C$504,A322,'Libro Diario'!$G$5:$G$504)</f>
        <v>0</v>
      </c>
      <c r="F322" s="32" t="n">
        <f aca="false">IF(D322&gt;=E322,D322-E322,0)</f>
        <v>0</v>
      </c>
      <c r="G322" s="32" t="n">
        <f aca="false">IF(E322&gt;D322,E322-D322,0)</f>
        <v>0</v>
      </c>
    </row>
    <row r="323" customFormat="false" ht="15" hidden="false" customHeight="true" outlineLevel="0" collapsed="false">
      <c r="A323" s="30" t="s">
        <v>470</v>
      </c>
      <c r="B323" s="31" t="s">
        <v>66</v>
      </c>
      <c r="C323" s="30" t="s">
        <v>437</v>
      </c>
      <c r="D323" s="32" t="n">
        <f aca="false">SUMIF('Libro Diario'!$C$5:$C$504,A323,'Libro Diario'!$F$5:$F$504)</f>
        <v>0</v>
      </c>
      <c r="E323" s="32" t="n">
        <f aca="false">SUMIF('Libro Diario'!$C$5:$C$504,A323,'Libro Diario'!$G$5:$G$504)</f>
        <v>0</v>
      </c>
      <c r="F323" s="32" t="n">
        <f aca="false">IF(D323&gt;=E323,D323-E323,0)</f>
        <v>0</v>
      </c>
      <c r="G323" s="32" t="n">
        <f aca="false">IF(E323&gt;D323,E323-D323,0)</f>
        <v>0</v>
      </c>
    </row>
    <row r="324" customFormat="false" ht="15" hidden="false" customHeight="true" outlineLevel="0" collapsed="false">
      <c r="A324" s="30" t="s">
        <v>471</v>
      </c>
      <c r="B324" s="31" t="s">
        <v>280</v>
      </c>
      <c r="C324" s="30" t="s">
        <v>437</v>
      </c>
      <c r="D324" s="32" t="n">
        <f aca="false">SUMIF('Libro Diario'!$C$5:$C$504,A324,'Libro Diario'!$F$5:$F$504)</f>
        <v>0</v>
      </c>
      <c r="E324" s="32" t="n">
        <f aca="false">SUMIF('Libro Diario'!$C$5:$C$504,A324,'Libro Diario'!$G$5:$G$504)</f>
        <v>0</v>
      </c>
      <c r="F324" s="32" t="n">
        <f aca="false">IF(D324&gt;=E324,D324-E324,0)</f>
        <v>0</v>
      </c>
      <c r="G324" s="32" t="n">
        <f aca="false">IF(E324&gt;D324,E324-D324,0)</f>
        <v>0</v>
      </c>
    </row>
    <row r="325" customFormat="false" ht="15" hidden="false" customHeight="true" outlineLevel="0" collapsed="false">
      <c r="A325" s="30" t="s">
        <v>472</v>
      </c>
      <c r="B325" s="31" t="s">
        <v>165</v>
      </c>
      <c r="C325" s="30" t="s">
        <v>437</v>
      </c>
      <c r="D325" s="32" t="n">
        <f aca="false">SUMIF('Libro Diario'!$C$5:$C$504,A325,'Libro Diario'!$F$5:$F$504)</f>
        <v>0</v>
      </c>
      <c r="E325" s="32" t="n">
        <f aca="false">SUMIF('Libro Diario'!$C$5:$C$504,A325,'Libro Diario'!$G$5:$G$504)</f>
        <v>0</v>
      </c>
      <c r="F325" s="32" t="n">
        <f aca="false">IF(D325&gt;=E325,D325-E325,0)</f>
        <v>0</v>
      </c>
      <c r="G325" s="32" t="n">
        <f aca="false">IF(E325&gt;D325,E325-D325,0)</f>
        <v>0</v>
      </c>
    </row>
    <row r="326" customFormat="false" ht="15" hidden="false" customHeight="true" outlineLevel="0" collapsed="false">
      <c r="A326" s="30" t="s">
        <v>473</v>
      </c>
      <c r="B326" s="31" t="s">
        <v>66</v>
      </c>
      <c r="C326" s="30" t="s">
        <v>437</v>
      </c>
      <c r="D326" s="32" t="n">
        <f aca="false">SUMIF('Libro Diario'!$C$5:$C$504,A326,'Libro Diario'!$F$5:$F$504)</f>
        <v>0</v>
      </c>
      <c r="E326" s="32" t="n">
        <f aca="false">SUMIF('Libro Diario'!$C$5:$C$504,A326,'Libro Diario'!$G$5:$G$504)</f>
        <v>0</v>
      </c>
      <c r="F326" s="32" t="n">
        <f aca="false">IF(D326&gt;=E326,D326-E326,0)</f>
        <v>0</v>
      </c>
      <c r="G326" s="32" t="n">
        <f aca="false">IF(E326&gt;D326,E326-D326,0)</f>
        <v>0</v>
      </c>
    </row>
    <row r="327" customFormat="false" ht="15" hidden="false" customHeight="true" outlineLevel="0" collapsed="false">
      <c r="A327" s="30" t="s">
        <v>474</v>
      </c>
      <c r="B327" s="31" t="s">
        <v>280</v>
      </c>
      <c r="C327" s="30" t="s">
        <v>437</v>
      </c>
      <c r="D327" s="32" t="n">
        <f aca="false">SUMIF('Libro Diario'!$C$5:$C$504,A327,'Libro Diario'!$F$5:$F$504)</f>
        <v>0</v>
      </c>
      <c r="E327" s="32" t="n">
        <f aca="false">SUMIF('Libro Diario'!$C$5:$C$504,A327,'Libro Diario'!$G$5:$G$504)</f>
        <v>0</v>
      </c>
      <c r="F327" s="32" t="n">
        <f aca="false">IF(D327&gt;=E327,D327-E327,0)</f>
        <v>0</v>
      </c>
      <c r="G327" s="32" t="n">
        <f aca="false">IF(E327&gt;D327,E327-D327,0)</f>
        <v>0</v>
      </c>
    </row>
    <row r="328" customFormat="false" ht="15" hidden="false" customHeight="true" outlineLevel="0" collapsed="false">
      <c r="A328" s="30" t="s">
        <v>475</v>
      </c>
      <c r="B328" s="31" t="s">
        <v>285</v>
      </c>
      <c r="C328" s="30" t="s">
        <v>437</v>
      </c>
      <c r="D328" s="32" t="n">
        <f aca="false">SUMIF('Libro Diario'!$C$5:$C$504,A328,'Libro Diario'!$F$5:$F$504)</f>
        <v>0</v>
      </c>
      <c r="E328" s="32" t="n">
        <f aca="false">SUMIF('Libro Diario'!$C$5:$C$504,A328,'Libro Diario'!$G$5:$G$504)</f>
        <v>0</v>
      </c>
      <c r="F328" s="32" t="n">
        <f aca="false">IF(D328&gt;=E328,D328-E328,0)</f>
        <v>0</v>
      </c>
      <c r="G328" s="32" t="n">
        <f aca="false">IF(E328&gt;D328,E328-D328,0)</f>
        <v>0</v>
      </c>
    </row>
    <row r="329" customFormat="false" ht="15" hidden="false" customHeight="true" outlineLevel="0" collapsed="false">
      <c r="A329" s="30" t="s">
        <v>476</v>
      </c>
      <c r="B329" s="31" t="s">
        <v>165</v>
      </c>
      <c r="C329" s="30" t="s">
        <v>437</v>
      </c>
      <c r="D329" s="32" t="n">
        <f aca="false">SUMIF('Libro Diario'!$C$5:$C$504,A329,'Libro Diario'!$F$5:$F$504)</f>
        <v>0</v>
      </c>
      <c r="E329" s="32" t="n">
        <f aca="false">SUMIF('Libro Diario'!$C$5:$C$504,A329,'Libro Diario'!$G$5:$G$504)</f>
        <v>0</v>
      </c>
      <c r="F329" s="32" t="n">
        <f aca="false">IF(D329&gt;=E329,D329-E329,0)</f>
        <v>0</v>
      </c>
      <c r="G329" s="32" t="n">
        <f aca="false">IF(E329&gt;D329,E329-D329,0)</f>
        <v>0</v>
      </c>
    </row>
    <row r="330" customFormat="false" ht="15" hidden="false" customHeight="true" outlineLevel="0" collapsed="false">
      <c r="A330" s="30" t="s">
        <v>477</v>
      </c>
      <c r="B330" s="31" t="s">
        <v>66</v>
      </c>
      <c r="C330" s="30" t="s">
        <v>437</v>
      </c>
      <c r="D330" s="32" t="n">
        <f aca="false">SUMIF('Libro Diario'!$C$5:$C$504,A330,'Libro Diario'!$F$5:$F$504)</f>
        <v>0</v>
      </c>
      <c r="E330" s="32" t="n">
        <f aca="false">SUMIF('Libro Diario'!$C$5:$C$504,A330,'Libro Diario'!$G$5:$G$504)</f>
        <v>0</v>
      </c>
      <c r="F330" s="32" t="n">
        <f aca="false">IF(D330&gt;=E330,D330-E330,0)</f>
        <v>0</v>
      </c>
      <c r="G330" s="32" t="n">
        <f aca="false">IF(E330&gt;D330,E330-D330,0)</f>
        <v>0</v>
      </c>
    </row>
    <row r="331" customFormat="false" ht="15" hidden="false" customHeight="true" outlineLevel="0" collapsed="false">
      <c r="A331" s="30" t="s">
        <v>478</v>
      </c>
      <c r="B331" s="31" t="s">
        <v>280</v>
      </c>
      <c r="C331" s="30" t="s">
        <v>437</v>
      </c>
      <c r="D331" s="32" t="n">
        <f aca="false">SUMIF('Libro Diario'!$C$5:$C$504,A331,'Libro Diario'!$F$5:$F$504)</f>
        <v>0</v>
      </c>
      <c r="E331" s="32" t="n">
        <f aca="false">SUMIF('Libro Diario'!$C$5:$C$504,A331,'Libro Diario'!$G$5:$G$504)</f>
        <v>0</v>
      </c>
      <c r="F331" s="32" t="n">
        <f aca="false">IF(D331&gt;=E331,D331-E331,0)</f>
        <v>0</v>
      </c>
      <c r="G331" s="32" t="n">
        <f aca="false">IF(E331&gt;D331,E331-D331,0)</f>
        <v>0</v>
      </c>
    </row>
    <row r="332" customFormat="false" ht="15" hidden="false" customHeight="true" outlineLevel="0" collapsed="false">
      <c r="A332" s="30" t="s">
        <v>479</v>
      </c>
      <c r="B332" s="31" t="s">
        <v>285</v>
      </c>
      <c r="C332" s="30" t="s">
        <v>437</v>
      </c>
      <c r="D332" s="32" t="n">
        <f aca="false">SUMIF('Libro Diario'!$C$5:$C$504,A332,'Libro Diario'!$F$5:$F$504)</f>
        <v>0</v>
      </c>
      <c r="E332" s="32" t="n">
        <f aca="false">SUMIF('Libro Diario'!$C$5:$C$504,A332,'Libro Diario'!$G$5:$G$504)</f>
        <v>0</v>
      </c>
      <c r="F332" s="32" t="n">
        <f aca="false">IF(D332&gt;=E332,D332-E332,0)</f>
        <v>0</v>
      </c>
      <c r="G332" s="32" t="n">
        <f aca="false">IF(E332&gt;D332,E332-D332,0)</f>
        <v>0</v>
      </c>
    </row>
    <row r="333" customFormat="false" ht="15" hidden="false" customHeight="true" outlineLevel="0" collapsed="false">
      <c r="A333" s="30" t="s">
        <v>480</v>
      </c>
      <c r="B333" s="31" t="s">
        <v>165</v>
      </c>
      <c r="C333" s="30" t="s">
        <v>437</v>
      </c>
      <c r="D333" s="32" t="n">
        <f aca="false">SUMIF('Libro Diario'!$C$5:$C$504,A333,'Libro Diario'!$F$5:$F$504)</f>
        <v>0</v>
      </c>
      <c r="E333" s="32" t="n">
        <f aca="false">SUMIF('Libro Diario'!$C$5:$C$504,A333,'Libro Diario'!$G$5:$G$504)</f>
        <v>0</v>
      </c>
      <c r="F333" s="32" t="n">
        <f aca="false">IF(D333&gt;=E333,D333-E333,0)</f>
        <v>0</v>
      </c>
      <c r="G333" s="32" t="n">
        <f aca="false">IF(E333&gt;D333,E333-D333,0)</f>
        <v>0</v>
      </c>
    </row>
    <row r="334" customFormat="false" ht="15" hidden="false" customHeight="true" outlineLevel="0" collapsed="false">
      <c r="A334" s="30" t="s">
        <v>481</v>
      </c>
      <c r="B334" s="31" t="s">
        <v>66</v>
      </c>
      <c r="C334" s="30" t="s">
        <v>437</v>
      </c>
      <c r="D334" s="32" t="n">
        <f aca="false">SUMIF('Libro Diario'!$C$5:$C$504,A334,'Libro Diario'!$F$5:$F$504)</f>
        <v>0</v>
      </c>
      <c r="E334" s="32" t="n">
        <f aca="false">SUMIF('Libro Diario'!$C$5:$C$504,A334,'Libro Diario'!$G$5:$G$504)</f>
        <v>0</v>
      </c>
      <c r="F334" s="32" t="n">
        <f aca="false">IF(D334&gt;=E334,D334-E334,0)</f>
        <v>0</v>
      </c>
      <c r="G334" s="32" t="n">
        <f aca="false">IF(E334&gt;D334,E334-D334,0)</f>
        <v>0</v>
      </c>
    </row>
    <row r="335" customFormat="false" ht="15" hidden="false" customHeight="true" outlineLevel="0" collapsed="false">
      <c r="A335" s="30" t="s">
        <v>482</v>
      </c>
      <c r="B335" s="31" t="s">
        <v>280</v>
      </c>
      <c r="C335" s="30" t="s">
        <v>437</v>
      </c>
      <c r="D335" s="32" t="n">
        <f aca="false">SUMIF('Libro Diario'!$C$5:$C$504,A335,'Libro Diario'!$F$5:$F$504)</f>
        <v>0</v>
      </c>
      <c r="E335" s="32" t="n">
        <f aca="false">SUMIF('Libro Diario'!$C$5:$C$504,A335,'Libro Diario'!$G$5:$G$504)</f>
        <v>0</v>
      </c>
      <c r="F335" s="32" t="n">
        <f aca="false">IF(D335&gt;=E335,D335-E335,0)</f>
        <v>0</v>
      </c>
      <c r="G335" s="32" t="n">
        <f aca="false">IF(E335&gt;D335,E335-D335,0)</f>
        <v>0</v>
      </c>
    </row>
    <row r="336" customFormat="false" ht="15" hidden="false" customHeight="true" outlineLevel="0" collapsed="false">
      <c r="A336" s="30" t="s">
        <v>483</v>
      </c>
      <c r="B336" s="31" t="s">
        <v>165</v>
      </c>
      <c r="C336" s="30" t="s">
        <v>437</v>
      </c>
      <c r="D336" s="32" t="n">
        <f aca="false">SUMIF('Libro Diario'!$C$5:$C$504,A336,'Libro Diario'!$F$5:$F$504)</f>
        <v>0</v>
      </c>
      <c r="E336" s="32" t="n">
        <f aca="false">SUMIF('Libro Diario'!$C$5:$C$504,A336,'Libro Diario'!$G$5:$G$504)</f>
        <v>0</v>
      </c>
      <c r="F336" s="32" t="n">
        <f aca="false">IF(D336&gt;=E336,D336-E336,0)</f>
        <v>0</v>
      </c>
      <c r="G336" s="32" t="n">
        <f aca="false">IF(E336&gt;D336,E336-D336,0)</f>
        <v>0</v>
      </c>
    </row>
    <row r="337" customFormat="false" ht="15" hidden="false" customHeight="true" outlineLevel="0" collapsed="false">
      <c r="A337" s="30" t="s">
        <v>484</v>
      </c>
      <c r="B337" s="31" t="s">
        <v>66</v>
      </c>
      <c r="C337" s="30" t="s">
        <v>437</v>
      </c>
      <c r="D337" s="32" t="n">
        <f aca="false">SUMIF('Libro Diario'!$C$5:$C$504,A337,'Libro Diario'!$F$5:$F$504)</f>
        <v>0</v>
      </c>
      <c r="E337" s="32" t="n">
        <f aca="false">SUMIF('Libro Diario'!$C$5:$C$504,A337,'Libro Diario'!$G$5:$G$504)</f>
        <v>0</v>
      </c>
      <c r="F337" s="32" t="n">
        <f aca="false">IF(D337&gt;=E337,D337-E337,0)</f>
        <v>0</v>
      </c>
      <c r="G337" s="32" t="n">
        <f aca="false">IF(E337&gt;D337,E337-D337,0)</f>
        <v>0</v>
      </c>
    </row>
    <row r="338" customFormat="false" ht="15" hidden="false" customHeight="true" outlineLevel="0" collapsed="false">
      <c r="A338" s="30" t="s">
        <v>485</v>
      </c>
      <c r="B338" s="31" t="s">
        <v>280</v>
      </c>
      <c r="C338" s="30" t="s">
        <v>437</v>
      </c>
      <c r="D338" s="32" t="n">
        <f aca="false">SUMIF('Libro Diario'!$C$5:$C$504,A338,'Libro Diario'!$F$5:$F$504)</f>
        <v>0</v>
      </c>
      <c r="E338" s="32" t="n">
        <f aca="false">SUMIF('Libro Diario'!$C$5:$C$504,A338,'Libro Diario'!$G$5:$G$504)</f>
        <v>0</v>
      </c>
      <c r="F338" s="32" t="n">
        <f aca="false">IF(D338&gt;=E338,D338-E338,0)</f>
        <v>0</v>
      </c>
      <c r="G338" s="32" t="n">
        <f aca="false">IF(E338&gt;D338,E338-D338,0)</f>
        <v>0</v>
      </c>
    </row>
    <row r="339" customFormat="false" ht="15" hidden="false" customHeight="true" outlineLevel="0" collapsed="false">
      <c r="A339" s="30" t="s">
        <v>486</v>
      </c>
      <c r="B339" s="31" t="s">
        <v>250</v>
      </c>
      <c r="C339" s="30" t="s">
        <v>437</v>
      </c>
      <c r="D339" s="32" t="n">
        <f aca="false">SUMIF('Libro Diario'!$C$5:$C$504,A339,'Libro Diario'!$F$5:$F$504)</f>
        <v>0</v>
      </c>
      <c r="E339" s="32" t="n">
        <f aca="false">SUMIF('Libro Diario'!$C$5:$C$504,A339,'Libro Diario'!$G$5:$G$504)</f>
        <v>0</v>
      </c>
      <c r="F339" s="32" t="n">
        <f aca="false">IF(D339&gt;=E339,D339-E339,0)</f>
        <v>0</v>
      </c>
      <c r="G339" s="32" t="n">
        <f aca="false">IF(E339&gt;D339,E339-D339,0)</f>
        <v>0</v>
      </c>
    </row>
    <row r="340" customFormat="false" ht="15" hidden="false" customHeight="true" outlineLevel="0" collapsed="false">
      <c r="A340" s="30" t="s">
        <v>487</v>
      </c>
      <c r="B340" s="31" t="s">
        <v>165</v>
      </c>
      <c r="C340" s="30" t="s">
        <v>437</v>
      </c>
      <c r="D340" s="32" t="n">
        <f aca="false">SUMIF('Libro Diario'!$C$5:$C$504,A340,'Libro Diario'!$F$5:$F$504)</f>
        <v>0</v>
      </c>
      <c r="E340" s="32" t="n">
        <f aca="false">SUMIF('Libro Diario'!$C$5:$C$504,A340,'Libro Diario'!$G$5:$G$504)</f>
        <v>0</v>
      </c>
      <c r="F340" s="32" t="n">
        <f aca="false">IF(D340&gt;=E340,D340-E340,0)</f>
        <v>0</v>
      </c>
      <c r="G340" s="32" t="n">
        <f aca="false">IF(E340&gt;D340,E340-D340,0)</f>
        <v>0</v>
      </c>
    </row>
    <row r="341" customFormat="false" ht="15" hidden="false" customHeight="true" outlineLevel="0" collapsed="false">
      <c r="A341" s="30" t="s">
        <v>488</v>
      </c>
      <c r="B341" s="31" t="s">
        <v>66</v>
      </c>
      <c r="C341" s="30" t="s">
        <v>437</v>
      </c>
      <c r="D341" s="32" t="n">
        <f aca="false">SUMIF('Libro Diario'!$C$5:$C$504,A341,'Libro Diario'!$F$5:$F$504)</f>
        <v>0</v>
      </c>
      <c r="E341" s="32" t="n">
        <f aca="false">SUMIF('Libro Diario'!$C$5:$C$504,A341,'Libro Diario'!$G$5:$G$504)</f>
        <v>0</v>
      </c>
      <c r="F341" s="32" t="n">
        <f aca="false">IF(D341&gt;=E341,D341-E341,0)</f>
        <v>0</v>
      </c>
      <c r="G341" s="32" t="n">
        <f aca="false">IF(E341&gt;D341,E341-D341,0)</f>
        <v>0</v>
      </c>
    </row>
    <row r="342" customFormat="false" ht="15" hidden="false" customHeight="true" outlineLevel="0" collapsed="false">
      <c r="A342" s="30" t="s">
        <v>489</v>
      </c>
      <c r="B342" s="31" t="s">
        <v>280</v>
      </c>
      <c r="C342" s="30" t="s">
        <v>437</v>
      </c>
      <c r="D342" s="32" t="n">
        <f aca="false">SUMIF('Libro Diario'!$C$5:$C$504,A342,'Libro Diario'!$F$5:$F$504)</f>
        <v>0</v>
      </c>
      <c r="E342" s="32" t="n">
        <f aca="false">SUMIF('Libro Diario'!$C$5:$C$504,A342,'Libro Diario'!$G$5:$G$504)</f>
        <v>0</v>
      </c>
      <c r="F342" s="32" t="n">
        <f aca="false">IF(D342&gt;=E342,D342-E342,0)</f>
        <v>0</v>
      </c>
      <c r="G342" s="32" t="n">
        <f aca="false">IF(E342&gt;D342,E342-D342,0)</f>
        <v>0</v>
      </c>
    </row>
    <row r="343" customFormat="false" ht="15" hidden="false" customHeight="true" outlineLevel="0" collapsed="false">
      <c r="A343" s="30" t="s">
        <v>490</v>
      </c>
      <c r="B343" s="31" t="s">
        <v>250</v>
      </c>
      <c r="C343" s="30" t="s">
        <v>437</v>
      </c>
      <c r="D343" s="32" t="n">
        <f aca="false">SUMIF('Libro Diario'!$C$5:$C$504,A343,'Libro Diario'!$F$5:$F$504)</f>
        <v>0</v>
      </c>
      <c r="E343" s="32" t="n">
        <f aca="false">SUMIF('Libro Diario'!$C$5:$C$504,A343,'Libro Diario'!$G$5:$G$504)</f>
        <v>0</v>
      </c>
      <c r="F343" s="32" t="n">
        <f aca="false">IF(D343&gt;=E343,D343-E343,0)</f>
        <v>0</v>
      </c>
      <c r="G343" s="32" t="n">
        <f aca="false">IF(E343&gt;D343,E343-D343,0)</f>
        <v>0</v>
      </c>
    </row>
    <row r="344" customFormat="false" ht="15" hidden="false" customHeight="true" outlineLevel="0" collapsed="false">
      <c r="A344" s="30" t="s">
        <v>491</v>
      </c>
      <c r="B344" s="31" t="s">
        <v>66</v>
      </c>
      <c r="C344" s="30" t="s">
        <v>437</v>
      </c>
      <c r="D344" s="32" t="n">
        <f aca="false">SUMIF('Libro Diario'!$C$5:$C$504,A344,'Libro Diario'!$F$5:$F$504)</f>
        <v>0</v>
      </c>
      <c r="E344" s="32" t="n">
        <f aca="false">SUMIF('Libro Diario'!$C$5:$C$504,A344,'Libro Diario'!$G$5:$G$504)</f>
        <v>0</v>
      </c>
      <c r="F344" s="32" t="n">
        <f aca="false">IF(D344&gt;=E344,D344-E344,0)</f>
        <v>0</v>
      </c>
      <c r="G344" s="32" t="n">
        <f aca="false">IF(E344&gt;D344,E344-D344,0)</f>
        <v>0</v>
      </c>
    </row>
    <row r="345" customFormat="false" ht="15" hidden="false" customHeight="true" outlineLevel="0" collapsed="false">
      <c r="A345" s="30" t="s">
        <v>492</v>
      </c>
      <c r="B345" s="31" t="s">
        <v>280</v>
      </c>
      <c r="C345" s="30" t="s">
        <v>437</v>
      </c>
      <c r="D345" s="32" t="n">
        <f aca="false">SUMIF('Libro Diario'!$C$5:$C$504,A345,'Libro Diario'!$F$5:$F$504)</f>
        <v>0</v>
      </c>
      <c r="E345" s="32" t="n">
        <f aca="false">SUMIF('Libro Diario'!$C$5:$C$504,A345,'Libro Diario'!$G$5:$G$504)</f>
        <v>0</v>
      </c>
      <c r="F345" s="32" t="n">
        <f aca="false">IF(D345&gt;=E345,D345-E345,0)</f>
        <v>0</v>
      </c>
      <c r="G345" s="32" t="n">
        <f aca="false">IF(E345&gt;D345,E345-D345,0)</f>
        <v>0</v>
      </c>
    </row>
    <row r="346" customFormat="false" ht="15" hidden="false" customHeight="true" outlineLevel="0" collapsed="false">
      <c r="A346" s="30" t="s">
        <v>493</v>
      </c>
      <c r="B346" s="31" t="s">
        <v>250</v>
      </c>
      <c r="C346" s="30" t="s">
        <v>437</v>
      </c>
      <c r="D346" s="32" t="n">
        <f aca="false">SUMIF('Libro Diario'!$C$5:$C$504,A346,'Libro Diario'!$F$5:$F$504)</f>
        <v>0</v>
      </c>
      <c r="E346" s="32" t="n">
        <f aca="false">SUMIF('Libro Diario'!$C$5:$C$504,A346,'Libro Diario'!$G$5:$G$504)</f>
        <v>0</v>
      </c>
      <c r="F346" s="32" t="n">
        <f aca="false">IF(D346&gt;=E346,D346-E346,0)</f>
        <v>0</v>
      </c>
      <c r="G346" s="32" t="n">
        <f aca="false">IF(E346&gt;D346,E346-D346,0)</f>
        <v>0</v>
      </c>
    </row>
    <row r="347" customFormat="false" ht="15" hidden="false" customHeight="true" outlineLevel="0" collapsed="false">
      <c r="A347" s="30" t="s">
        <v>494</v>
      </c>
      <c r="B347" s="31" t="s">
        <v>66</v>
      </c>
      <c r="C347" s="30" t="s">
        <v>437</v>
      </c>
      <c r="D347" s="32" t="n">
        <f aca="false">SUMIF('Libro Diario'!$C$5:$C$504,A347,'Libro Diario'!$F$5:$F$504)</f>
        <v>0</v>
      </c>
      <c r="E347" s="32" t="n">
        <f aca="false">SUMIF('Libro Diario'!$C$5:$C$504,A347,'Libro Diario'!$G$5:$G$504)</f>
        <v>0</v>
      </c>
      <c r="F347" s="32" t="n">
        <f aca="false">IF(D347&gt;=E347,D347-E347,0)</f>
        <v>0</v>
      </c>
      <c r="G347" s="32" t="n">
        <f aca="false">IF(E347&gt;D347,E347-D347,0)</f>
        <v>0</v>
      </c>
    </row>
    <row r="348" customFormat="false" ht="15" hidden="false" customHeight="true" outlineLevel="0" collapsed="false">
      <c r="A348" s="30" t="s">
        <v>495</v>
      </c>
      <c r="B348" s="31" t="s">
        <v>280</v>
      </c>
      <c r="C348" s="30" t="s">
        <v>437</v>
      </c>
      <c r="D348" s="32" t="n">
        <f aca="false">SUMIF('Libro Diario'!$C$5:$C$504,A348,'Libro Diario'!$F$5:$F$504)</f>
        <v>0</v>
      </c>
      <c r="E348" s="32" t="n">
        <f aca="false">SUMIF('Libro Diario'!$C$5:$C$504,A348,'Libro Diario'!$G$5:$G$504)</f>
        <v>0</v>
      </c>
      <c r="F348" s="32" t="n">
        <f aca="false">IF(D348&gt;=E348,D348-E348,0)</f>
        <v>0</v>
      </c>
      <c r="G348" s="32" t="n">
        <f aca="false">IF(E348&gt;D348,E348-D348,0)</f>
        <v>0</v>
      </c>
    </row>
    <row r="349" customFormat="false" ht="15" hidden="false" customHeight="true" outlineLevel="0" collapsed="false">
      <c r="A349" s="30" t="s">
        <v>496</v>
      </c>
      <c r="B349" s="31" t="s">
        <v>66</v>
      </c>
      <c r="C349" s="30" t="s">
        <v>437</v>
      </c>
      <c r="D349" s="32" t="n">
        <f aca="false">SUMIF('Libro Diario'!$C$5:$C$504,A349,'Libro Diario'!$F$5:$F$504)</f>
        <v>0</v>
      </c>
      <c r="E349" s="32" t="n">
        <f aca="false">SUMIF('Libro Diario'!$C$5:$C$504,A349,'Libro Diario'!$G$5:$G$504)</f>
        <v>0</v>
      </c>
      <c r="F349" s="32" t="n">
        <f aca="false">IF(D349&gt;=E349,D349-E349,0)</f>
        <v>0</v>
      </c>
      <c r="G349" s="32" t="n">
        <f aca="false">IF(E349&gt;D349,E349-D349,0)</f>
        <v>0</v>
      </c>
    </row>
    <row r="350" customFormat="false" ht="15" hidden="false" customHeight="true" outlineLevel="0" collapsed="false">
      <c r="A350" s="30" t="s">
        <v>497</v>
      </c>
      <c r="B350" s="31" t="s">
        <v>280</v>
      </c>
      <c r="C350" s="30" t="s">
        <v>437</v>
      </c>
      <c r="D350" s="32" t="n">
        <f aca="false">SUMIF('Libro Diario'!$C$5:$C$504,A350,'Libro Diario'!$F$5:$F$504)</f>
        <v>0</v>
      </c>
      <c r="E350" s="32" t="n">
        <f aca="false">SUMIF('Libro Diario'!$C$5:$C$504,A350,'Libro Diario'!$G$5:$G$504)</f>
        <v>0</v>
      </c>
      <c r="F350" s="32" t="n">
        <f aca="false">IF(D350&gt;=E350,D350-E350,0)</f>
        <v>0</v>
      </c>
      <c r="G350" s="32" t="n">
        <f aca="false">IF(E350&gt;D350,E350-D350,0)</f>
        <v>0</v>
      </c>
    </row>
    <row r="351" customFormat="false" ht="15" hidden="false" customHeight="true" outlineLevel="0" collapsed="false">
      <c r="A351" s="30" t="s">
        <v>498</v>
      </c>
      <c r="B351" s="31" t="s">
        <v>250</v>
      </c>
      <c r="C351" s="30" t="s">
        <v>437</v>
      </c>
      <c r="D351" s="32" t="n">
        <f aca="false">SUMIF('Libro Diario'!$C$5:$C$504,A351,'Libro Diario'!$F$5:$F$504)</f>
        <v>0</v>
      </c>
      <c r="E351" s="32" t="n">
        <f aca="false">SUMIF('Libro Diario'!$C$5:$C$504,A351,'Libro Diario'!$G$5:$G$504)</f>
        <v>0</v>
      </c>
      <c r="F351" s="32" t="n">
        <f aca="false">IF(D351&gt;=E351,D351-E351,0)</f>
        <v>0</v>
      </c>
      <c r="G351" s="32" t="n">
        <f aca="false">IF(E351&gt;D351,E351-D351,0)</f>
        <v>0</v>
      </c>
    </row>
    <row r="352" customFormat="false" ht="15" hidden="false" customHeight="true" outlineLevel="0" collapsed="false">
      <c r="A352" s="30" t="s">
        <v>499</v>
      </c>
      <c r="B352" s="31" t="s">
        <v>66</v>
      </c>
      <c r="C352" s="30" t="s">
        <v>437</v>
      </c>
      <c r="D352" s="32" t="n">
        <f aca="false">SUMIF('Libro Diario'!$C$5:$C$504,A352,'Libro Diario'!$F$5:$F$504)</f>
        <v>0</v>
      </c>
      <c r="E352" s="32" t="n">
        <f aca="false">SUMIF('Libro Diario'!$C$5:$C$504,A352,'Libro Diario'!$G$5:$G$504)</f>
        <v>0</v>
      </c>
      <c r="F352" s="32" t="n">
        <f aca="false">IF(D352&gt;=E352,D352-E352,0)</f>
        <v>0</v>
      </c>
      <c r="G352" s="32" t="n">
        <f aca="false">IF(E352&gt;D352,E352-D352,0)</f>
        <v>0</v>
      </c>
    </row>
    <row r="353" customFormat="false" ht="15" hidden="false" customHeight="true" outlineLevel="0" collapsed="false">
      <c r="A353" s="30" t="s">
        <v>500</v>
      </c>
      <c r="B353" s="31" t="s">
        <v>280</v>
      </c>
      <c r="C353" s="30" t="s">
        <v>437</v>
      </c>
      <c r="D353" s="32" t="n">
        <f aca="false">SUMIF('Libro Diario'!$C$5:$C$504,A353,'Libro Diario'!$F$5:$F$504)</f>
        <v>0</v>
      </c>
      <c r="E353" s="32" t="n">
        <f aca="false">SUMIF('Libro Diario'!$C$5:$C$504,A353,'Libro Diario'!$G$5:$G$504)</f>
        <v>0</v>
      </c>
      <c r="F353" s="32" t="n">
        <f aca="false">IF(D353&gt;=E353,D353-E353,0)</f>
        <v>0</v>
      </c>
      <c r="G353" s="32" t="n">
        <f aca="false">IF(E353&gt;D353,E353-D353,0)</f>
        <v>0</v>
      </c>
    </row>
    <row r="354" customFormat="false" ht="15" hidden="false" customHeight="true" outlineLevel="0" collapsed="false">
      <c r="A354" s="30" t="s">
        <v>501</v>
      </c>
      <c r="B354" s="31" t="s">
        <v>250</v>
      </c>
      <c r="C354" s="30" t="s">
        <v>437</v>
      </c>
      <c r="D354" s="32" t="n">
        <f aca="false">SUMIF('Libro Diario'!$C$5:$C$504,A354,'Libro Diario'!$F$5:$F$504)</f>
        <v>0</v>
      </c>
      <c r="E354" s="32" t="n">
        <f aca="false">SUMIF('Libro Diario'!$C$5:$C$504,A354,'Libro Diario'!$G$5:$G$504)</f>
        <v>0</v>
      </c>
      <c r="F354" s="32" t="n">
        <f aca="false">IF(D354&gt;=E354,D354-E354,0)</f>
        <v>0</v>
      </c>
      <c r="G354" s="32" t="n">
        <f aca="false">IF(E354&gt;D354,E354-D354,0)</f>
        <v>0</v>
      </c>
    </row>
    <row r="355" customFormat="false" ht="15" hidden="false" customHeight="true" outlineLevel="0" collapsed="false">
      <c r="A355" s="30" t="s">
        <v>502</v>
      </c>
      <c r="B355" s="31" t="s">
        <v>66</v>
      </c>
      <c r="C355" s="30" t="s">
        <v>437</v>
      </c>
      <c r="D355" s="32" t="n">
        <f aca="false">SUMIF('Libro Diario'!$C$5:$C$504,A355,'Libro Diario'!$F$5:$F$504)</f>
        <v>0</v>
      </c>
      <c r="E355" s="32" t="n">
        <f aca="false">SUMIF('Libro Diario'!$C$5:$C$504,A355,'Libro Diario'!$G$5:$G$504)</f>
        <v>0</v>
      </c>
      <c r="F355" s="32" t="n">
        <f aca="false">IF(D355&gt;=E355,D355-E355,0)</f>
        <v>0</v>
      </c>
      <c r="G355" s="32" t="n">
        <f aca="false">IF(E355&gt;D355,E355-D355,0)</f>
        <v>0</v>
      </c>
    </row>
    <row r="356" customFormat="false" ht="15" hidden="false" customHeight="true" outlineLevel="0" collapsed="false">
      <c r="A356" s="30" t="s">
        <v>503</v>
      </c>
      <c r="B356" s="31" t="s">
        <v>280</v>
      </c>
      <c r="C356" s="30" t="s">
        <v>437</v>
      </c>
      <c r="D356" s="32" t="n">
        <f aca="false">SUMIF('Libro Diario'!$C$5:$C$504,A356,'Libro Diario'!$F$5:$F$504)</f>
        <v>0</v>
      </c>
      <c r="E356" s="32" t="n">
        <f aca="false">SUMIF('Libro Diario'!$C$5:$C$504,A356,'Libro Diario'!$G$5:$G$504)</f>
        <v>0</v>
      </c>
      <c r="F356" s="32" t="n">
        <f aca="false">IF(D356&gt;=E356,D356-E356,0)</f>
        <v>0</v>
      </c>
      <c r="G356" s="32" t="n">
        <f aca="false">IF(E356&gt;D356,E356-D356,0)</f>
        <v>0</v>
      </c>
    </row>
    <row r="357" customFormat="false" ht="15" hidden="false" customHeight="true" outlineLevel="0" collapsed="false">
      <c r="A357" s="30" t="s">
        <v>504</v>
      </c>
      <c r="B357" s="31" t="s">
        <v>66</v>
      </c>
      <c r="C357" s="30" t="s">
        <v>437</v>
      </c>
      <c r="D357" s="32" t="n">
        <f aca="false">SUMIF('Libro Diario'!$C$5:$C$504,A357,'Libro Diario'!$F$5:$F$504)</f>
        <v>0</v>
      </c>
      <c r="E357" s="32" t="n">
        <f aca="false">SUMIF('Libro Diario'!$C$5:$C$504,A357,'Libro Diario'!$G$5:$G$504)</f>
        <v>0</v>
      </c>
      <c r="F357" s="32" t="n">
        <f aca="false">IF(D357&gt;=E357,D357-E357,0)</f>
        <v>0</v>
      </c>
      <c r="G357" s="32" t="n">
        <f aca="false">IF(E357&gt;D357,E357-D357,0)</f>
        <v>0</v>
      </c>
    </row>
    <row r="358" customFormat="false" ht="15" hidden="false" customHeight="true" outlineLevel="0" collapsed="false">
      <c r="A358" s="30" t="s">
        <v>505</v>
      </c>
      <c r="B358" s="31" t="s">
        <v>280</v>
      </c>
      <c r="C358" s="30" t="s">
        <v>437</v>
      </c>
      <c r="D358" s="32" t="n">
        <f aca="false">SUMIF('Libro Diario'!$C$5:$C$504,A358,'Libro Diario'!$F$5:$F$504)</f>
        <v>0</v>
      </c>
      <c r="E358" s="32" t="n">
        <f aca="false">SUMIF('Libro Diario'!$C$5:$C$504,A358,'Libro Diario'!$G$5:$G$504)</f>
        <v>0</v>
      </c>
      <c r="F358" s="32" t="n">
        <f aca="false">IF(D358&gt;=E358,D358-E358,0)</f>
        <v>0</v>
      </c>
      <c r="G358" s="32" t="n">
        <f aca="false">IF(E358&gt;D358,E358-D358,0)</f>
        <v>0</v>
      </c>
    </row>
    <row r="359" customFormat="false" ht="15" hidden="false" customHeight="true" outlineLevel="0" collapsed="false">
      <c r="A359" s="30" t="s">
        <v>506</v>
      </c>
      <c r="B359" s="31" t="s">
        <v>66</v>
      </c>
      <c r="C359" s="30" t="s">
        <v>437</v>
      </c>
      <c r="D359" s="32" t="n">
        <f aca="false">SUMIF('Libro Diario'!$C$5:$C$504,A359,'Libro Diario'!$F$5:$F$504)</f>
        <v>0</v>
      </c>
      <c r="E359" s="32" t="n">
        <f aca="false">SUMIF('Libro Diario'!$C$5:$C$504,A359,'Libro Diario'!$G$5:$G$504)</f>
        <v>0</v>
      </c>
      <c r="F359" s="32" t="n">
        <f aca="false">IF(D359&gt;=E359,D359-E359,0)</f>
        <v>0</v>
      </c>
      <c r="G359" s="32" t="n">
        <f aca="false">IF(E359&gt;D359,E359-D359,0)</f>
        <v>0</v>
      </c>
    </row>
    <row r="360" customFormat="false" ht="15" hidden="false" customHeight="true" outlineLevel="0" collapsed="false">
      <c r="A360" s="30" t="s">
        <v>507</v>
      </c>
      <c r="B360" s="31" t="s">
        <v>280</v>
      </c>
      <c r="C360" s="30" t="s">
        <v>437</v>
      </c>
      <c r="D360" s="32" t="n">
        <f aca="false">SUMIF('Libro Diario'!$C$5:$C$504,A360,'Libro Diario'!$F$5:$F$504)</f>
        <v>0</v>
      </c>
      <c r="E360" s="32" t="n">
        <f aca="false">SUMIF('Libro Diario'!$C$5:$C$504,A360,'Libro Diario'!$G$5:$G$504)</f>
        <v>0</v>
      </c>
      <c r="F360" s="32" t="n">
        <f aca="false">IF(D360&gt;=E360,D360-E360,0)</f>
        <v>0</v>
      </c>
      <c r="G360" s="32" t="n">
        <f aca="false">IF(E360&gt;D360,E360-D360,0)</f>
        <v>0</v>
      </c>
    </row>
    <row r="361" customFormat="false" ht="15" hidden="false" customHeight="true" outlineLevel="0" collapsed="false">
      <c r="A361" s="30" t="s">
        <v>508</v>
      </c>
      <c r="B361" s="31" t="s">
        <v>66</v>
      </c>
      <c r="C361" s="30" t="s">
        <v>437</v>
      </c>
      <c r="D361" s="32" t="n">
        <f aca="false">SUMIF('Libro Diario'!$C$5:$C$504,A361,'Libro Diario'!$F$5:$F$504)</f>
        <v>0</v>
      </c>
      <c r="E361" s="32" t="n">
        <f aca="false">SUMIF('Libro Diario'!$C$5:$C$504,A361,'Libro Diario'!$G$5:$G$504)</f>
        <v>0</v>
      </c>
      <c r="F361" s="32" t="n">
        <f aca="false">IF(D361&gt;=E361,D361-E361,0)</f>
        <v>0</v>
      </c>
      <c r="G361" s="32" t="n">
        <f aca="false">IF(E361&gt;D361,E361-D361,0)</f>
        <v>0</v>
      </c>
    </row>
    <row r="362" customFormat="false" ht="15" hidden="false" customHeight="true" outlineLevel="0" collapsed="false">
      <c r="A362" s="30" t="s">
        <v>509</v>
      </c>
      <c r="B362" s="31" t="s">
        <v>280</v>
      </c>
      <c r="C362" s="30" t="s">
        <v>437</v>
      </c>
      <c r="D362" s="32" t="n">
        <f aca="false">SUMIF('Libro Diario'!$C$5:$C$504,A362,'Libro Diario'!$F$5:$F$504)</f>
        <v>0</v>
      </c>
      <c r="E362" s="32" t="n">
        <f aca="false">SUMIF('Libro Diario'!$C$5:$C$504,A362,'Libro Diario'!$G$5:$G$504)</f>
        <v>0</v>
      </c>
      <c r="F362" s="32" t="n">
        <f aca="false">IF(D362&gt;=E362,D362-E362,0)</f>
        <v>0</v>
      </c>
      <c r="G362" s="32" t="n">
        <f aca="false">IF(E362&gt;D362,E362-D362,0)</f>
        <v>0</v>
      </c>
    </row>
    <row r="363" customFormat="false" ht="15" hidden="false" customHeight="true" outlineLevel="0" collapsed="false">
      <c r="A363" s="30" t="s">
        <v>510</v>
      </c>
      <c r="B363" s="31" t="s">
        <v>66</v>
      </c>
      <c r="C363" s="30" t="s">
        <v>437</v>
      </c>
      <c r="D363" s="32" t="n">
        <f aca="false">SUMIF('Libro Diario'!$C$5:$C$504,A363,'Libro Diario'!$F$5:$F$504)</f>
        <v>0</v>
      </c>
      <c r="E363" s="32" t="n">
        <f aca="false">SUMIF('Libro Diario'!$C$5:$C$504,A363,'Libro Diario'!$G$5:$G$504)</f>
        <v>0</v>
      </c>
      <c r="F363" s="32" t="n">
        <f aca="false">IF(D363&gt;=E363,D363-E363,0)</f>
        <v>0</v>
      </c>
      <c r="G363" s="32" t="n">
        <f aca="false">IF(E363&gt;D363,E363-D363,0)</f>
        <v>0</v>
      </c>
    </row>
    <row r="364" customFormat="false" ht="15" hidden="false" customHeight="true" outlineLevel="0" collapsed="false">
      <c r="A364" s="30" t="s">
        <v>511</v>
      </c>
      <c r="B364" s="31" t="s">
        <v>280</v>
      </c>
      <c r="C364" s="30" t="s">
        <v>437</v>
      </c>
      <c r="D364" s="32" t="n">
        <f aca="false">SUMIF('Libro Diario'!$C$5:$C$504,A364,'Libro Diario'!$F$5:$F$504)</f>
        <v>0</v>
      </c>
      <c r="E364" s="32" t="n">
        <f aca="false">SUMIF('Libro Diario'!$C$5:$C$504,A364,'Libro Diario'!$G$5:$G$504)</f>
        <v>0</v>
      </c>
      <c r="F364" s="32" t="n">
        <f aca="false">IF(D364&gt;=E364,D364-E364,0)</f>
        <v>0</v>
      </c>
      <c r="G364" s="32" t="n">
        <f aca="false">IF(E364&gt;D364,E364-D364,0)</f>
        <v>0</v>
      </c>
    </row>
    <row r="365" customFormat="false" ht="15" hidden="false" customHeight="true" outlineLevel="0" collapsed="false">
      <c r="A365" s="30" t="s">
        <v>512</v>
      </c>
      <c r="B365" s="31" t="s">
        <v>66</v>
      </c>
      <c r="C365" s="30" t="s">
        <v>437</v>
      </c>
      <c r="D365" s="32" t="n">
        <f aca="false">SUMIF('Libro Diario'!$C$5:$C$504,A365,'Libro Diario'!$F$5:$F$504)</f>
        <v>0</v>
      </c>
      <c r="E365" s="32" t="n">
        <f aca="false">SUMIF('Libro Diario'!$C$5:$C$504,A365,'Libro Diario'!$G$5:$G$504)</f>
        <v>0</v>
      </c>
      <c r="F365" s="32" t="n">
        <f aca="false">IF(D365&gt;=E365,D365-E365,0)</f>
        <v>0</v>
      </c>
      <c r="G365" s="32" t="n">
        <f aca="false">IF(E365&gt;D365,E365-D365,0)</f>
        <v>0</v>
      </c>
    </row>
    <row r="366" customFormat="false" ht="15" hidden="false" customHeight="true" outlineLevel="0" collapsed="false">
      <c r="A366" s="30" t="s">
        <v>513</v>
      </c>
      <c r="B366" s="31" t="s">
        <v>66</v>
      </c>
      <c r="C366" s="30" t="s">
        <v>437</v>
      </c>
      <c r="D366" s="32" t="n">
        <f aca="false">SUMIF('Libro Diario'!$C$5:$C$504,A366,'Libro Diario'!$F$5:$F$504)</f>
        <v>0</v>
      </c>
      <c r="E366" s="32" t="n">
        <f aca="false">SUMIF('Libro Diario'!$C$5:$C$504,A366,'Libro Diario'!$G$5:$G$504)</f>
        <v>0</v>
      </c>
      <c r="F366" s="32" t="n">
        <f aca="false">IF(D366&gt;=E366,D366-E366,0)</f>
        <v>0</v>
      </c>
      <c r="G366" s="32" t="n">
        <f aca="false">IF(E366&gt;D366,E366-D366,0)</f>
        <v>0</v>
      </c>
    </row>
    <row r="367" customFormat="false" ht="15" hidden="false" customHeight="true" outlineLevel="0" collapsed="false">
      <c r="A367" s="30" t="s">
        <v>514</v>
      </c>
      <c r="B367" s="31" t="s">
        <v>280</v>
      </c>
      <c r="C367" s="30" t="s">
        <v>437</v>
      </c>
      <c r="D367" s="32" t="n">
        <f aca="false">SUMIF('Libro Diario'!$C$5:$C$504,A367,'Libro Diario'!$F$5:$F$504)</f>
        <v>0</v>
      </c>
      <c r="E367" s="32" t="n">
        <f aca="false">SUMIF('Libro Diario'!$C$5:$C$504,A367,'Libro Diario'!$G$5:$G$504)</f>
        <v>0</v>
      </c>
      <c r="F367" s="32" t="n">
        <f aca="false">IF(D367&gt;=E367,D367-E367,0)</f>
        <v>0</v>
      </c>
      <c r="G367" s="32" t="n">
        <f aca="false">IF(E367&gt;D367,E367-D367,0)</f>
        <v>0</v>
      </c>
    </row>
    <row r="368" customFormat="false" ht="15" hidden="false" customHeight="true" outlineLevel="0" collapsed="false">
      <c r="A368" s="30" t="s">
        <v>515</v>
      </c>
      <c r="B368" s="31" t="s">
        <v>66</v>
      </c>
      <c r="C368" s="30" t="s">
        <v>437</v>
      </c>
      <c r="D368" s="32" t="n">
        <f aca="false">SUMIF('Libro Diario'!$C$5:$C$504,A368,'Libro Diario'!$F$5:$F$504)</f>
        <v>0</v>
      </c>
      <c r="E368" s="32" t="n">
        <f aca="false">SUMIF('Libro Diario'!$C$5:$C$504,A368,'Libro Diario'!$G$5:$G$504)</f>
        <v>0</v>
      </c>
      <c r="F368" s="32" t="n">
        <f aca="false">IF(D368&gt;=E368,D368-E368,0)</f>
        <v>0</v>
      </c>
      <c r="G368" s="32" t="n">
        <f aca="false">IF(E368&gt;D368,E368-D368,0)</f>
        <v>0</v>
      </c>
    </row>
    <row r="369" customFormat="false" ht="15" hidden="false" customHeight="true" outlineLevel="0" collapsed="false">
      <c r="A369" s="30" t="s">
        <v>516</v>
      </c>
      <c r="B369" s="31" t="s">
        <v>280</v>
      </c>
      <c r="C369" s="30" t="s">
        <v>437</v>
      </c>
      <c r="D369" s="32" t="n">
        <f aca="false">SUMIF('Libro Diario'!$C$5:$C$504,A369,'Libro Diario'!$F$5:$F$504)</f>
        <v>0</v>
      </c>
      <c r="E369" s="32" t="n">
        <f aca="false">SUMIF('Libro Diario'!$C$5:$C$504,A369,'Libro Diario'!$G$5:$G$504)</f>
        <v>0</v>
      </c>
      <c r="F369" s="32" t="n">
        <f aca="false">IF(D369&gt;=E369,D369-E369,0)</f>
        <v>0</v>
      </c>
      <c r="G369" s="32" t="n">
        <f aca="false">IF(E369&gt;D369,E369-D369,0)</f>
        <v>0</v>
      </c>
    </row>
    <row r="370" customFormat="false" ht="15" hidden="false" customHeight="true" outlineLevel="0" collapsed="false">
      <c r="A370" s="30" t="s">
        <v>517</v>
      </c>
      <c r="B370" s="31" t="s">
        <v>66</v>
      </c>
      <c r="C370" s="30" t="s">
        <v>437</v>
      </c>
      <c r="D370" s="32" t="n">
        <f aca="false">SUMIF('Libro Diario'!$C$5:$C$504,A370,'Libro Diario'!$F$5:$F$504)</f>
        <v>0</v>
      </c>
      <c r="E370" s="32" t="n">
        <f aca="false">SUMIF('Libro Diario'!$C$5:$C$504,A370,'Libro Diario'!$G$5:$G$504)</f>
        <v>0</v>
      </c>
      <c r="F370" s="32" t="n">
        <f aca="false">IF(D370&gt;=E370,D370-E370,0)</f>
        <v>0</v>
      </c>
      <c r="G370" s="32" t="n">
        <f aca="false">IF(E370&gt;D370,E370-D370,0)</f>
        <v>0</v>
      </c>
    </row>
    <row r="371" customFormat="false" ht="15" hidden="false" customHeight="true" outlineLevel="0" collapsed="false">
      <c r="A371" s="30" t="s">
        <v>518</v>
      </c>
      <c r="B371" s="31" t="s">
        <v>280</v>
      </c>
      <c r="C371" s="30" t="s">
        <v>437</v>
      </c>
      <c r="D371" s="32" t="n">
        <f aca="false">SUMIF('Libro Diario'!$C$5:$C$504,A371,'Libro Diario'!$F$5:$F$504)</f>
        <v>0</v>
      </c>
      <c r="E371" s="32" t="n">
        <f aca="false">SUMIF('Libro Diario'!$C$5:$C$504,A371,'Libro Diario'!$G$5:$G$504)</f>
        <v>0</v>
      </c>
      <c r="F371" s="32" t="n">
        <f aca="false">IF(D371&gt;=E371,D371-E371,0)</f>
        <v>0</v>
      </c>
      <c r="G371" s="32" t="n">
        <f aca="false">IF(E371&gt;D371,E371-D371,0)</f>
        <v>0</v>
      </c>
    </row>
    <row r="372" customFormat="false" ht="15" hidden="false" customHeight="true" outlineLevel="0" collapsed="false">
      <c r="A372" s="30" t="s">
        <v>519</v>
      </c>
      <c r="B372" s="31" t="s">
        <v>66</v>
      </c>
      <c r="C372" s="30" t="s">
        <v>437</v>
      </c>
      <c r="D372" s="32" t="n">
        <f aca="false">SUMIF('Libro Diario'!$C$5:$C$504,A372,'Libro Diario'!$F$5:$F$504)</f>
        <v>0</v>
      </c>
      <c r="E372" s="32" t="n">
        <f aca="false">SUMIF('Libro Diario'!$C$5:$C$504,A372,'Libro Diario'!$G$5:$G$504)</f>
        <v>0</v>
      </c>
      <c r="F372" s="32" t="n">
        <f aca="false">IF(D372&gt;=E372,D372-E372,0)</f>
        <v>0</v>
      </c>
      <c r="G372" s="32" t="n">
        <f aca="false">IF(E372&gt;D372,E372-D372,0)</f>
        <v>0</v>
      </c>
    </row>
    <row r="373" customFormat="false" ht="15" hidden="false" customHeight="true" outlineLevel="0" collapsed="false">
      <c r="A373" s="30" t="s">
        <v>520</v>
      </c>
      <c r="B373" s="31" t="s">
        <v>280</v>
      </c>
      <c r="C373" s="30" t="s">
        <v>437</v>
      </c>
      <c r="D373" s="32" t="n">
        <f aca="false">SUMIF('Libro Diario'!$C$5:$C$504,A373,'Libro Diario'!$F$5:$F$504)</f>
        <v>0</v>
      </c>
      <c r="E373" s="32" t="n">
        <f aca="false">SUMIF('Libro Diario'!$C$5:$C$504,A373,'Libro Diario'!$G$5:$G$504)</f>
        <v>0</v>
      </c>
      <c r="F373" s="32" t="n">
        <f aca="false">IF(D373&gt;=E373,D373-E373,0)</f>
        <v>0</v>
      </c>
      <c r="G373" s="32" t="n">
        <f aca="false">IF(E373&gt;D373,E373-D373,0)</f>
        <v>0</v>
      </c>
    </row>
    <row r="374" customFormat="false" ht="15" hidden="false" customHeight="true" outlineLevel="0" collapsed="false">
      <c r="A374" s="30" t="s">
        <v>521</v>
      </c>
      <c r="B374" s="31" t="s">
        <v>66</v>
      </c>
      <c r="C374" s="30" t="s">
        <v>437</v>
      </c>
      <c r="D374" s="32" t="n">
        <f aca="false">SUMIF('Libro Diario'!$C$5:$C$504,A374,'Libro Diario'!$F$5:$F$504)</f>
        <v>0</v>
      </c>
      <c r="E374" s="32" t="n">
        <f aca="false">SUMIF('Libro Diario'!$C$5:$C$504,A374,'Libro Diario'!$G$5:$G$504)</f>
        <v>0</v>
      </c>
      <c r="F374" s="32" t="n">
        <f aca="false">IF(D374&gt;=E374,D374-E374,0)</f>
        <v>0</v>
      </c>
      <c r="G374" s="32" t="n">
        <f aca="false">IF(E374&gt;D374,E374-D374,0)</f>
        <v>0</v>
      </c>
    </row>
    <row r="375" customFormat="false" ht="15" hidden="false" customHeight="true" outlineLevel="0" collapsed="false">
      <c r="A375" s="30" t="s">
        <v>522</v>
      </c>
      <c r="B375" s="31" t="s">
        <v>280</v>
      </c>
      <c r="C375" s="30" t="s">
        <v>437</v>
      </c>
      <c r="D375" s="32" t="n">
        <f aca="false">SUMIF('Libro Diario'!$C$5:$C$504,A375,'Libro Diario'!$F$5:$F$504)</f>
        <v>0</v>
      </c>
      <c r="E375" s="32" t="n">
        <f aca="false">SUMIF('Libro Diario'!$C$5:$C$504,A375,'Libro Diario'!$G$5:$G$504)</f>
        <v>0</v>
      </c>
      <c r="F375" s="32" t="n">
        <f aca="false">IF(D375&gt;=E375,D375-E375,0)</f>
        <v>0</v>
      </c>
      <c r="G375" s="32" t="n">
        <f aca="false">IF(E375&gt;D375,E375-D375,0)</f>
        <v>0</v>
      </c>
    </row>
    <row r="376" customFormat="false" ht="15" hidden="false" customHeight="true" outlineLevel="0" collapsed="false">
      <c r="A376" s="30" t="s">
        <v>523</v>
      </c>
      <c r="B376" s="31" t="s">
        <v>250</v>
      </c>
      <c r="C376" s="30" t="s">
        <v>437</v>
      </c>
      <c r="D376" s="32" t="n">
        <f aca="false">SUMIF('Libro Diario'!$C$5:$C$504,A376,'Libro Diario'!$F$5:$F$504)</f>
        <v>0</v>
      </c>
      <c r="E376" s="32" t="n">
        <f aca="false">SUMIF('Libro Diario'!$C$5:$C$504,A376,'Libro Diario'!$G$5:$G$504)</f>
        <v>0</v>
      </c>
      <c r="F376" s="32" t="n">
        <f aca="false">IF(D376&gt;=E376,D376-E376,0)</f>
        <v>0</v>
      </c>
      <c r="G376" s="32" t="n">
        <f aca="false">IF(E376&gt;D376,E376-D376,0)</f>
        <v>0</v>
      </c>
    </row>
    <row r="377" customFormat="false" ht="15" hidden="false" customHeight="true" outlineLevel="0" collapsed="false">
      <c r="A377" s="30" t="s">
        <v>524</v>
      </c>
      <c r="B377" s="31" t="s">
        <v>165</v>
      </c>
      <c r="C377" s="30" t="s">
        <v>437</v>
      </c>
      <c r="D377" s="32" t="n">
        <f aca="false">SUMIF('Libro Diario'!$C$5:$C$504,A377,'Libro Diario'!$F$5:$F$504)</f>
        <v>0</v>
      </c>
      <c r="E377" s="32" t="n">
        <f aca="false">SUMIF('Libro Diario'!$C$5:$C$504,A377,'Libro Diario'!$G$5:$G$504)</f>
        <v>0</v>
      </c>
      <c r="F377" s="32" t="n">
        <f aca="false">IF(D377&gt;=E377,D377-E377,0)</f>
        <v>0</v>
      </c>
      <c r="G377" s="32" t="n">
        <f aca="false">IF(E377&gt;D377,E377-D377,0)</f>
        <v>0</v>
      </c>
    </row>
    <row r="378" customFormat="false" ht="15" hidden="false" customHeight="true" outlineLevel="0" collapsed="false">
      <c r="A378" s="30" t="s">
        <v>525</v>
      </c>
      <c r="B378" s="31" t="s">
        <v>66</v>
      </c>
      <c r="C378" s="30" t="s">
        <v>437</v>
      </c>
      <c r="D378" s="32" t="n">
        <f aca="false">SUMIF('Libro Diario'!$C$5:$C$504,A378,'Libro Diario'!$F$5:$F$504)</f>
        <v>0</v>
      </c>
      <c r="E378" s="32" t="n">
        <f aca="false">SUMIF('Libro Diario'!$C$5:$C$504,A378,'Libro Diario'!$G$5:$G$504)</f>
        <v>0</v>
      </c>
      <c r="F378" s="32" t="n">
        <f aca="false">IF(D378&gt;=E378,D378-E378,0)</f>
        <v>0</v>
      </c>
      <c r="G378" s="32" t="n">
        <f aca="false">IF(E378&gt;D378,E378-D378,0)</f>
        <v>0</v>
      </c>
    </row>
    <row r="379" customFormat="false" ht="15" hidden="false" customHeight="true" outlineLevel="0" collapsed="false">
      <c r="A379" s="30" t="s">
        <v>526</v>
      </c>
      <c r="B379" s="31" t="s">
        <v>280</v>
      </c>
      <c r="C379" s="30" t="s">
        <v>437</v>
      </c>
      <c r="D379" s="32" t="n">
        <f aca="false">SUMIF('Libro Diario'!$C$5:$C$504,A379,'Libro Diario'!$F$5:$F$504)</f>
        <v>0</v>
      </c>
      <c r="E379" s="32" t="n">
        <f aca="false">SUMIF('Libro Diario'!$C$5:$C$504,A379,'Libro Diario'!$G$5:$G$504)</f>
        <v>0</v>
      </c>
      <c r="F379" s="32" t="n">
        <f aca="false">IF(D379&gt;=E379,D379-E379,0)</f>
        <v>0</v>
      </c>
      <c r="G379" s="32" t="n">
        <f aca="false">IF(E379&gt;D379,E379-D379,0)</f>
        <v>0</v>
      </c>
    </row>
    <row r="380" customFormat="false" ht="15" hidden="false" customHeight="true" outlineLevel="0" collapsed="false">
      <c r="A380" s="30" t="s">
        <v>527</v>
      </c>
      <c r="B380" s="31" t="s">
        <v>250</v>
      </c>
      <c r="C380" s="30" t="s">
        <v>437</v>
      </c>
      <c r="D380" s="32" t="n">
        <f aca="false">SUMIF('Libro Diario'!$C$5:$C$504,A380,'Libro Diario'!$F$5:$F$504)</f>
        <v>0</v>
      </c>
      <c r="E380" s="32" t="n">
        <f aca="false">SUMIF('Libro Diario'!$C$5:$C$504,A380,'Libro Diario'!$G$5:$G$504)</f>
        <v>0</v>
      </c>
      <c r="F380" s="32" t="n">
        <f aca="false">IF(D380&gt;=E380,D380-E380,0)</f>
        <v>0</v>
      </c>
      <c r="G380" s="32" t="n">
        <f aca="false">IF(E380&gt;D380,E380-D380,0)</f>
        <v>0</v>
      </c>
    </row>
    <row r="381" customFormat="false" ht="15" hidden="false" customHeight="true" outlineLevel="0" collapsed="false">
      <c r="A381" s="30" t="s">
        <v>528</v>
      </c>
      <c r="B381" s="31" t="s">
        <v>165</v>
      </c>
      <c r="C381" s="30" t="s">
        <v>437</v>
      </c>
      <c r="D381" s="32" t="n">
        <f aca="false">SUMIF('Libro Diario'!$C$5:$C$504,A381,'Libro Diario'!$F$5:$F$504)</f>
        <v>0</v>
      </c>
      <c r="E381" s="32" t="n">
        <f aca="false">SUMIF('Libro Diario'!$C$5:$C$504,A381,'Libro Diario'!$G$5:$G$504)</f>
        <v>0</v>
      </c>
      <c r="F381" s="32" t="n">
        <f aca="false">IF(D381&gt;=E381,D381-E381,0)</f>
        <v>0</v>
      </c>
      <c r="G381" s="32" t="n">
        <f aca="false">IF(E381&gt;D381,E381-D381,0)</f>
        <v>0</v>
      </c>
    </row>
    <row r="382" customFormat="false" ht="15" hidden="false" customHeight="true" outlineLevel="0" collapsed="false">
      <c r="A382" s="30" t="s">
        <v>529</v>
      </c>
      <c r="B382" s="31" t="s">
        <v>66</v>
      </c>
      <c r="C382" s="30" t="s">
        <v>437</v>
      </c>
      <c r="D382" s="32" t="n">
        <f aca="false">SUMIF('Libro Diario'!$C$5:$C$504,A382,'Libro Diario'!$F$5:$F$504)</f>
        <v>0</v>
      </c>
      <c r="E382" s="32" t="n">
        <f aca="false">SUMIF('Libro Diario'!$C$5:$C$504,A382,'Libro Diario'!$G$5:$G$504)</f>
        <v>0</v>
      </c>
      <c r="F382" s="32" t="n">
        <f aca="false">IF(D382&gt;=E382,D382-E382,0)</f>
        <v>0</v>
      </c>
      <c r="G382" s="32" t="n">
        <f aca="false">IF(E382&gt;D382,E382-D382,0)</f>
        <v>0</v>
      </c>
    </row>
    <row r="383" customFormat="false" ht="15" hidden="false" customHeight="true" outlineLevel="0" collapsed="false">
      <c r="A383" s="30" t="s">
        <v>530</v>
      </c>
      <c r="B383" s="31" t="s">
        <v>280</v>
      </c>
      <c r="C383" s="30" t="s">
        <v>437</v>
      </c>
      <c r="D383" s="32" t="n">
        <f aca="false">SUMIF('Libro Diario'!$C$5:$C$504,A383,'Libro Diario'!$F$5:$F$504)</f>
        <v>0</v>
      </c>
      <c r="E383" s="32" t="n">
        <f aca="false">SUMIF('Libro Diario'!$C$5:$C$504,A383,'Libro Diario'!$G$5:$G$504)</f>
        <v>0</v>
      </c>
      <c r="F383" s="32" t="n">
        <f aca="false">IF(D383&gt;=E383,D383-E383,0)</f>
        <v>0</v>
      </c>
      <c r="G383" s="32" t="n">
        <f aca="false">IF(E383&gt;D383,E383-D383,0)</f>
        <v>0</v>
      </c>
    </row>
    <row r="384" customFormat="false" ht="15" hidden="false" customHeight="true" outlineLevel="0" collapsed="false">
      <c r="A384" s="30" t="s">
        <v>531</v>
      </c>
      <c r="B384" s="31" t="s">
        <v>66</v>
      </c>
      <c r="C384" s="30" t="s">
        <v>437</v>
      </c>
      <c r="D384" s="32" t="n">
        <f aca="false">SUMIF('Libro Diario'!$C$5:$C$504,A384,'Libro Diario'!$F$5:$F$504)</f>
        <v>0</v>
      </c>
      <c r="E384" s="32" t="n">
        <f aca="false">SUMIF('Libro Diario'!$C$5:$C$504,A384,'Libro Diario'!$G$5:$G$504)</f>
        <v>0</v>
      </c>
      <c r="F384" s="32" t="n">
        <f aca="false">IF(D384&gt;=E384,D384-E384,0)</f>
        <v>0</v>
      </c>
      <c r="G384" s="32" t="n">
        <f aca="false">IF(E384&gt;D384,E384-D384,0)</f>
        <v>0</v>
      </c>
    </row>
    <row r="385" customFormat="false" ht="15" hidden="false" customHeight="true" outlineLevel="0" collapsed="false">
      <c r="A385" s="30" t="s">
        <v>532</v>
      </c>
      <c r="B385" s="31" t="s">
        <v>280</v>
      </c>
      <c r="C385" s="30" t="s">
        <v>437</v>
      </c>
      <c r="D385" s="32" t="n">
        <f aca="false">SUMIF('Libro Diario'!$C$5:$C$504,A385,'Libro Diario'!$F$5:$F$504)</f>
        <v>0</v>
      </c>
      <c r="E385" s="32" t="n">
        <f aca="false">SUMIF('Libro Diario'!$C$5:$C$504,A385,'Libro Diario'!$G$5:$G$504)</f>
        <v>0</v>
      </c>
      <c r="F385" s="32" t="n">
        <f aca="false">IF(D385&gt;=E385,D385-E385,0)</f>
        <v>0</v>
      </c>
      <c r="G385" s="32" t="n">
        <f aca="false">IF(E385&gt;D385,E385-D385,0)</f>
        <v>0</v>
      </c>
    </row>
    <row r="386" customFormat="false" ht="15" hidden="false" customHeight="true" outlineLevel="0" collapsed="false">
      <c r="A386" s="30" t="s">
        <v>533</v>
      </c>
      <c r="B386" s="31" t="s">
        <v>250</v>
      </c>
      <c r="C386" s="30" t="s">
        <v>437</v>
      </c>
      <c r="D386" s="32" t="n">
        <f aca="false">SUMIF('Libro Diario'!$C$5:$C$504,A386,'Libro Diario'!$F$5:$F$504)</f>
        <v>0</v>
      </c>
      <c r="E386" s="32" t="n">
        <f aca="false">SUMIF('Libro Diario'!$C$5:$C$504,A386,'Libro Diario'!$G$5:$G$504)</f>
        <v>0</v>
      </c>
      <c r="F386" s="32" t="n">
        <f aca="false">IF(D386&gt;=E386,D386-E386,0)</f>
        <v>0</v>
      </c>
      <c r="G386" s="32" t="n">
        <f aca="false">IF(E386&gt;D386,E386-D386,0)</f>
        <v>0</v>
      </c>
    </row>
    <row r="387" customFormat="false" ht="15" hidden="false" customHeight="true" outlineLevel="0" collapsed="false">
      <c r="A387" s="30" t="s">
        <v>534</v>
      </c>
      <c r="B387" s="31" t="s">
        <v>66</v>
      </c>
      <c r="C387" s="30" t="s">
        <v>437</v>
      </c>
      <c r="D387" s="32" t="n">
        <f aca="false">SUMIF('Libro Diario'!$C$5:$C$504,A387,'Libro Diario'!$F$5:$F$504)</f>
        <v>0</v>
      </c>
      <c r="E387" s="32" t="n">
        <f aca="false">SUMIF('Libro Diario'!$C$5:$C$504,A387,'Libro Diario'!$G$5:$G$504)</f>
        <v>0</v>
      </c>
      <c r="F387" s="32" t="n">
        <f aca="false">IF(D387&gt;=E387,D387-E387,0)</f>
        <v>0</v>
      </c>
      <c r="G387" s="32" t="n">
        <f aca="false">IF(E387&gt;D387,E387-D387,0)</f>
        <v>0</v>
      </c>
    </row>
    <row r="388" customFormat="false" ht="15" hidden="false" customHeight="true" outlineLevel="0" collapsed="false">
      <c r="A388" s="30" t="s">
        <v>535</v>
      </c>
      <c r="B388" s="31" t="s">
        <v>280</v>
      </c>
      <c r="C388" s="30" t="s">
        <v>437</v>
      </c>
      <c r="D388" s="32" t="n">
        <f aca="false">SUMIF('Libro Diario'!$C$5:$C$504,A388,'Libro Diario'!$F$5:$F$504)</f>
        <v>0</v>
      </c>
      <c r="E388" s="32" t="n">
        <f aca="false">SUMIF('Libro Diario'!$C$5:$C$504,A388,'Libro Diario'!$G$5:$G$504)</f>
        <v>0</v>
      </c>
      <c r="F388" s="32" t="n">
        <f aca="false">IF(D388&gt;=E388,D388-E388,0)</f>
        <v>0</v>
      </c>
      <c r="G388" s="32" t="n">
        <f aca="false">IF(E388&gt;D388,E388-D388,0)</f>
        <v>0</v>
      </c>
    </row>
    <row r="389" customFormat="false" ht="15" hidden="false" customHeight="true" outlineLevel="0" collapsed="false">
      <c r="A389" s="30" t="s">
        <v>536</v>
      </c>
      <c r="B389" s="31" t="s">
        <v>250</v>
      </c>
      <c r="C389" s="30" t="s">
        <v>437</v>
      </c>
      <c r="D389" s="32" t="n">
        <f aca="false">SUMIF('Libro Diario'!$C$5:$C$504,A389,'Libro Diario'!$F$5:$F$504)</f>
        <v>0</v>
      </c>
      <c r="E389" s="32" t="n">
        <f aca="false">SUMIF('Libro Diario'!$C$5:$C$504,A389,'Libro Diario'!$G$5:$G$504)</f>
        <v>0</v>
      </c>
      <c r="F389" s="32" t="n">
        <f aca="false">IF(D389&gt;=E389,D389-E389,0)</f>
        <v>0</v>
      </c>
      <c r="G389" s="32" t="n">
        <f aca="false">IF(E389&gt;D389,E389-D389,0)</f>
        <v>0</v>
      </c>
    </row>
    <row r="390" customFormat="false" ht="15" hidden="false" customHeight="true" outlineLevel="0" collapsed="false">
      <c r="A390" s="30" t="s">
        <v>537</v>
      </c>
      <c r="B390" s="31" t="s">
        <v>66</v>
      </c>
      <c r="C390" s="30" t="s">
        <v>437</v>
      </c>
      <c r="D390" s="32" t="n">
        <f aca="false">SUMIF('Libro Diario'!$C$5:$C$504,A390,'Libro Diario'!$F$5:$F$504)</f>
        <v>0</v>
      </c>
      <c r="E390" s="32" t="n">
        <f aca="false">SUMIF('Libro Diario'!$C$5:$C$504,A390,'Libro Diario'!$G$5:$G$504)</f>
        <v>0</v>
      </c>
      <c r="F390" s="32" t="n">
        <f aca="false">IF(D390&gt;=E390,D390-E390,0)</f>
        <v>0</v>
      </c>
      <c r="G390" s="32" t="n">
        <f aca="false">IF(E390&gt;D390,E390-D390,0)</f>
        <v>0</v>
      </c>
    </row>
    <row r="391" customFormat="false" ht="15" hidden="false" customHeight="true" outlineLevel="0" collapsed="false">
      <c r="A391" s="30" t="s">
        <v>538</v>
      </c>
      <c r="B391" s="31" t="s">
        <v>280</v>
      </c>
      <c r="C391" s="30" t="s">
        <v>437</v>
      </c>
      <c r="D391" s="32" t="n">
        <f aca="false">SUMIF('Libro Diario'!$C$5:$C$504,A391,'Libro Diario'!$F$5:$F$504)</f>
        <v>0</v>
      </c>
      <c r="E391" s="32" t="n">
        <f aca="false">SUMIF('Libro Diario'!$C$5:$C$504,A391,'Libro Diario'!$G$5:$G$504)</f>
        <v>0</v>
      </c>
      <c r="F391" s="32" t="n">
        <f aca="false">IF(D391&gt;=E391,D391-E391,0)</f>
        <v>0</v>
      </c>
      <c r="G391" s="32" t="n">
        <f aca="false">IF(E391&gt;D391,E391-D391,0)</f>
        <v>0</v>
      </c>
    </row>
    <row r="392" customFormat="false" ht="15" hidden="false" customHeight="true" outlineLevel="0" collapsed="false">
      <c r="A392" s="30" t="s">
        <v>539</v>
      </c>
      <c r="B392" s="31" t="s">
        <v>540</v>
      </c>
      <c r="C392" s="30" t="s">
        <v>437</v>
      </c>
      <c r="D392" s="32" t="n">
        <f aca="false">SUMIF('Libro Diario'!$C$5:$C$504,A392,'Libro Diario'!$F$5:$F$504)</f>
        <v>0</v>
      </c>
      <c r="E392" s="32" t="n">
        <f aca="false">SUMIF('Libro Diario'!$C$5:$C$504,A392,'Libro Diario'!$G$5:$G$504)</f>
        <v>0</v>
      </c>
      <c r="F392" s="32" t="n">
        <f aca="false">IF(D392&gt;=E392,D392-E392,0)</f>
        <v>0</v>
      </c>
      <c r="G392" s="32" t="n">
        <f aca="false">IF(E392&gt;D392,E392-D392,0)</f>
        <v>0</v>
      </c>
    </row>
    <row r="393" customFormat="false" ht="15" hidden="false" customHeight="true" outlineLevel="0" collapsed="false">
      <c r="A393" s="30" t="s">
        <v>541</v>
      </c>
      <c r="B393" s="31" t="s">
        <v>66</v>
      </c>
      <c r="C393" s="30" t="s">
        <v>437</v>
      </c>
      <c r="D393" s="32" t="n">
        <f aca="false">SUMIF('Libro Diario'!$C$5:$C$504,A393,'Libro Diario'!$F$5:$F$504)</f>
        <v>0</v>
      </c>
      <c r="E393" s="32" t="n">
        <f aca="false">SUMIF('Libro Diario'!$C$5:$C$504,A393,'Libro Diario'!$G$5:$G$504)</f>
        <v>0</v>
      </c>
      <c r="F393" s="32" t="n">
        <f aca="false">IF(D393&gt;=E393,D393-E393,0)</f>
        <v>0</v>
      </c>
      <c r="G393" s="32" t="n">
        <f aca="false">IF(E393&gt;D393,E393-D393,0)</f>
        <v>0</v>
      </c>
    </row>
    <row r="394" customFormat="false" ht="15" hidden="false" customHeight="true" outlineLevel="0" collapsed="false">
      <c r="A394" s="30" t="s">
        <v>542</v>
      </c>
      <c r="B394" s="31" t="s">
        <v>280</v>
      </c>
      <c r="C394" s="30" t="s">
        <v>437</v>
      </c>
      <c r="D394" s="32" t="n">
        <f aca="false">SUMIF('Libro Diario'!$C$5:$C$504,A394,'Libro Diario'!$F$5:$F$504)</f>
        <v>0</v>
      </c>
      <c r="E394" s="32" t="n">
        <f aca="false">SUMIF('Libro Diario'!$C$5:$C$504,A394,'Libro Diario'!$G$5:$G$504)</f>
        <v>0</v>
      </c>
      <c r="F394" s="32" t="n">
        <f aca="false">IF(D394&gt;=E394,D394-E394,0)</f>
        <v>0</v>
      </c>
      <c r="G394" s="32" t="n">
        <f aca="false">IF(E394&gt;D394,E394-D394,0)</f>
        <v>0</v>
      </c>
    </row>
    <row r="395" customFormat="false" ht="15" hidden="false" customHeight="true" outlineLevel="0" collapsed="false">
      <c r="A395" s="30" t="s">
        <v>543</v>
      </c>
      <c r="B395" s="31" t="s">
        <v>250</v>
      </c>
      <c r="C395" s="30" t="s">
        <v>437</v>
      </c>
      <c r="D395" s="32" t="n">
        <f aca="false">SUMIF('Libro Diario'!$C$5:$C$504,A395,'Libro Diario'!$F$5:$F$504)</f>
        <v>0</v>
      </c>
      <c r="E395" s="32" t="n">
        <f aca="false">SUMIF('Libro Diario'!$C$5:$C$504,A395,'Libro Diario'!$G$5:$G$504)</f>
        <v>0</v>
      </c>
      <c r="F395" s="32" t="n">
        <f aca="false">IF(D395&gt;=E395,D395-E395,0)</f>
        <v>0</v>
      </c>
      <c r="G395" s="32" t="n">
        <f aca="false">IF(E395&gt;D395,E395-D395,0)</f>
        <v>0</v>
      </c>
    </row>
    <row r="396" customFormat="false" ht="15" hidden="false" customHeight="true" outlineLevel="0" collapsed="false">
      <c r="A396" s="30" t="s">
        <v>544</v>
      </c>
      <c r="B396" s="31" t="s">
        <v>66</v>
      </c>
      <c r="C396" s="30" t="s">
        <v>437</v>
      </c>
      <c r="D396" s="32" t="n">
        <f aca="false">SUMIF('Libro Diario'!$C$5:$C$504,A396,'Libro Diario'!$F$5:$F$504)</f>
        <v>0</v>
      </c>
      <c r="E396" s="32" t="n">
        <f aca="false">SUMIF('Libro Diario'!$C$5:$C$504,A396,'Libro Diario'!$G$5:$G$504)</f>
        <v>0</v>
      </c>
      <c r="F396" s="32" t="n">
        <f aca="false">IF(D396&gt;=E396,D396-E396,0)</f>
        <v>0</v>
      </c>
      <c r="G396" s="32" t="n">
        <f aca="false">IF(E396&gt;D396,E396-D396,0)</f>
        <v>0</v>
      </c>
    </row>
    <row r="397" customFormat="false" ht="15" hidden="false" customHeight="true" outlineLevel="0" collapsed="false">
      <c r="A397" s="30" t="s">
        <v>545</v>
      </c>
      <c r="B397" s="31" t="s">
        <v>280</v>
      </c>
      <c r="C397" s="30" t="s">
        <v>437</v>
      </c>
      <c r="D397" s="32" t="n">
        <f aca="false">SUMIF('Libro Diario'!$C$5:$C$504,A397,'Libro Diario'!$F$5:$F$504)</f>
        <v>0</v>
      </c>
      <c r="E397" s="32" t="n">
        <f aca="false">SUMIF('Libro Diario'!$C$5:$C$504,A397,'Libro Diario'!$G$5:$G$504)</f>
        <v>0</v>
      </c>
      <c r="F397" s="32" t="n">
        <f aca="false">IF(D397&gt;=E397,D397-E397,0)</f>
        <v>0</v>
      </c>
      <c r="G397" s="32" t="n">
        <f aca="false">IF(E397&gt;D397,E397-D397,0)</f>
        <v>0</v>
      </c>
    </row>
    <row r="398" customFormat="false" ht="15" hidden="false" customHeight="true" outlineLevel="0" collapsed="false">
      <c r="A398" s="30" t="s">
        <v>546</v>
      </c>
      <c r="B398" s="31" t="s">
        <v>66</v>
      </c>
      <c r="C398" s="30" t="s">
        <v>437</v>
      </c>
      <c r="D398" s="32" t="n">
        <f aca="false">SUMIF('Libro Diario'!$C$5:$C$504,A398,'Libro Diario'!$F$5:$F$504)</f>
        <v>0</v>
      </c>
      <c r="E398" s="32" t="n">
        <f aca="false">SUMIF('Libro Diario'!$C$5:$C$504,A398,'Libro Diario'!$G$5:$G$504)</f>
        <v>0</v>
      </c>
      <c r="F398" s="32" t="n">
        <f aca="false">IF(D398&gt;=E398,D398-E398,0)</f>
        <v>0</v>
      </c>
      <c r="G398" s="32" t="n">
        <f aca="false">IF(E398&gt;D398,E398-D398,0)</f>
        <v>0</v>
      </c>
    </row>
    <row r="399" customFormat="false" ht="15" hidden="false" customHeight="true" outlineLevel="0" collapsed="false">
      <c r="A399" s="30" t="s">
        <v>547</v>
      </c>
      <c r="B399" s="31" t="s">
        <v>280</v>
      </c>
      <c r="C399" s="30" t="s">
        <v>437</v>
      </c>
      <c r="D399" s="32" t="n">
        <f aca="false">SUMIF('Libro Diario'!$C$5:$C$504,A399,'Libro Diario'!$F$5:$F$504)</f>
        <v>0</v>
      </c>
      <c r="E399" s="32" t="n">
        <f aca="false">SUMIF('Libro Diario'!$C$5:$C$504,A399,'Libro Diario'!$G$5:$G$504)</f>
        <v>0</v>
      </c>
      <c r="F399" s="32" t="n">
        <f aca="false">IF(D399&gt;=E399,D399-E399,0)</f>
        <v>0</v>
      </c>
      <c r="G399" s="32" t="n">
        <f aca="false">IF(E399&gt;D399,E399-D399,0)</f>
        <v>0</v>
      </c>
    </row>
    <row r="400" customFormat="false" ht="15" hidden="false" customHeight="true" outlineLevel="0" collapsed="false">
      <c r="A400" s="30" t="s">
        <v>548</v>
      </c>
      <c r="B400" s="31" t="s">
        <v>66</v>
      </c>
      <c r="C400" s="30" t="s">
        <v>437</v>
      </c>
      <c r="D400" s="32" t="n">
        <f aca="false">SUMIF('Libro Diario'!$C$5:$C$504,A400,'Libro Diario'!$F$5:$F$504)</f>
        <v>0</v>
      </c>
      <c r="E400" s="32" t="n">
        <f aca="false">SUMIF('Libro Diario'!$C$5:$C$504,A400,'Libro Diario'!$G$5:$G$504)</f>
        <v>0</v>
      </c>
      <c r="F400" s="32" t="n">
        <f aca="false">IF(D400&gt;=E400,D400-E400,0)</f>
        <v>0</v>
      </c>
      <c r="G400" s="32" t="n">
        <f aca="false">IF(E400&gt;D400,E400-D400,0)</f>
        <v>0</v>
      </c>
    </row>
    <row r="401" customFormat="false" ht="15" hidden="false" customHeight="true" outlineLevel="0" collapsed="false">
      <c r="A401" s="30" t="s">
        <v>549</v>
      </c>
      <c r="B401" s="31" t="s">
        <v>280</v>
      </c>
      <c r="C401" s="30" t="s">
        <v>437</v>
      </c>
      <c r="D401" s="32" t="n">
        <f aca="false">SUMIF('Libro Diario'!$C$5:$C$504,A401,'Libro Diario'!$F$5:$F$504)</f>
        <v>0</v>
      </c>
      <c r="E401" s="32" t="n">
        <f aca="false">SUMIF('Libro Diario'!$C$5:$C$504,A401,'Libro Diario'!$G$5:$G$504)</f>
        <v>0</v>
      </c>
      <c r="F401" s="32" t="n">
        <f aca="false">IF(D401&gt;=E401,D401-E401,0)</f>
        <v>0</v>
      </c>
      <c r="G401" s="32" t="n">
        <f aca="false">IF(E401&gt;D401,E401-D401,0)</f>
        <v>0</v>
      </c>
    </row>
    <row r="402" customFormat="false" ht="15" hidden="false" customHeight="true" outlineLevel="0" collapsed="false">
      <c r="A402" s="30" t="s">
        <v>550</v>
      </c>
      <c r="B402" s="31" t="s">
        <v>66</v>
      </c>
      <c r="C402" s="30" t="s">
        <v>437</v>
      </c>
      <c r="D402" s="32" t="n">
        <f aca="false">SUMIF('Libro Diario'!$C$5:$C$504,A402,'Libro Diario'!$F$5:$F$504)</f>
        <v>0</v>
      </c>
      <c r="E402" s="32" t="n">
        <f aca="false">SUMIF('Libro Diario'!$C$5:$C$504,A402,'Libro Diario'!$G$5:$G$504)</f>
        <v>0</v>
      </c>
      <c r="F402" s="32" t="n">
        <f aca="false">IF(D402&gt;=E402,D402-E402,0)</f>
        <v>0</v>
      </c>
      <c r="G402" s="32" t="n">
        <f aca="false">IF(E402&gt;D402,E402-D402,0)</f>
        <v>0</v>
      </c>
    </row>
    <row r="403" customFormat="false" ht="15" hidden="false" customHeight="true" outlineLevel="0" collapsed="false">
      <c r="A403" s="30" t="s">
        <v>551</v>
      </c>
      <c r="B403" s="31" t="s">
        <v>280</v>
      </c>
      <c r="C403" s="30" t="s">
        <v>437</v>
      </c>
      <c r="D403" s="32" t="n">
        <f aca="false">SUMIF('Libro Diario'!$C$5:$C$504,A403,'Libro Diario'!$F$5:$F$504)</f>
        <v>0</v>
      </c>
      <c r="E403" s="32" t="n">
        <f aca="false">SUMIF('Libro Diario'!$C$5:$C$504,A403,'Libro Diario'!$G$5:$G$504)</f>
        <v>0</v>
      </c>
      <c r="F403" s="32" t="n">
        <f aca="false">IF(D403&gt;=E403,D403-E403,0)</f>
        <v>0</v>
      </c>
      <c r="G403" s="32" t="n">
        <f aca="false">IF(E403&gt;D403,E403-D403,0)</f>
        <v>0</v>
      </c>
    </row>
    <row r="404" customFormat="false" ht="15" hidden="false" customHeight="true" outlineLevel="0" collapsed="false">
      <c r="A404" s="30" t="s">
        <v>552</v>
      </c>
      <c r="B404" s="31" t="s">
        <v>66</v>
      </c>
      <c r="C404" s="30" t="s">
        <v>437</v>
      </c>
      <c r="D404" s="32" t="n">
        <f aca="false">SUMIF('Libro Diario'!$C$5:$C$504,A404,'Libro Diario'!$F$5:$F$504)</f>
        <v>0</v>
      </c>
      <c r="E404" s="32" t="n">
        <f aca="false">SUMIF('Libro Diario'!$C$5:$C$504,A404,'Libro Diario'!$G$5:$G$504)</f>
        <v>0</v>
      </c>
      <c r="F404" s="32" t="n">
        <f aca="false">IF(D404&gt;=E404,D404-E404,0)</f>
        <v>0</v>
      </c>
      <c r="G404" s="32" t="n">
        <f aca="false">IF(E404&gt;D404,E404-D404,0)</f>
        <v>0</v>
      </c>
    </row>
    <row r="405" customFormat="false" ht="15" hidden="false" customHeight="true" outlineLevel="0" collapsed="false">
      <c r="A405" s="30" t="s">
        <v>553</v>
      </c>
      <c r="B405" s="31" t="s">
        <v>280</v>
      </c>
      <c r="C405" s="30" t="s">
        <v>437</v>
      </c>
      <c r="D405" s="32" t="n">
        <f aca="false">SUMIF('Libro Diario'!$C$5:$C$504,A405,'Libro Diario'!$F$5:$F$504)</f>
        <v>0</v>
      </c>
      <c r="E405" s="32" t="n">
        <f aca="false">SUMIF('Libro Diario'!$C$5:$C$504,A405,'Libro Diario'!$G$5:$G$504)</f>
        <v>0</v>
      </c>
      <c r="F405" s="32" t="n">
        <f aca="false">IF(D405&gt;=E405,D405-E405,0)</f>
        <v>0</v>
      </c>
      <c r="G405" s="32" t="n">
        <f aca="false">IF(E405&gt;D405,E405-D405,0)</f>
        <v>0</v>
      </c>
    </row>
    <row r="406" customFormat="false" ht="15" hidden="false" customHeight="true" outlineLevel="0" collapsed="false">
      <c r="A406" s="30" t="s">
        <v>554</v>
      </c>
      <c r="B406" s="31" t="s">
        <v>66</v>
      </c>
      <c r="C406" s="30" t="s">
        <v>437</v>
      </c>
      <c r="D406" s="32" t="n">
        <f aca="false">SUMIF('Libro Diario'!$C$5:$C$504,A406,'Libro Diario'!$F$5:$F$504)</f>
        <v>0</v>
      </c>
      <c r="E406" s="32" t="n">
        <f aca="false">SUMIF('Libro Diario'!$C$5:$C$504,A406,'Libro Diario'!$G$5:$G$504)</f>
        <v>0</v>
      </c>
      <c r="F406" s="32" t="n">
        <f aca="false">IF(D406&gt;=E406,D406-E406,0)</f>
        <v>0</v>
      </c>
      <c r="G406" s="32" t="n">
        <f aca="false">IF(E406&gt;D406,E406-D406,0)</f>
        <v>0</v>
      </c>
    </row>
    <row r="407" customFormat="false" ht="15" hidden="false" customHeight="true" outlineLevel="0" collapsed="false">
      <c r="A407" s="30" t="s">
        <v>555</v>
      </c>
      <c r="B407" s="31" t="s">
        <v>280</v>
      </c>
      <c r="C407" s="30" t="s">
        <v>437</v>
      </c>
      <c r="D407" s="32" t="n">
        <f aca="false">SUMIF('Libro Diario'!$C$5:$C$504,A407,'Libro Diario'!$F$5:$F$504)</f>
        <v>0</v>
      </c>
      <c r="E407" s="32" t="n">
        <f aca="false">SUMIF('Libro Diario'!$C$5:$C$504,A407,'Libro Diario'!$G$5:$G$504)</f>
        <v>0</v>
      </c>
      <c r="F407" s="32" t="n">
        <f aca="false">IF(D407&gt;=E407,D407-E407,0)</f>
        <v>0</v>
      </c>
      <c r="G407" s="32" t="n">
        <f aca="false">IF(E407&gt;D407,E407-D407,0)</f>
        <v>0</v>
      </c>
    </row>
    <row r="408" customFormat="false" ht="15" hidden="false" customHeight="true" outlineLevel="0" collapsed="false">
      <c r="A408" s="30" t="s">
        <v>556</v>
      </c>
      <c r="B408" s="31" t="s">
        <v>66</v>
      </c>
      <c r="C408" s="30" t="s">
        <v>437</v>
      </c>
      <c r="D408" s="32" t="n">
        <f aca="false">SUMIF('Libro Diario'!$C$5:$C$504,A408,'Libro Diario'!$F$5:$F$504)</f>
        <v>0</v>
      </c>
      <c r="E408" s="32" t="n">
        <f aca="false">SUMIF('Libro Diario'!$C$5:$C$504,A408,'Libro Diario'!$G$5:$G$504)</f>
        <v>0</v>
      </c>
      <c r="F408" s="32" t="n">
        <f aca="false">IF(D408&gt;=E408,D408-E408,0)</f>
        <v>0</v>
      </c>
      <c r="G408" s="32" t="n">
        <f aca="false">IF(E408&gt;D408,E408-D408,0)</f>
        <v>0</v>
      </c>
    </row>
    <row r="409" customFormat="false" ht="15" hidden="false" customHeight="true" outlineLevel="0" collapsed="false">
      <c r="A409" s="30" t="s">
        <v>557</v>
      </c>
      <c r="B409" s="31" t="s">
        <v>280</v>
      </c>
      <c r="C409" s="30" t="s">
        <v>437</v>
      </c>
      <c r="D409" s="32" t="n">
        <f aca="false">SUMIF('Libro Diario'!$C$5:$C$504,A409,'Libro Diario'!$F$5:$F$504)</f>
        <v>0</v>
      </c>
      <c r="E409" s="32" t="n">
        <f aca="false">SUMIF('Libro Diario'!$C$5:$C$504,A409,'Libro Diario'!$G$5:$G$504)</f>
        <v>0</v>
      </c>
      <c r="F409" s="32" t="n">
        <f aca="false">IF(D409&gt;=E409,D409-E409,0)</f>
        <v>0</v>
      </c>
      <c r="G409" s="32" t="n">
        <f aca="false">IF(E409&gt;D409,E409-D409,0)</f>
        <v>0</v>
      </c>
    </row>
    <row r="410" customFormat="false" ht="15" hidden="false" customHeight="true" outlineLevel="0" collapsed="false">
      <c r="A410" s="30" t="s">
        <v>558</v>
      </c>
      <c r="B410" s="31" t="s">
        <v>66</v>
      </c>
      <c r="C410" s="30" t="s">
        <v>437</v>
      </c>
      <c r="D410" s="32" t="n">
        <f aca="false">SUMIF('Libro Diario'!$C$5:$C$504,A410,'Libro Diario'!$F$5:$F$504)</f>
        <v>0</v>
      </c>
      <c r="E410" s="32" t="n">
        <f aca="false">SUMIF('Libro Diario'!$C$5:$C$504,A410,'Libro Diario'!$G$5:$G$504)</f>
        <v>0</v>
      </c>
      <c r="F410" s="32" t="n">
        <f aca="false">IF(D410&gt;=E410,D410-E410,0)</f>
        <v>0</v>
      </c>
      <c r="G410" s="32" t="n">
        <f aca="false">IF(E410&gt;D410,E410-D410,0)</f>
        <v>0</v>
      </c>
    </row>
    <row r="411" customFormat="false" ht="15" hidden="false" customHeight="true" outlineLevel="0" collapsed="false">
      <c r="A411" s="30" t="s">
        <v>559</v>
      </c>
      <c r="B411" s="31" t="s">
        <v>280</v>
      </c>
      <c r="C411" s="30" t="s">
        <v>437</v>
      </c>
      <c r="D411" s="32" t="n">
        <f aca="false">SUMIF('Libro Diario'!$C$5:$C$504,A411,'Libro Diario'!$F$5:$F$504)</f>
        <v>0</v>
      </c>
      <c r="E411" s="32" t="n">
        <f aca="false">SUMIF('Libro Diario'!$C$5:$C$504,A411,'Libro Diario'!$G$5:$G$504)</f>
        <v>0</v>
      </c>
      <c r="F411" s="32" t="n">
        <f aca="false">IF(D411&gt;=E411,D411-E411,0)</f>
        <v>0</v>
      </c>
      <c r="G411" s="32" t="n">
        <f aca="false">IF(E411&gt;D411,E411-D411,0)</f>
        <v>0</v>
      </c>
    </row>
    <row r="412" customFormat="false" ht="15" hidden="false" customHeight="true" outlineLevel="0" collapsed="false">
      <c r="A412" s="30" t="s">
        <v>560</v>
      </c>
      <c r="B412" s="31" t="s">
        <v>66</v>
      </c>
      <c r="C412" s="30" t="s">
        <v>437</v>
      </c>
      <c r="D412" s="32" t="n">
        <f aca="false">SUMIF('Libro Diario'!$C$5:$C$504,A412,'Libro Diario'!$F$5:$F$504)</f>
        <v>0</v>
      </c>
      <c r="E412" s="32" t="n">
        <f aca="false">SUMIF('Libro Diario'!$C$5:$C$504,A412,'Libro Diario'!$G$5:$G$504)</f>
        <v>0</v>
      </c>
      <c r="F412" s="32" t="n">
        <f aca="false">IF(D412&gt;=E412,D412-E412,0)</f>
        <v>0</v>
      </c>
      <c r="G412" s="32" t="n">
        <f aca="false">IF(E412&gt;D412,E412-D412,0)</f>
        <v>0</v>
      </c>
    </row>
    <row r="413" customFormat="false" ht="15" hidden="false" customHeight="true" outlineLevel="0" collapsed="false">
      <c r="A413" s="30" t="s">
        <v>561</v>
      </c>
      <c r="B413" s="31" t="s">
        <v>280</v>
      </c>
      <c r="C413" s="30" t="s">
        <v>437</v>
      </c>
      <c r="D413" s="32" t="n">
        <f aca="false">SUMIF('Libro Diario'!$C$5:$C$504,A413,'Libro Diario'!$F$5:$F$504)</f>
        <v>0</v>
      </c>
      <c r="E413" s="32" t="n">
        <f aca="false">SUMIF('Libro Diario'!$C$5:$C$504,A413,'Libro Diario'!$G$5:$G$504)</f>
        <v>0</v>
      </c>
      <c r="F413" s="32" t="n">
        <f aca="false">IF(D413&gt;=E413,D413-E413,0)</f>
        <v>0</v>
      </c>
      <c r="G413" s="32" t="n">
        <f aca="false">IF(E413&gt;D413,E413-D413,0)</f>
        <v>0</v>
      </c>
    </row>
    <row r="414" customFormat="false" ht="15" hidden="false" customHeight="true" outlineLevel="0" collapsed="false">
      <c r="A414" s="30" t="s">
        <v>562</v>
      </c>
      <c r="B414" s="31" t="s">
        <v>66</v>
      </c>
      <c r="C414" s="30" t="s">
        <v>437</v>
      </c>
      <c r="D414" s="32" t="n">
        <f aca="false">SUMIF('Libro Diario'!$C$5:$C$504,A414,'Libro Diario'!$F$5:$F$504)</f>
        <v>0</v>
      </c>
      <c r="E414" s="32" t="n">
        <f aca="false">SUMIF('Libro Diario'!$C$5:$C$504,A414,'Libro Diario'!$G$5:$G$504)</f>
        <v>0</v>
      </c>
      <c r="F414" s="32" t="n">
        <f aca="false">IF(D414&gt;=E414,D414-E414,0)</f>
        <v>0</v>
      </c>
      <c r="G414" s="32" t="n">
        <f aca="false">IF(E414&gt;D414,E414-D414,0)</f>
        <v>0</v>
      </c>
    </row>
    <row r="415" customFormat="false" ht="15" hidden="false" customHeight="true" outlineLevel="0" collapsed="false">
      <c r="A415" s="30" t="s">
        <v>563</v>
      </c>
      <c r="B415" s="31" t="s">
        <v>280</v>
      </c>
      <c r="C415" s="30" t="s">
        <v>437</v>
      </c>
      <c r="D415" s="32" t="n">
        <f aca="false">SUMIF('Libro Diario'!$C$5:$C$504,A415,'Libro Diario'!$F$5:$F$504)</f>
        <v>0</v>
      </c>
      <c r="E415" s="32" t="n">
        <f aca="false">SUMIF('Libro Diario'!$C$5:$C$504,A415,'Libro Diario'!$G$5:$G$504)</f>
        <v>0</v>
      </c>
      <c r="F415" s="32" t="n">
        <f aca="false">IF(D415&gt;=E415,D415-E415,0)</f>
        <v>0</v>
      </c>
      <c r="G415" s="32" t="n">
        <f aca="false">IF(E415&gt;D415,E415-D415,0)</f>
        <v>0</v>
      </c>
    </row>
    <row r="416" customFormat="false" ht="15" hidden="false" customHeight="true" outlineLevel="0" collapsed="false">
      <c r="A416" s="30" t="s">
        <v>564</v>
      </c>
      <c r="B416" s="31" t="s">
        <v>66</v>
      </c>
      <c r="C416" s="30" t="s">
        <v>437</v>
      </c>
      <c r="D416" s="32" t="n">
        <f aca="false">SUMIF('Libro Diario'!$C$5:$C$504,A416,'Libro Diario'!$F$5:$F$504)</f>
        <v>0</v>
      </c>
      <c r="E416" s="32" t="n">
        <f aca="false">SUMIF('Libro Diario'!$C$5:$C$504,A416,'Libro Diario'!$G$5:$G$504)</f>
        <v>0</v>
      </c>
      <c r="F416" s="32" t="n">
        <f aca="false">IF(D416&gt;=E416,D416-E416,0)</f>
        <v>0</v>
      </c>
      <c r="G416" s="32" t="n">
        <f aca="false">IF(E416&gt;D416,E416-D416,0)</f>
        <v>0</v>
      </c>
    </row>
    <row r="417" customFormat="false" ht="15" hidden="false" customHeight="true" outlineLevel="0" collapsed="false">
      <c r="A417" s="30" t="s">
        <v>565</v>
      </c>
      <c r="B417" s="31" t="s">
        <v>280</v>
      </c>
      <c r="C417" s="30" t="s">
        <v>437</v>
      </c>
      <c r="D417" s="32" t="n">
        <f aca="false">SUMIF('Libro Diario'!$C$5:$C$504,A417,'Libro Diario'!$F$5:$F$504)</f>
        <v>0</v>
      </c>
      <c r="E417" s="32" t="n">
        <f aca="false">SUMIF('Libro Diario'!$C$5:$C$504,A417,'Libro Diario'!$G$5:$G$504)</f>
        <v>0</v>
      </c>
      <c r="F417" s="32" t="n">
        <f aca="false">IF(D417&gt;=E417,D417-E417,0)</f>
        <v>0</v>
      </c>
      <c r="G417" s="32" t="n">
        <f aca="false">IF(E417&gt;D417,E417-D417,0)</f>
        <v>0</v>
      </c>
    </row>
    <row r="418" customFormat="false" ht="15" hidden="false" customHeight="true" outlineLevel="0" collapsed="false">
      <c r="A418" s="30" t="s">
        <v>566</v>
      </c>
      <c r="B418" s="31" t="s">
        <v>567</v>
      </c>
      <c r="C418" s="30" t="s">
        <v>437</v>
      </c>
      <c r="D418" s="32" t="n">
        <f aca="false">SUMIF('Libro Diario'!$C$5:$C$504,A418,'Libro Diario'!$F$5:$F$504)</f>
        <v>0</v>
      </c>
      <c r="E418" s="32" t="n">
        <f aca="false">SUMIF('Libro Diario'!$C$5:$C$504,A418,'Libro Diario'!$G$5:$G$504)</f>
        <v>0</v>
      </c>
      <c r="F418" s="32" t="n">
        <f aca="false">IF(D418&gt;=E418,D418-E418,0)</f>
        <v>0</v>
      </c>
      <c r="G418" s="32" t="n">
        <f aca="false">IF(E418&gt;D418,E418-D418,0)</f>
        <v>0</v>
      </c>
    </row>
    <row r="419" customFormat="false" ht="15" hidden="false" customHeight="true" outlineLevel="0" collapsed="false">
      <c r="A419" s="30" t="s">
        <v>568</v>
      </c>
      <c r="B419" s="31" t="s">
        <v>569</v>
      </c>
      <c r="C419" s="30" t="s">
        <v>437</v>
      </c>
      <c r="D419" s="32" t="n">
        <f aca="false">SUMIF('Libro Diario'!$C$5:$C$504,A419,'Libro Diario'!$F$5:$F$504)</f>
        <v>0</v>
      </c>
      <c r="E419" s="32" t="n">
        <f aca="false">SUMIF('Libro Diario'!$C$5:$C$504,A419,'Libro Diario'!$G$5:$G$504)</f>
        <v>0</v>
      </c>
      <c r="F419" s="32" t="n">
        <f aca="false">IF(D419&gt;=E419,D419-E419,0)</f>
        <v>0</v>
      </c>
      <c r="G419" s="32" t="n">
        <f aca="false">IF(E419&gt;D419,E419-D419,0)</f>
        <v>0</v>
      </c>
    </row>
    <row r="420" customFormat="false" ht="15" hidden="false" customHeight="true" outlineLevel="0" collapsed="false">
      <c r="A420" s="30" t="s">
        <v>570</v>
      </c>
      <c r="B420" s="31" t="s">
        <v>385</v>
      </c>
      <c r="C420" s="30" t="s">
        <v>437</v>
      </c>
      <c r="D420" s="32" t="n">
        <f aca="false">SUMIF('Libro Diario'!$C$5:$C$504,A420,'Libro Diario'!$F$5:$F$504)</f>
        <v>0</v>
      </c>
      <c r="E420" s="32" t="n">
        <f aca="false">SUMIF('Libro Diario'!$C$5:$C$504,A420,'Libro Diario'!$G$5:$G$504)</f>
        <v>0</v>
      </c>
      <c r="F420" s="32" t="n">
        <f aca="false">IF(D420&gt;=E420,D420-E420,0)</f>
        <v>0</v>
      </c>
      <c r="G420" s="32" t="n">
        <f aca="false">IF(E420&gt;D420,E420-D420,0)</f>
        <v>0</v>
      </c>
    </row>
    <row r="421" customFormat="false" ht="15" hidden="false" customHeight="true" outlineLevel="0" collapsed="false">
      <c r="A421" s="30" t="s">
        <v>571</v>
      </c>
      <c r="B421" s="31" t="s">
        <v>387</v>
      </c>
      <c r="C421" s="30" t="s">
        <v>437</v>
      </c>
      <c r="D421" s="32" t="n">
        <f aca="false">SUMIF('Libro Diario'!$C$5:$C$504,A421,'Libro Diario'!$F$5:$F$504)</f>
        <v>0</v>
      </c>
      <c r="E421" s="32" t="n">
        <f aca="false">SUMIF('Libro Diario'!$C$5:$C$504,A421,'Libro Diario'!$G$5:$G$504)</f>
        <v>0</v>
      </c>
      <c r="F421" s="32" t="n">
        <f aca="false">IF(D421&gt;=E421,D421-E421,0)</f>
        <v>0</v>
      </c>
      <c r="G421" s="32" t="n">
        <f aca="false">IF(E421&gt;D421,E421-D421,0)</f>
        <v>0</v>
      </c>
    </row>
    <row r="422" customFormat="false" ht="15" hidden="false" customHeight="true" outlineLevel="0" collapsed="false">
      <c r="A422" s="30" t="s">
        <v>572</v>
      </c>
      <c r="B422" s="31" t="s">
        <v>389</v>
      </c>
      <c r="C422" s="30" t="s">
        <v>437</v>
      </c>
      <c r="D422" s="32" t="n">
        <f aca="false">SUMIF('Libro Diario'!$C$5:$C$504,A422,'Libro Diario'!$F$5:$F$504)</f>
        <v>0</v>
      </c>
      <c r="E422" s="32" t="n">
        <f aca="false">SUMIF('Libro Diario'!$C$5:$C$504,A422,'Libro Diario'!$G$5:$G$504)</f>
        <v>0</v>
      </c>
      <c r="F422" s="32" t="n">
        <f aca="false">IF(D422&gt;=E422,D422-E422,0)</f>
        <v>0</v>
      </c>
      <c r="G422" s="32" t="n">
        <f aca="false">IF(E422&gt;D422,E422-D422,0)</f>
        <v>0</v>
      </c>
    </row>
    <row r="423" customFormat="false" ht="15" hidden="false" customHeight="true" outlineLevel="0" collapsed="false">
      <c r="A423" s="30" t="s">
        <v>573</v>
      </c>
      <c r="B423" s="31" t="s">
        <v>574</v>
      </c>
      <c r="C423" s="30" t="s">
        <v>437</v>
      </c>
      <c r="D423" s="32" t="n">
        <f aca="false">SUMIF('Libro Diario'!$C$5:$C$504,A423,'Libro Diario'!$F$5:$F$504)</f>
        <v>0</v>
      </c>
      <c r="E423" s="32" t="n">
        <f aca="false">SUMIF('Libro Diario'!$C$5:$C$504,A423,'Libro Diario'!$G$5:$G$504)</f>
        <v>0</v>
      </c>
      <c r="F423" s="32" t="n">
        <f aca="false">IF(D423&gt;=E423,D423-E423,0)</f>
        <v>0</v>
      </c>
      <c r="G423" s="32" t="n">
        <f aca="false">IF(E423&gt;D423,E423-D423,0)</f>
        <v>0</v>
      </c>
    </row>
    <row r="424" customFormat="false" ht="15" hidden="false" customHeight="true" outlineLevel="0" collapsed="false">
      <c r="A424" s="30" t="s">
        <v>575</v>
      </c>
      <c r="B424" s="31" t="s">
        <v>66</v>
      </c>
      <c r="C424" s="30" t="s">
        <v>437</v>
      </c>
      <c r="D424" s="32" t="n">
        <f aca="false">SUMIF('Libro Diario'!$C$5:$C$504,A424,'Libro Diario'!$F$5:$F$504)</f>
        <v>0</v>
      </c>
      <c r="E424" s="32" t="n">
        <f aca="false">SUMIF('Libro Diario'!$C$5:$C$504,A424,'Libro Diario'!$G$5:$G$504)</f>
        <v>0</v>
      </c>
      <c r="F424" s="32" t="n">
        <f aca="false">IF(D424&gt;=E424,D424-E424,0)</f>
        <v>0</v>
      </c>
      <c r="G424" s="32" t="n">
        <f aca="false">IF(E424&gt;D424,E424-D424,0)</f>
        <v>0</v>
      </c>
    </row>
    <row r="425" customFormat="false" ht="15" hidden="false" customHeight="true" outlineLevel="0" collapsed="false">
      <c r="A425" s="30" t="s">
        <v>576</v>
      </c>
      <c r="B425" s="31" t="s">
        <v>250</v>
      </c>
      <c r="C425" s="30" t="s">
        <v>437</v>
      </c>
      <c r="D425" s="32" t="n">
        <f aca="false">SUMIF('Libro Diario'!$C$5:$C$504,A425,'Libro Diario'!$F$5:$F$504)</f>
        <v>0</v>
      </c>
      <c r="E425" s="32" t="n">
        <f aca="false">SUMIF('Libro Diario'!$C$5:$C$504,A425,'Libro Diario'!$G$5:$G$504)</f>
        <v>0</v>
      </c>
      <c r="F425" s="32" t="n">
        <f aca="false">IF(D425&gt;=E425,D425-E425,0)</f>
        <v>0</v>
      </c>
      <c r="G425" s="32" t="n">
        <f aca="false">IF(E425&gt;D425,E425-D425,0)</f>
        <v>0</v>
      </c>
    </row>
    <row r="426" customFormat="false" ht="15" hidden="false" customHeight="true" outlineLevel="0" collapsed="false">
      <c r="A426" s="30" t="s">
        <v>577</v>
      </c>
      <c r="B426" s="31" t="s">
        <v>66</v>
      </c>
      <c r="C426" s="30" t="s">
        <v>437</v>
      </c>
      <c r="D426" s="32" t="n">
        <f aca="false">SUMIF('Libro Diario'!$C$5:$C$504,A426,'Libro Diario'!$F$5:$F$504)</f>
        <v>0</v>
      </c>
      <c r="E426" s="32" t="n">
        <f aca="false">SUMIF('Libro Diario'!$C$5:$C$504,A426,'Libro Diario'!$G$5:$G$504)</f>
        <v>0</v>
      </c>
      <c r="F426" s="32" t="n">
        <f aca="false">IF(D426&gt;=E426,D426-E426,0)</f>
        <v>0</v>
      </c>
      <c r="G426" s="32" t="n">
        <f aca="false">IF(E426&gt;D426,E426-D426,0)</f>
        <v>0</v>
      </c>
    </row>
    <row r="427" customFormat="false" ht="15" hidden="false" customHeight="true" outlineLevel="0" collapsed="false">
      <c r="A427" s="30" t="s">
        <v>578</v>
      </c>
      <c r="B427" s="31" t="s">
        <v>250</v>
      </c>
      <c r="C427" s="30" t="s">
        <v>437</v>
      </c>
      <c r="D427" s="32" t="n">
        <f aca="false">SUMIF('Libro Diario'!$C$5:$C$504,A427,'Libro Diario'!$F$5:$F$504)</f>
        <v>0</v>
      </c>
      <c r="E427" s="32" t="n">
        <f aca="false">SUMIF('Libro Diario'!$C$5:$C$504,A427,'Libro Diario'!$G$5:$G$504)</f>
        <v>0</v>
      </c>
      <c r="F427" s="32" t="n">
        <f aca="false">IF(D427&gt;=E427,D427-E427,0)</f>
        <v>0</v>
      </c>
      <c r="G427" s="32" t="n">
        <f aca="false">IF(E427&gt;D427,E427-D427,0)</f>
        <v>0</v>
      </c>
    </row>
    <row r="428" customFormat="false" ht="15" hidden="false" customHeight="true" outlineLevel="0" collapsed="false">
      <c r="A428" s="30" t="s">
        <v>579</v>
      </c>
      <c r="B428" s="31" t="s">
        <v>66</v>
      </c>
      <c r="C428" s="30" t="s">
        <v>437</v>
      </c>
      <c r="D428" s="32" t="n">
        <f aca="false">SUMIF('Libro Diario'!$C$5:$C$504,A428,'Libro Diario'!$F$5:$F$504)</f>
        <v>0</v>
      </c>
      <c r="E428" s="32" t="n">
        <f aca="false">SUMIF('Libro Diario'!$C$5:$C$504,A428,'Libro Diario'!$G$5:$G$504)</f>
        <v>0</v>
      </c>
      <c r="F428" s="32" t="n">
        <f aca="false">IF(D428&gt;=E428,D428-E428,0)</f>
        <v>0</v>
      </c>
      <c r="G428" s="32" t="n">
        <f aca="false">IF(E428&gt;D428,E428-D428,0)</f>
        <v>0</v>
      </c>
    </row>
    <row r="429" customFormat="false" ht="15" hidden="false" customHeight="true" outlineLevel="0" collapsed="false">
      <c r="A429" s="30" t="s">
        <v>580</v>
      </c>
      <c r="B429" s="31" t="s">
        <v>280</v>
      </c>
      <c r="C429" s="30" t="s">
        <v>437</v>
      </c>
      <c r="D429" s="32" t="n">
        <f aca="false">SUMIF('Libro Diario'!$C$5:$C$504,A429,'Libro Diario'!$F$5:$F$504)</f>
        <v>0</v>
      </c>
      <c r="E429" s="32" t="n">
        <f aca="false">SUMIF('Libro Diario'!$C$5:$C$504,A429,'Libro Diario'!$G$5:$G$504)</f>
        <v>0</v>
      </c>
      <c r="F429" s="32" t="n">
        <f aca="false">IF(D429&gt;=E429,D429-E429,0)</f>
        <v>0</v>
      </c>
      <c r="G429" s="32" t="n">
        <f aca="false">IF(E429&gt;D429,E429-D429,0)</f>
        <v>0</v>
      </c>
    </row>
    <row r="430" customFormat="false" ht="15" hidden="false" customHeight="true" outlineLevel="0" collapsed="false">
      <c r="A430" s="30" t="s">
        <v>581</v>
      </c>
      <c r="B430" s="31" t="s">
        <v>66</v>
      </c>
      <c r="C430" s="30" t="s">
        <v>437</v>
      </c>
      <c r="D430" s="32" t="n">
        <f aca="false">SUMIF('Libro Diario'!$C$5:$C$504,A430,'Libro Diario'!$F$5:$F$504)</f>
        <v>0</v>
      </c>
      <c r="E430" s="32" t="n">
        <f aca="false">SUMIF('Libro Diario'!$C$5:$C$504,A430,'Libro Diario'!$G$5:$G$504)</f>
        <v>0</v>
      </c>
      <c r="F430" s="32" t="n">
        <f aca="false">IF(D430&gt;=E430,D430-E430,0)</f>
        <v>0</v>
      </c>
      <c r="G430" s="32" t="n">
        <f aca="false">IF(E430&gt;D430,E430-D430,0)</f>
        <v>0</v>
      </c>
    </row>
    <row r="431" customFormat="false" ht="15" hidden="false" customHeight="true" outlineLevel="0" collapsed="false">
      <c r="A431" s="30" t="s">
        <v>582</v>
      </c>
      <c r="B431" s="31" t="s">
        <v>280</v>
      </c>
      <c r="C431" s="30" t="s">
        <v>437</v>
      </c>
      <c r="D431" s="32" t="n">
        <f aca="false">SUMIF('Libro Diario'!$C$5:$C$504,A431,'Libro Diario'!$F$5:$F$504)</f>
        <v>0</v>
      </c>
      <c r="E431" s="32" t="n">
        <f aca="false">SUMIF('Libro Diario'!$C$5:$C$504,A431,'Libro Diario'!$G$5:$G$504)</f>
        <v>0</v>
      </c>
      <c r="F431" s="32" t="n">
        <f aca="false">IF(D431&gt;=E431,D431-E431,0)</f>
        <v>0</v>
      </c>
      <c r="G431" s="32" t="n">
        <f aca="false">IF(E431&gt;D431,E431-D431,0)</f>
        <v>0</v>
      </c>
    </row>
    <row r="432" customFormat="false" ht="15" hidden="false" customHeight="true" outlineLevel="0" collapsed="false">
      <c r="A432" s="30" t="s">
        <v>583</v>
      </c>
      <c r="B432" s="31" t="s">
        <v>66</v>
      </c>
      <c r="C432" s="30" t="s">
        <v>437</v>
      </c>
      <c r="D432" s="32" t="n">
        <f aca="false">SUMIF('Libro Diario'!$C$5:$C$504,A432,'Libro Diario'!$F$5:$F$504)</f>
        <v>0</v>
      </c>
      <c r="E432" s="32" t="n">
        <f aca="false">SUMIF('Libro Diario'!$C$5:$C$504,A432,'Libro Diario'!$G$5:$G$504)</f>
        <v>0</v>
      </c>
      <c r="F432" s="32" t="n">
        <f aca="false">IF(D432&gt;=E432,D432-E432,0)</f>
        <v>0</v>
      </c>
      <c r="G432" s="32" t="n">
        <f aca="false">IF(E432&gt;D432,E432-D432,0)</f>
        <v>0</v>
      </c>
    </row>
    <row r="433" customFormat="false" ht="15" hidden="false" customHeight="true" outlineLevel="0" collapsed="false">
      <c r="A433" s="30" t="s">
        <v>584</v>
      </c>
      <c r="B433" s="31" t="s">
        <v>280</v>
      </c>
      <c r="C433" s="30" t="s">
        <v>437</v>
      </c>
      <c r="D433" s="32" t="n">
        <f aca="false">SUMIF('Libro Diario'!$C$5:$C$504,A433,'Libro Diario'!$F$5:$F$504)</f>
        <v>0</v>
      </c>
      <c r="E433" s="32" t="n">
        <f aca="false">SUMIF('Libro Diario'!$C$5:$C$504,A433,'Libro Diario'!$G$5:$G$504)</f>
        <v>0</v>
      </c>
      <c r="F433" s="32" t="n">
        <f aca="false">IF(D433&gt;=E433,D433-E433,0)</f>
        <v>0</v>
      </c>
      <c r="G433" s="32" t="n">
        <f aca="false">IF(E433&gt;D433,E433-D433,0)</f>
        <v>0</v>
      </c>
    </row>
    <row r="434" customFormat="false" ht="15" hidden="false" customHeight="true" outlineLevel="0" collapsed="false">
      <c r="A434" s="30" t="s">
        <v>585</v>
      </c>
      <c r="B434" s="31" t="s">
        <v>66</v>
      </c>
      <c r="C434" s="30" t="s">
        <v>437</v>
      </c>
      <c r="D434" s="32" t="n">
        <f aca="false">SUMIF('Libro Diario'!$C$5:$C$504,A434,'Libro Diario'!$F$5:$F$504)</f>
        <v>0</v>
      </c>
      <c r="E434" s="32" t="n">
        <f aca="false">SUMIF('Libro Diario'!$C$5:$C$504,A434,'Libro Diario'!$G$5:$G$504)</f>
        <v>0</v>
      </c>
      <c r="F434" s="32" t="n">
        <f aca="false">IF(D434&gt;=E434,D434-E434,0)</f>
        <v>0</v>
      </c>
      <c r="G434" s="32" t="n">
        <f aca="false">IF(E434&gt;D434,E434-D434,0)</f>
        <v>0</v>
      </c>
    </row>
    <row r="435" customFormat="false" ht="15" hidden="false" customHeight="true" outlineLevel="0" collapsed="false">
      <c r="A435" s="30" t="s">
        <v>586</v>
      </c>
      <c r="B435" s="31" t="s">
        <v>280</v>
      </c>
      <c r="C435" s="30" t="s">
        <v>437</v>
      </c>
      <c r="D435" s="32" t="n">
        <f aca="false">SUMIF('Libro Diario'!$C$5:$C$504,A435,'Libro Diario'!$F$5:$F$504)</f>
        <v>0</v>
      </c>
      <c r="E435" s="32" t="n">
        <f aca="false">SUMIF('Libro Diario'!$C$5:$C$504,A435,'Libro Diario'!$G$5:$G$504)</f>
        <v>0</v>
      </c>
      <c r="F435" s="32" t="n">
        <f aca="false">IF(D435&gt;=E435,D435-E435,0)</f>
        <v>0</v>
      </c>
      <c r="G435" s="32" t="n">
        <f aca="false">IF(E435&gt;D435,E435-D435,0)</f>
        <v>0</v>
      </c>
    </row>
    <row r="436" customFormat="false" ht="15" hidden="false" customHeight="true" outlineLevel="0" collapsed="false">
      <c r="A436" s="30" t="s">
        <v>587</v>
      </c>
      <c r="B436" s="31" t="s">
        <v>66</v>
      </c>
      <c r="C436" s="30" t="s">
        <v>437</v>
      </c>
      <c r="D436" s="32" t="n">
        <f aca="false">SUMIF('Libro Diario'!$C$5:$C$504,A436,'Libro Diario'!$F$5:$F$504)</f>
        <v>0</v>
      </c>
      <c r="E436" s="32" t="n">
        <f aca="false">SUMIF('Libro Diario'!$C$5:$C$504,A436,'Libro Diario'!$G$5:$G$504)</f>
        <v>0</v>
      </c>
      <c r="F436" s="32" t="n">
        <f aca="false">IF(D436&gt;=E436,D436-E436,0)</f>
        <v>0</v>
      </c>
      <c r="G436" s="32" t="n">
        <f aca="false">IF(E436&gt;D436,E436-D436,0)</f>
        <v>0</v>
      </c>
    </row>
    <row r="437" customFormat="false" ht="15" hidden="false" customHeight="true" outlineLevel="0" collapsed="false">
      <c r="A437" s="30" t="s">
        <v>588</v>
      </c>
      <c r="B437" s="31" t="s">
        <v>280</v>
      </c>
      <c r="C437" s="30" t="s">
        <v>437</v>
      </c>
      <c r="D437" s="32" t="n">
        <f aca="false">SUMIF('Libro Diario'!$C$5:$C$504,A437,'Libro Diario'!$F$5:$F$504)</f>
        <v>0</v>
      </c>
      <c r="E437" s="32" t="n">
        <f aca="false">SUMIF('Libro Diario'!$C$5:$C$504,A437,'Libro Diario'!$G$5:$G$504)</f>
        <v>0</v>
      </c>
      <c r="F437" s="32" t="n">
        <f aca="false">IF(D437&gt;=E437,D437-E437,0)</f>
        <v>0</v>
      </c>
      <c r="G437" s="32" t="n">
        <f aca="false">IF(E437&gt;D437,E437-D437,0)</f>
        <v>0</v>
      </c>
    </row>
    <row r="438" customFormat="false" ht="15" hidden="false" customHeight="true" outlineLevel="0" collapsed="false">
      <c r="A438" s="30" t="s">
        <v>589</v>
      </c>
      <c r="B438" s="31" t="s">
        <v>66</v>
      </c>
      <c r="C438" s="30" t="s">
        <v>437</v>
      </c>
      <c r="D438" s="32" t="n">
        <f aca="false">SUMIF('Libro Diario'!$C$5:$C$504,A438,'Libro Diario'!$F$5:$F$504)</f>
        <v>0</v>
      </c>
      <c r="E438" s="32" t="n">
        <f aca="false">SUMIF('Libro Diario'!$C$5:$C$504,A438,'Libro Diario'!$G$5:$G$504)</f>
        <v>0</v>
      </c>
      <c r="F438" s="32" t="n">
        <f aca="false">IF(D438&gt;=E438,D438-E438,0)</f>
        <v>0</v>
      </c>
      <c r="G438" s="32" t="n">
        <f aca="false">IF(E438&gt;D438,E438-D438,0)</f>
        <v>0</v>
      </c>
    </row>
    <row r="439" customFormat="false" ht="15" hidden="false" customHeight="true" outlineLevel="0" collapsed="false">
      <c r="A439" s="30" t="s">
        <v>590</v>
      </c>
      <c r="B439" s="31" t="s">
        <v>280</v>
      </c>
      <c r="C439" s="30" t="s">
        <v>437</v>
      </c>
      <c r="D439" s="32" t="n">
        <f aca="false">SUMIF('Libro Diario'!$C$5:$C$504,A439,'Libro Diario'!$F$5:$F$504)</f>
        <v>0</v>
      </c>
      <c r="E439" s="32" t="n">
        <f aca="false">SUMIF('Libro Diario'!$C$5:$C$504,A439,'Libro Diario'!$G$5:$G$504)</f>
        <v>0</v>
      </c>
      <c r="F439" s="32" t="n">
        <f aca="false">IF(D439&gt;=E439,D439-E439,0)</f>
        <v>0</v>
      </c>
      <c r="G439" s="32" t="n">
        <f aca="false">IF(E439&gt;D439,E439-D439,0)</f>
        <v>0</v>
      </c>
    </row>
    <row r="440" customFormat="false" ht="15" hidden="false" customHeight="true" outlineLevel="0" collapsed="false">
      <c r="A440" s="30" t="s">
        <v>591</v>
      </c>
      <c r="B440" s="31" t="s">
        <v>66</v>
      </c>
      <c r="C440" s="30" t="s">
        <v>437</v>
      </c>
      <c r="D440" s="32" t="n">
        <f aca="false">SUMIF('Libro Diario'!$C$5:$C$504,A440,'Libro Diario'!$F$5:$F$504)</f>
        <v>0</v>
      </c>
      <c r="E440" s="32" t="n">
        <f aca="false">SUMIF('Libro Diario'!$C$5:$C$504,A440,'Libro Diario'!$G$5:$G$504)</f>
        <v>0</v>
      </c>
      <c r="F440" s="32" t="n">
        <f aca="false">IF(D440&gt;=E440,D440-E440,0)</f>
        <v>0</v>
      </c>
      <c r="G440" s="32" t="n">
        <f aca="false">IF(E440&gt;D440,E440-D440,0)</f>
        <v>0</v>
      </c>
    </row>
    <row r="441" customFormat="false" ht="15" hidden="false" customHeight="true" outlineLevel="0" collapsed="false">
      <c r="A441" s="30" t="s">
        <v>592</v>
      </c>
      <c r="B441" s="31" t="s">
        <v>280</v>
      </c>
      <c r="C441" s="30" t="s">
        <v>437</v>
      </c>
      <c r="D441" s="32" t="n">
        <f aca="false">SUMIF('Libro Diario'!$C$5:$C$504,A441,'Libro Diario'!$F$5:$F$504)</f>
        <v>0</v>
      </c>
      <c r="E441" s="32" t="n">
        <f aca="false">SUMIF('Libro Diario'!$C$5:$C$504,A441,'Libro Diario'!$G$5:$G$504)</f>
        <v>0</v>
      </c>
      <c r="F441" s="32" t="n">
        <f aca="false">IF(D441&gt;=E441,D441-E441,0)</f>
        <v>0</v>
      </c>
      <c r="G441" s="32" t="n">
        <f aca="false">IF(E441&gt;D441,E441-D441,0)</f>
        <v>0</v>
      </c>
    </row>
    <row r="442" customFormat="false" ht="15" hidden="false" customHeight="true" outlineLevel="0" collapsed="false">
      <c r="A442" s="30" t="s">
        <v>593</v>
      </c>
      <c r="B442" s="31" t="s">
        <v>250</v>
      </c>
      <c r="C442" s="30" t="s">
        <v>437</v>
      </c>
      <c r="D442" s="32" t="n">
        <f aca="false">SUMIF('Libro Diario'!$C$5:$C$504,A442,'Libro Diario'!$F$5:$F$504)</f>
        <v>0</v>
      </c>
      <c r="E442" s="32" t="n">
        <f aca="false">SUMIF('Libro Diario'!$C$5:$C$504,A442,'Libro Diario'!$G$5:$G$504)</f>
        <v>0</v>
      </c>
      <c r="F442" s="32" t="n">
        <f aca="false">IF(D442&gt;=E442,D442-E442,0)</f>
        <v>0</v>
      </c>
      <c r="G442" s="32" t="n">
        <f aca="false">IF(E442&gt;D442,E442-D442,0)</f>
        <v>0</v>
      </c>
    </row>
    <row r="443" customFormat="false" ht="15" hidden="false" customHeight="true" outlineLevel="0" collapsed="false">
      <c r="A443" s="30" t="s">
        <v>594</v>
      </c>
      <c r="B443" s="31" t="s">
        <v>66</v>
      </c>
      <c r="C443" s="30" t="s">
        <v>437</v>
      </c>
      <c r="D443" s="32" t="n">
        <f aca="false">SUMIF('Libro Diario'!$C$5:$C$504,A443,'Libro Diario'!$F$5:$F$504)</f>
        <v>0</v>
      </c>
      <c r="E443" s="32" t="n">
        <f aca="false">SUMIF('Libro Diario'!$C$5:$C$504,A443,'Libro Diario'!$G$5:$G$504)</f>
        <v>0</v>
      </c>
      <c r="F443" s="32" t="n">
        <f aca="false">IF(D443&gt;=E443,D443-E443,0)</f>
        <v>0</v>
      </c>
      <c r="G443" s="32" t="n">
        <f aca="false">IF(E443&gt;D443,E443-D443,0)</f>
        <v>0</v>
      </c>
    </row>
    <row r="444" customFormat="false" ht="15" hidden="false" customHeight="true" outlineLevel="0" collapsed="false">
      <c r="A444" s="30" t="s">
        <v>595</v>
      </c>
      <c r="B444" s="31" t="s">
        <v>280</v>
      </c>
      <c r="C444" s="30" t="s">
        <v>437</v>
      </c>
      <c r="D444" s="32" t="n">
        <f aca="false">SUMIF('Libro Diario'!$C$5:$C$504,A444,'Libro Diario'!$F$5:$F$504)</f>
        <v>0</v>
      </c>
      <c r="E444" s="32" t="n">
        <f aca="false">SUMIF('Libro Diario'!$C$5:$C$504,A444,'Libro Diario'!$G$5:$G$504)</f>
        <v>0</v>
      </c>
      <c r="F444" s="32" t="n">
        <f aca="false">IF(D444&gt;=E444,D444-E444,0)</f>
        <v>0</v>
      </c>
      <c r="G444" s="32" t="n">
        <f aca="false">IF(E444&gt;D444,E444-D444,0)</f>
        <v>0</v>
      </c>
    </row>
    <row r="445" customFormat="false" ht="15" hidden="false" customHeight="true" outlineLevel="0" collapsed="false">
      <c r="A445" s="30" t="s">
        <v>596</v>
      </c>
      <c r="B445" s="31" t="s">
        <v>250</v>
      </c>
      <c r="C445" s="30" t="s">
        <v>437</v>
      </c>
      <c r="D445" s="32" t="n">
        <f aca="false">SUMIF('Libro Diario'!$C$5:$C$504,A445,'Libro Diario'!$F$5:$F$504)</f>
        <v>0</v>
      </c>
      <c r="E445" s="32" t="n">
        <f aca="false">SUMIF('Libro Diario'!$C$5:$C$504,A445,'Libro Diario'!$G$5:$G$504)</f>
        <v>0</v>
      </c>
      <c r="F445" s="32" t="n">
        <f aca="false">IF(D445&gt;=E445,D445-E445,0)</f>
        <v>0</v>
      </c>
      <c r="G445" s="32" t="n">
        <f aca="false">IF(E445&gt;D445,E445-D445,0)</f>
        <v>0</v>
      </c>
    </row>
    <row r="446" customFormat="false" ht="15" hidden="false" customHeight="true" outlineLevel="0" collapsed="false">
      <c r="A446" s="30" t="s">
        <v>597</v>
      </c>
      <c r="B446" s="31" t="s">
        <v>66</v>
      </c>
      <c r="C446" s="30" t="s">
        <v>437</v>
      </c>
      <c r="D446" s="32" t="n">
        <f aca="false">SUMIF('Libro Diario'!$C$5:$C$504,A446,'Libro Diario'!$F$5:$F$504)</f>
        <v>0</v>
      </c>
      <c r="E446" s="32" t="n">
        <f aca="false">SUMIF('Libro Diario'!$C$5:$C$504,A446,'Libro Diario'!$G$5:$G$504)</f>
        <v>0</v>
      </c>
      <c r="F446" s="32" t="n">
        <f aca="false">IF(D446&gt;=E446,D446-E446,0)</f>
        <v>0</v>
      </c>
      <c r="G446" s="32" t="n">
        <f aca="false">IF(E446&gt;D446,E446-D446,0)</f>
        <v>0</v>
      </c>
    </row>
    <row r="447" customFormat="false" ht="15" hidden="false" customHeight="true" outlineLevel="0" collapsed="false">
      <c r="A447" s="30" t="s">
        <v>598</v>
      </c>
      <c r="B447" s="31" t="s">
        <v>280</v>
      </c>
      <c r="C447" s="30" t="s">
        <v>437</v>
      </c>
      <c r="D447" s="32" t="n">
        <f aca="false">SUMIF('Libro Diario'!$C$5:$C$504,A447,'Libro Diario'!$F$5:$F$504)</f>
        <v>0</v>
      </c>
      <c r="E447" s="32" t="n">
        <f aca="false">SUMIF('Libro Diario'!$C$5:$C$504,A447,'Libro Diario'!$G$5:$G$504)</f>
        <v>0</v>
      </c>
      <c r="F447" s="32" t="n">
        <f aca="false">IF(D447&gt;=E447,D447-E447,0)</f>
        <v>0</v>
      </c>
      <c r="G447" s="32" t="n">
        <f aca="false">IF(E447&gt;D447,E447-D447,0)</f>
        <v>0</v>
      </c>
    </row>
    <row r="448" customFormat="false" ht="15" hidden="false" customHeight="true" outlineLevel="0" collapsed="false">
      <c r="A448" s="30" t="s">
        <v>599</v>
      </c>
      <c r="B448" s="31" t="s">
        <v>66</v>
      </c>
      <c r="C448" s="30" t="s">
        <v>437</v>
      </c>
      <c r="D448" s="32" t="n">
        <f aca="false">SUMIF('Libro Diario'!$C$5:$C$504,A448,'Libro Diario'!$F$5:$F$504)</f>
        <v>0</v>
      </c>
      <c r="E448" s="32" t="n">
        <f aca="false">SUMIF('Libro Diario'!$C$5:$C$504,A448,'Libro Diario'!$G$5:$G$504)</f>
        <v>0</v>
      </c>
      <c r="F448" s="32" t="n">
        <f aca="false">IF(D448&gt;=E448,D448-E448,0)</f>
        <v>0</v>
      </c>
      <c r="G448" s="32" t="n">
        <f aca="false">IF(E448&gt;D448,E448-D448,0)</f>
        <v>0</v>
      </c>
    </row>
    <row r="449" customFormat="false" ht="15" hidden="false" customHeight="true" outlineLevel="0" collapsed="false">
      <c r="A449" s="30" t="s">
        <v>600</v>
      </c>
      <c r="B449" s="31" t="s">
        <v>280</v>
      </c>
      <c r="C449" s="30" t="s">
        <v>437</v>
      </c>
      <c r="D449" s="32" t="n">
        <f aca="false">SUMIF('Libro Diario'!$C$5:$C$504,A449,'Libro Diario'!$F$5:$F$504)</f>
        <v>0</v>
      </c>
      <c r="E449" s="32" t="n">
        <f aca="false">SUMIF('Libro Diario'!$C$5:$C$504,A449,'Libro Diario'!$G$5:$G$504)</f>
        <v>0</v>
      </c>
      <c r="F449" s="32" t="n">
        <f aca="false">IF(D449&gt;=E449,D449-E449,0)</f>
        <v>0</v>
      </c>
      <c r="G449" s="32" t="n">
        <f aca="false">IF(E449&gt;D449,E449-D449,0)</f>
        <v>0</v>
      </c>
    </row>
    <row r="450" customFormat="false" ht="15" hidden="false" customHeight="true" outlineLevel="0" collapsed="false">
      <c r="A450" s="30" t="s">
        <v>601</v>
      </c>
      <c r="B450" s="31" t="s">
        <v>602</v>
      </c>
      <c r="C450" s="30" t="s">
        <v>437</v>
      </c>
      <c r="D450" s="32" t="n">
        <f aca="false">SUMIF('Libro Diario'!$C$5:$C$504,A450,'Libro Diario'!$F$5:$F$504)</f>
        <v>0</v>
      </c>
      <c r="E450" s="32" t="n">
        <f aca="false">SUMIF('Libro Diario'!$C$5:$C$504,A450,'Libro Diario'!$G$5:$G$504)</f>
        <v>0</v>
      </c>
      <c r="F450" s="32" t="n">
        <f aca="false">IF(D450&gt;=E450,D450-E450,0)</f>
        <v>0</v>
      </c>
      <c r="G450" s="32" t="n">
        <f aca="false">IF(E450&gt;D450,E450-D450,0)</f>
        <v>0</v>
      </c>
    </row>
    <row r="451" customFormat="false" ht="15" hidden="false" customHeight="true" outlineLevel="0" collapsed="false">
      <c r="A451" s="30" t="s">
        <v>603</v>
      </c>
      <c r="B451" s="31" t="s">
        <v>66</v>
      </c>
      <c r="C451" s="30" t="s">
        <v>437</v>
      </c>
      <c r="D451" s="32" t="n">
        <f aca="false">SUMIF('Libro Diario'!$C$5:$C$504,A451,'Libro Diario'!$F$5:$F$504)</f>
        <v>0</v>
      </c>
      <c r="E451" s="32" t="n">
        <f aca="false">SUMIF('Libro Diario'!$C$5:$C$504,A451,'Libro Diario'!$G$5:$G$504)</f>
        <v>0</v>
      </c>
      <c r="F451" s="32" t="n">
        <f aca="false">IF(D451&gt;=E451,D451-E451,0)</f>
        <v>0</v>
      </c>
      <c r="G451" s="32" t="n">
        <f aca="false">IF(E451&gt;D451,E451-D451,0)</f>
        <v>0</v>
      </c>
    </row>
    <row r="452" customFormat="false" ht="15" hidden="false" customHeight="true" outlineLevel="0" collapsed="false">
      <c r="A452" s="30" t="s">
        <v>604</v>
      </c>
      <c r="B452" s="31" t="s">
        <v>280</v>
      </c>
      <c r="C452" s="30" t="s">
        <v>437</v>
      </c>
      <c r="D452" s="32" t="n">
        <f aca="false">SUMIF('Libro Diario'!$C$5:$C$504,A452,'Libro Diario'!$F$5:$F$504)</f>
        <v>0</v>
      </c>
      <c r="E452" s="32" t="n">
        <f aca="false">SUMIF('Libro Diario'!$C$5:$C$504,A452,'Libro Diario'!$G$5:$G$504)</f>
        <v>0</v>
      </c>
      <c r="F452" s="32" t="n">
        <f aca="false">IF(D452&gt;=E452,D452-E452,0)</f>
        <v>0</v>
      </c>
      <c r="G452" s="32" t="n">
        <f aca="false">IF(E452&gt;D452,E452-D452,0)</f>
        <v>0</v>
      </c>
    </row>
    <row r="453" customFormat="false" ht="15" hidden="false" customHeight="true" outlineLevel="0" collapsed="false">
      <c r="A453" s="30" t="s">
        <v>605</v>
      </c>
      <c r="B453" s="31" t="s">
        <v>66</v>
      </c>
      <c r="C453" s="30" t="s">
        <v>437</v>
      </c>
      <c r="D453" s="32" t="n">
        <f aca="false">SUMIF('Libro Diario'!$C$5:$C$504,A453,'Libro Diario'!$F$5:$F$504)</f>
        <v>0</v>
      </c>
      <c r="E453" s="32" t="n">
        <f aca="false">SUMIF('Libro Diario'!$C$5:$C$504,A453,'Libro Diario'!$G$5:$G$504)</f>
        <v>0</v>
      </c>
      <c r="F453" s="32" t="n">
        <f aca="false">IF(D453&gt;=E453,D453-E453,0)</f>
        <v>0</v>
      </c>
      <c r="G453" s="32" t="n">
        <f aca="false">IF(E453&gt;D453,E453-D453,0)</f>
        <v>0</v>
      </c>
    </row>
    <row r="454" customFormat="false" ht="15" hidden="false" customHeight="true" outlineLevel="0" collapsed="false">
      <c r="A454" s="30" t="s">
        <v>606</v>
      </c>
      <c r="B454" s="31" t="s">
        <v>250</v>
      </c>
      <c r="C454" s="30" t="s">
        <v>437</v>
      </c>
      <c r="D454" s="32" t="n">
        <f aca="false">SUMIF('Libro Diario'!$C$5:$C$504,A454,'Libro Diario'!$F$5:$F$504)</f>
        <v>0</v>
      </c>
      <c r="E454" s="32" t="n">
        <f aca="false">SUMIF('Libro Diario'!$C$5:$C$504,A454,'Libro Diario'!$G$5:$G$504)</f>
        <v>0</v>
      </c>
      <c r="F454" s="32" t="n">
        <f aca="false">IF(D454&gt;=E454,D454-E454,0)</f>
        <v>0</v>
      </c>
      <c r="G454" s="32" t="n">
        <f aca="false">IF(E454&gt;D454,E454-D454,0)</f>
        <v>0</v>
      </c>
    </row>
    <row r="455" customFormat="false" ht="15" hidden="false" customHeight="true" outlineLevel="0" collapsed="false">
      <c r="A455" s="30" t="s">
        <v>607</v>
      </c>
      <c r="B455" s="31" t="s">
        <v>165</v>
      </c>
      <c r="C455" s="30" t="s">
        <v>437</v>
      </c>
      <c r="D455" s="32" t="n">
        <f aca="false">SUMIF('Libro Diario'!$C$5:$C$504,A455,'Libro Diario'!$F$5:$F$504)</f>
        <v>0</v>
      </c>
      <c r="E455" s="32" t="n">
        <f aca="false">SUMIF('Libro Diario'!$C$5:$C$504,A455,'Libro Diario'!$G$5:$G$504)</f>
        <v>0</v>
      </c>
      <c r="F455" s="32" t="n">
        <f aca="false">IF(D455&gt;=E455,D455-E455,0)</f>
        <v>0</v>
      </c>
      <c r="G455" s="32" t="n">
        <f aca="false">IF(E455&gt;D455,E455-D455,0)</f>
        <v>0</v>
      </c>
    </row>
    <row r="456" customFormat="false" ht="15" hidden="false" customHeight="true" outlineLevel="0" collapsed="false">
      <c r="A456" s="30" t="s">
        <v>608</v>
      </c>
      <c r="B456" s="31" t="s">
        <v>66</v>
      </c>
      <c r="C456" s="30" t="s">
        <v>437</v>
      </c>
      <c r="D456" s="32" t="n">
        <f aca="false">SUMIF('Libro Diario'!$C$5:$C$504,A456,'Libro Diario'!$F$5:$F$504)</f>
        <v>0</v>
      </c>
      <c r="E456" s="32" t="n">
        <f aca="false">SUMIF('Libro Diario'!$C$5:$C$504,A456,'Libro Diario'!$G$5:$G$504)</f>
        <v>0</v>
      </c>
      <c r="F456" s="32" t="n">
        <f aca="false">IF(D456&gt;=E456,D456-E456,0)</f>
        <v>0</v>
      </c>
      <c r="G456" s="32" t="n">
        <f aca="false">IF(E456&gt;D456,E456-D456,0)</f>
        <v>0</v>
      </c>
    </row>
    <row r="457" customFormat="false" ht="15" hidden="false" customHeight="true" outlineLevel="0" collapsed="false">
      <c r="A457" s="30" t="s">
        <v>609</v>
      </c>
      <c r="B457" s="31" t="s">
        <v>250</v>
      </c>
      <c r="C457" s="30" t="s">
        <v>437</v>
      </c>
      <c r="D457" s="32" t="n">
        <f aca="false">SUMIF('Libro Diario'!$C$5:$C$504,A457,'Libro Diario'!$F$5:$F$504)</f>
        <v>0</v>
      </c>
      <c r="E457" s="32" t="n">
        <f aca="false">SUMIF('Libro Diario'!$C$5:$C$504,A457,'Libro Diario'!$G$5:$G$504)</f>
        <v>0</v>
      </c>
      <c r="F457" s="32" t="n">
        <f aca="false">IF(D457&gt;=E457,D457-E457,0)</f>
        <v>0</v>
      </c>
      <c r="G457" s="32" t="n">
        <f aca="false">IF(E457&gt;D457,E457-D457,0)</f>
        <v>0</v>
      </c>
    </row>
    <row r="458" customFormat="false" ht="15" hidden="false" customHeight="true" outlineLevel="0" collapsed="false">
      <c r="A458" s="30" t="s">
        <v>610</v>
      </c>
      <c r="B458" s="31" t="s">
        <v>165</v>
      </c>
      <c r="C458" s="30" t="s">
        <v>437</v>
      </c>
      <c r="D458" s="32" t="n">
        <f aca="false">SUMIF('Libro Diario'!$C$5:$C$504,A458,'Libro Diario'!$F$5:$F$504)</f>
        <v>0</v>
      </c>
      <c r="E458" s="32" t="n">
        <f aca="false">SUMIF('Libro Diario'!$C$5:$C$504,A458,'Libro Diario'!$G$5:$G$504)</f>
        <v>0</v>
      </c>
      <c r="F458" s="32" t="n">
        <f aca="false">IF(D458&gt;=E458,D458-E458,0)</f>
        <v>0</v>
      </c>
      <c r="G458" s="32" t="n">
        <f aca="false">IF(E458&gt;D458,E458-D458,0)</f>
        <v>0</v>
      </c>
    </row>
    <row r="459" customFormat="false" ht="15" hidden="false" customHeight="true" outlineLevel="0" collapsed="false">
      <c r="A459" s="30" t="s">
        <v>611</v>
      </c>
      <c r="B459" s="31" t="s">
        <v>66</v>
      </c>
      <c r="C459" s="30" t="s">
        <v>437</v>
      </c>
      <c r="D459" s="32" t="n">
        <f aca="false">SUMIF('Libro Diario'!$C$5:$C$504,A459,'Libro Diario'!$F$5:$F$504)</f>
        <v>0</v>
      </c>
      <c r="E459" s="32" t="n">
        <f aca="false">SUMIF('Libro Diario'!$C$5:$C$504,A459,'Libro Diario'!$G$5:$G$504)</f>
        <v>0</v>
      </c>
      <c r="F459" s="32" t="n">
        <f aca="false">IF(D459&gt;=E459,D459-E459,0)</f>
        <v>0</v>
      </c>
      <c r="G459" s="32" t="n">
        <f aca="false">IF(E459&gt;D459,E459-D459,0)</f>
        <v>0</v>
      </c>
    </row>
    <row r="460" customFormat="false" ht="15" hidden="false" customHeight="true" outlineLevel="0" collapsed="false">
      <c r="A460" s="30" t="s">
        <v>612</v>
      </c>
      <c r="B460" s="31" t="s">
        <v>250</v>
      </c>
      <c r="C460" s="30" t="s">
        <v>437</v>
      </c>
      <c r="D460" s="32" t="n">
        <f aca="false">SUMIF('Libro Diario'!$C$5:$C$504,A460,'Libro Diario'!$F$5:$F$504)</f>
        <v>0</v>
      </c>
      <c r="E460" s="32" t="n">
        <f aca="false">SUMIF('Libro Diario'!$C$5:$C$504,A460,'Libro Diario'!$G$5:$G$504)</f>
        <v>0</v>
      </c>
      <c r="F460" s="32" t="n">
        <f aca="false">IF(D460&gt;=E460,D460-E460,0)</f>
        <v>0</v>
      </c>
      <c r="G460" s="32" t="n">
        <f aca="false">IF(E460&gt;D460,E460-D460,0)</f>
        <v>0</v>
      </c>
    </row>
    <row r="461" customFormat="false" ht="15" hidden="false" customHeight="true" outlineLevel="0" collapsed="false">
      <c r="A461" s="30" t="s">
        <v>613</v>
      </c>
      <c r="B461" s="31" t="s">
        <v>165</v>
      </c>
      <c r="C461" s="30" t="s">
        <v>437</v>
      </c>
      <c r="D461" s="32" t="n">
        <f aca="false">SUMIF('Libro Diario'!$C$5:$C$504,A461,'Libro Diario'!$F$5:$F$504)</f>
        <v>0</v>
      </c>
      <c r="E461" s="32" t="n">
        <f aca="false">SUMIF('Libro Diario'!$C$5:$C$504,A461,'Libro Diario'!$G$5:$G$504)</f>
        <v>0</v>
      </c>
      <c r="F461" s="32" t="n">
        <f aca="false">IF(D461&gt;=E461,D461-E461,0)</f>
        <v>0</v>
      </c>
      <c r="G461" s="32" t="n">
        <f aca="false">IF(E461&gt;D461,E461-D461,0)</f>
        <v>0</v>
      </c>
    </row>
    <row r="462" customFormat="false" ht="15" hidden="false" customHeight="true" outlineLevel="0" collapsed="false">
      <c r="A462" s="30" t="s">
        <v>614</v>
      </c>
      <c r="B462" s="31" t="s">
        <v>66</v>
      </c>
      <c r="C462" s="30" t="s">
        <v>437</v>
      </c>
      <c r="D462" s="32" t="n">
        <f aca="false">SUMIF('Libro Diario'!$C$5:$C$504,A462,'Libro Diario'!$F$5:$F$504)</f>
        <v>0</v>
      </c>
      <c r="E462" s="32" t="n">
        <f aca="false">SUMIF('Libro Diario'!$C$5:$C$504,A462,'Libro Diario'!$G$5:$G$504)</f>
        <v>0</v>
      </c>
      <c r="F462" s="32" t="n">
        <f aca="false">IF(D462&gt;=E462,D462-E462,0)</f>
        <v>0</v>
      </c>
      <c r="G462" s="32" t="n">
        <f aca="false">IF(E462&gt;D462,E462-D462,0)</f>
        <v>0</v>
      </c>
    </row>
    <row r="463" customFormat="false" ht="15" hidden="false" customHeight="true" outlineLevel="0" collapsed="false">
      <c r="A463" s="30" t="s">
        <v>615</v>
      </c>
      <c r="B463" s="31" t="s">
        <v>250</v>
      </c>
      <c r="C463" s="30" t="s">
        <v>437</v>
      </c>
      <c r="D463" s="32" t="n">
        <f aca="false">SUMIF('Libro Diario'!$C$5:$C$504,A463,'Libro Diario'!$F$5:$F$504)</f>
        <v>0</v>
      </c>
      <c r="E463" s="32" t="n">
        <f aca="false">SUMIF('Libro Diario'!$C$5:$C$504,A463,'Libro Diario'!$G$5:$G$504)</f>
        <v>0</v>
      </c>
      <c r="F463" s="32" t="n">
        <f aca="false">IF(D463&gt;=E463,D463-E463,0)</f>
        <v>0</v>
      </c>
      <c r="G463" s="32" t="n">
        <f aca="false">IF(E463&gt;D463,E463-D463,0)</f>
        <v>0</v>
      </c>
    </row>
    <row r="464" customFormat="false" ht="15" hidden="false" customHeight="true" outlineLevel="0" collapsed="false">
      <c r="A464" s="30" t="s">
        <v>616</v>
      </c>
      <c r="B464" s="31" t="s">
        <v>165</v>
      </c>
      <c r="C464" s="30" t="s">
        <v>437</v>
      </c>
      <c r="D464" s="32" t="n">
        <f aca="false">SUMIF('Libro Diario'!$C$5:$C$504,A464,'Libro Diario'!$F$5:$F$504)</f>
        <v>0</v>
      </c>
      <c r="E464" s="32" t="n">
        <f aca="false">SUMIF('Libro Diario'!$C$5:$C$504,A464,'Libro Diario'!$G$5:$G$504)</f>
        <v>0</v>
      </c>
      <c r="F464" s="32" t="n">
        <f aca="false">IF(D464&gt;=E464,D464-E464,0)</f>
        <v>0</v>
      </c>
      <c r="G464" s="32" t="n">
        <f aca="false">IF(E464&gt;D464,E464-D464,0)</f>
        <v>0</v>
      </c>
    </row>
    <row r="465" customFormat="false" ht="15" hidden="false" customHeight="true" outlineLevel="0" collapsed="false">
      <c r="A465" s="30" t="s">
        <v>617</v>
      </c>
      <c r="B465" s="31" t="s">
        <v>66</v>
      </c>
      <c r="C465" s="30" t="s">
        <v>437</v>
      </c>
      <c r="D465" s="32" t="n">
        <f aca="false">SUMIF('Libro Diario'!$C$5:$C$504,A465,'Libro Diario'!$F$5:$F$504)</f>
        <v>0</v>
      </c>
      <c r="E465" s="32" t="n">
        <f aca="false">SUMIF('Libro Diario'!$C$5:$C$504,A465,'Libro Diario'!$G$5:$G$504)</f>
        <v>0</v>
      </c>
      <c r="F465" s="32" t="n">
        <f aca="false">IF(D465&gt;=E465,D465-E465,0)</f>
        <v>0</v>
      </c>
      <c r="G465" s="32" t="n">
        <f aca="false">IF(E465&gt;D465,E465-D465,0)</f>
        <v>0</v>
      </c>
    </row>
    <row r="466" customFormat="false" ht="15" hidden="false" customHeight="true" outlineLevel="0" collapsed="false">
      <c r="A466" s="30" t="s">
        <v>618</v>
      </c>
      <c r="B466" s="31" t="s">
        <v>280</v>
      </c>
      <c r="C466" s="30" t="s">
        <v>437</v>
      </c>
      <c r="D466" s="32" t="n">
        <f aca="false">SUMIF('Libro Diario'!$C$5:$C$504,A466,'Libro Diario'!$F$5:$F$504)</f>
        <v>0</v>
      </c>
      <c r="E466" s="32" t="n">
        <f aca="false">SUMIF('Libro Diario'!$C$5:$C$504,A466,'Libro Diario'!$G$5:$G$504)</f>
        <v>0</v>
      </c>
      <c r="F466" s="32" t="n">
        <f aca="false">IF(D466&gt;=E466,D466-E466,0)</f>
        <v>0</v>
      </c>
      <c r="G466" s="32" t="n">
        <f aca="false">IF(E466&gt;D466,E466-D466,0)</f>
        <v>0</v>
      </c>
    </row>
    <row r="467" customFormat="false" ht="15" hidden="false" customHeight="true" outlineLevel="0" collapsed="false">
      <c r="A467" s="30" t="s">
        <v>619</v>
      </c>
      <c r="B467" s="31" t="s">
        <v>66</v>
      </c>
      <c r="C467" s="30" t="s">
        <v>437</v>
      </c>
      <c r="D467" s="32" t="n">
        <f aca="false">SUMIF('Libro Diario'!$C$5:$C$504,A467,'Libro Diario'!$F$5:$F$504)</f>
        <v>0</v>
      </c>
      <c r="E467" s="32" t="n">
        <f aca="false">SUMIF('Libro Diario'!$C$5:$C$504,A467,'Libro Diario'!$G$5:$G$504)</f>
        <v>0</v>
      </c>
      <c r="F467" s="32" t="n">
        <f aca="false">IF(D467&gt;=E467,D467-E467,0)</f>
        <v>0</v>
      </c>
      <c r="G467" s="32" t="n">
        <f aca="false">IF(E467&gt;D467,E467-D467,0)</f>
        <v>0</v>
      </c>
    </row>
    <row r="468" customFormat="false" ht="15" hidden="false" customHeight="true" outlineLevel="0" collapsed="false">
      <c r="A468" s="30" t="s">
        <v>620</v>
      </c>
      <c r="B468" s="31" t="s">
        <v>280</v>
      </c>
      <c r="C468" s="30" t="s">
        <v>437</v>
      </c>
      <c r="D468" s="32" t="n">
        <f aca="false">SUMIF('Libro Diario'!$C$5:$C$504,A468,'Libro Diario'!$F$5:$F$504)</f>
        <v>0</v>
      </c>
      <c r="E468" s="32" t="n">
        <f aca="false">SUMIF('Libro Diario'!$C$5:$C$504,A468,'Libro Diario'!$G$5:$G$504)</f>
        <v>0</v>
      </c>
      <c r="F468" s="32" t="n">
        <f aca="false">IF(D468&gt;=E468,D468-E468,0)</f>
        <v>0</v>
      </c>
      <c r="G468" s="32" t="n">
        <f aca="false">IF(E468&gt;D468,E468-D468,0)</f>
        <v>0</v>
      </c>
    </row>
    <row r="469" customFormat="false" ht="15" hidden="false" customHeight="true" outlineLevel="0" collapsed="false">
      <c r="A469" s="30" t="s">
        <v>621</v>
      </c>
      <c r="B469" s="31" t="s">
        <v>250</v>
      </c>
      <c r="C469" s="30" t="s">
        <v>437</v>
      </c>
      <c r="D469" s="32" t="n">
        <f aca="false">SUMIF('Libro Diario'!$C$5:$C$504,A469,'Libro Diario'!$F$5:$F$504)</f>
        <v>0</v>
      </c>
      <c r="E469" s="32" t="n">
        <f aca="false">SUMIF('Libro Diario'!$C$5:$C$504,A469,'Libro Diario'!$G$5:$G$504)</f>
        <v>0</v>
      </c>
      <c r="F469" s="32" t="n">
        <f aca="false">IF(D469&gt;=E469,D469-E469,0)</f>
        <v>0</v>
      </c>
      <c r="G469" s="32" t="n">
        <f aca="false">IF(E469&gt;D469,E469-D469,0)</f>
        <v>0</v>
      </c>
    </row>
    <row r="470" customFormat="false" ht="15" hidden="false" customHeight="true" outlineLevel="0" collapsed="false">
      <c r="A470" s="30" t="s">
        <v>622</v>
      </c>
      <c r="B470" s="31" t="s">
        <v>66</v>
      </c>
      <c r="C470" s="30" t="s">
        <v>437</v>
      </c>
      <c r="D470" s="32" t="n">
        <f aca="false">SUMIF('Libro Diario'!$C$5:$C$504,A470,'Libro Diario'!$F$5:$F$504)</f>
        <v>0</v>
      </c>
      <c r="E470" s="32" t="n">
        <f aca="false">SUMIF('Libro Diario'!$C$5:$C$504,A470,'Libro Diario'!$G$5:$G$504)</f>
        <v>0</v>
      </c>
      <c r="F470" s="32" t="n">
        <f aca="false">IF(D470&gt;=E470,D470-E470,0)</f>
        <v>0</v>
      </c>
      <c r="G470" s="32" t="n">
        <f aca="false">IF(E470&gt;D470,E470-D470,0)</f>
        <v>0</v>
      </c>
    </row>
    <row r="471" customFormat="false" ht="15" hidden="false" customHeight="true" outlineLevel="0" collapsed="false">
      <c r="A471" s="30" t="s">
        <v>623</v>
      </c>
      <c r="B471" s="31" t="s">
        <v>280</v>
      </c>
      <c r="C471" s="30" t="s">
        <v>437</v>
      </c>
      <c r="D471" s="32" t="n">
        <f aca="false">SUMIF('Libro Diario'!$C$5:$C$504,A471,'Libro Diario'!$F$5:$F$504)</f>
        <v>0</v>
      </c>
      <c r="E471" s="32" t="n">
        <f aca="false">SUMIF('Libro Diario'!$C$5:$C$504,A471,'Libro Diario'!$G$5:$G$504)</f>
        <v>0</v>
      </c>
      <c r="F471" s="32" t="n">
        <f aca="false">IF(D471&gt;=E471,D471-E471,0)</f>
        <v>0</v>
      </c>
      <c r="G471" s="32" t="n">
        <f aca="false">IF(E471&gt;D471,E471-D471,0)</f>
        <v>0</v>
      </c>
    </row>
    <row r="472" customFormat="false" ht="15" hidden="false" customHeight="true" outlineLevel="0" collapsed="false">
      <c r="A472" s="30" t="s">
        <v>624</v>
      </c>
      <c r="B472" s="31" t="s">
        <v>250</v>
      </c>
      <c r="C472" s="30" t="s">
        <v>437</v>
      </c>
      <c r="D472" s="32" t="n">
        <f aca="false">SUMIF('Libro Diario'!$C$5:$C$504,A472,'Libro Diario'!$F$5:$F$504)</f>
        <v>0</v>
      </c>
      <c r="E472" s="32" t="n">
        <f aca="false">SUMIF('Libro Diario'!$C$5:$C$504,A472,'Libro Diario'!$G$5:$G$504)</f>
        <v>0</v>
      </c>
      <c r="F472" s="32" t="n">
        <f aca="false">IF(D472&gt;=E472,D472-E472,0)</f>
        <v>0</v>
      </c>
      <c r="G472" s="32" t="n">
        <f aca="false">IF(E472&gt;D472,E472-D472,0)</f>
        <v>0</v>
      </c>
    </row>
    <row r="473" customFormat="false" ht="15" hidden="false" customHeight="true" outlineLevel="0" collapsed="false">
      <c r="A473" s="30" t="s">
        <v>625</v>
      </c>
      <c r="B473" s="31" t="s">
        <v>66</v>
      </c>
      <c r="C473" s="30" t="s">
        <v>437</v>
      </c>
      <c r="D473" s="32" t="n">
        <f aca="false">SUMIF('Libro Diario'!$C$5:$C$504,A473,'Libro Diario'!$F$5:$F$504)</f>
        <v>0</v>
      </c>
      <c r="E473" s="32" t="n">
        <f aca="false">SUMIF('Libro Diario'!$C$5:$C$504,A473,'Libro Diario'!$G$5:$G$504)</f>
        <v>0</v>
      </c>
      <c r="F473" s="32" t="n">
        <f aca="false">IF(D473&gt;=E473,D473-E473,0)</f>
        <v>0</v>
      </c>
      <c r="G473" s="32" t="n">
        <f aca="false">IF(E473&gt;D473,E473-D473,0)</f>
        <v>0</v>
      </c>
    </row>
    <row r="474" customFormat="false" ht="15" hidden="false" customHeight="true" outlineLevel="0" collapsed="false">
      <c r="A474" s="30" t="s">
        <v>626</v>
      </c>
      <c r="B474" s="31" t="s">
        <v>280</v>
      </c>
      <c r="C474" s="30" t="s">
        <v>437</v>
      </c>
      <c r="D474" s="32" t="n">
        <f aca="false">SUMIF('Libro Diario'!$C$5:$C$504,A474,'Libro Diario'!$F$5:$F$504)</f>
        <v>0</v>
      </c>
      <c r="E474" s="32" t="n">
        <f aca="false">SUMIF('Libro Diario'!$C$5:$C$504,A474,'Libro Diario'!$G$5:$G$504)</f>
        <v>0</v>
      </c>
      <c r="F474" s="32" t="n">
        <f aca="false">IF(D474&gt;=E474,D474-E474,0)</f>
        <v>0</v>
      </c>
      <c r="G474" s="32" t="n">
        <f aca="false">IF(E474&gt;D474,E474-D474,0)</f>
        <v>0</v>
      </c>
    </row>
    <row r="475" customFormat="false" ht="15" hidden="false" customHeight="true" outlineLevel="0" collapsed="false">
      <c r="A475" s="30" t="s">
        <v>627</v>
      </c>
      <c r="B475" s="31" t="s">
        <v>66</v>
      </c>
      <c r="C475" s="30" t="s">
        <v>437</v>
      </c>
      <c r="D475" s="32" t="n">
        <f aca="false">SUMIF('Libro Diario'!$C$5:$C$504,A475,'Libro Diario'!$F$5:$F$504)</f>
        <v>0</v>
      </c>
      <c r="E475" s="32" t="n">
        <f aca="false">SUMIF('Libro Diario'!$C$5:$C$504,A475,'Libro Diario'!$G$5:$G$504)</f>
        <v>0</v>
      </c>
      <c r="F475" s="32" t="n">
        <f aca="false">IF(D475&gt;=E475,D475-E475,0)</f>
        <v>0</v>
      </c>
      <c r="G475" s="32" t="n">
        <f aca="false">IF(E475&gt;D475,E475-D475,0)</f>
        <v>0</v>
      </c>
    </row>
    <row r="476" customFormat="false" ht="15" hidden="false" customHeight="true" outlineLevel="0" collapsed="false">
      <c r="A476" s="30" t="s">
        <v>628</v>
      </c>
      <c r="B476" s="31" t="s">
        <v>280</v>
      </c>
      <c r="C476" s="30" t="s">
        <v>437</v>
      </c>
      <c r="D476" s="32" t="n">
        <f aca="false">SUMIF('Libro Diario'!$C$5:$C$504,A476,'Libro Diario'!$F$5:$F$504)</f>
        <v>0</v>
      </c>
      <c r="E476" s="32" t="n">
        <f aca="false">SUMIF('Libro Diario'!$C$5:$C$504,A476,'Libro Diario'!$G$5:$G$504)</f>
        <v>0</v>
      </c>
      <c r="F476" s="32" t="n">
        <f aca="false">IF(D476&gt;=E476,D476-E476,0)</f>
        <v>0</v>
      </c>
      <c r="G476" s="32" t="n">
        <f aca="false">IF(E476&gt;D476,E476-D476,0)</f>
        <v>0</v>
      </c>
    </row>
    <row r="477" customFormat="false" ht="15" hidden="false" customHeight="true" outlineLevel="0" collapsed="false">
      <c r="A477" s="30" t="s">
        <v>629</v>
      </c>
      <c r="B477" s="31" t="s">
        <v>250</v>
      </c>
      <c r="C477" s="30" t="s">
        <v>437</v>
      </c>
      <c r="D477" s="32" t="n">
        <f aca="false">SUMIF('Libro Diario'!$C$5:$C$504,A477,'Libro Diario'!$F$5:$F$504)</f>
        <v>0</v>
      </c>
      <c r="E477" s="32" t="n">
        <f aca="false">SUMIF('Libro Diario'!$C$5:$C$504,A477,'Libro Diario'!$G$5:$G$504)</f>
        <v>0</v>
      </c>
      <c r="F477" s="32" t="n">
        <f aca="false">IF(D477&gt;=E477,D477-E477,0)</f>
        <v>0</v>
      </c>
      <c r="G477" s="32" t="n">
        <f aca="false">IF(E477&gt;D477,E477-D477,0)</f>
        <v>0</v>
      </c>
    </row>
    <row r="478" customFormat="false" ht="15" hidden="false" customHeight="true" outlineLevel="0" collapsed="false">
      <c r="A478" s="30" t="s">
        <v>630</v>
      </c>
      <c r="B478" s="31" t="s">
        <v>66</v>
      </c>
      <c r="C478" s="30" t="s">
        <v>437</v>
      </c>
      <c r="D478" s="32" t="n">
        <f aca="false">SUMIF('Libro Diario'!$C$5:$C$504,A478,'Libro Diario'!$F$5:$F$504)</f>
        <v>0</v>
      </c>
      <c r="E478" s="32" t="n">
        <f aca="false">SUMIF('Libro Diario'!$C$5:$C$504,A478,'Libro Diario'!$G$5:$G$504)</f>
        <v>0</v>
      </c>
      <c r="F478" s="32" t="n">
        <f aca="false">IF(D478&gt;=E478,D478-E478,0)</f>
        <v>0</v>
      </c>
      <c r="G478" s="32" t="n">
        <f aca="false">IF(E478&gt;D478,E478-D478,0)</f>
        <v>0</v>
      </c>
    </row>
    <row r="479" customFormat="false" ht="15" hidden="false" customHeight="true" outlineLevel="0" collapsed="false">
      <c r="A479" s="30" t="s">
        <v>631</v>
      </c>
      <c r="B479" s="31" t="s">
        <v>280</v>
      </c>
      <c r="C479" s="30" t="s">
        <v>437</v>
      </c>
      <c r="D479" s="32" t="n">
        <f aca="false">SUMIF('Libro Diario'!$C$5:$C$504,A479,'Libro Diario'!$F$5:$F$504)</f>
        <v>0</v>
      </c>
      <c r="E479" s="32" t="n">
        <f aca="false">SUMIF('Libro Diario'!$C$5:$C$504,A479,'Libro Diario'!$G$5:$G$504)</f>
        <v>0</v>
      </c>
      <c r="F479" s="32" t="n">
        <f aca="false">IF(D479&gt;=E479,D479-E479,0)</f>
        <v>0</v>
      </c>
      <c r="G479" s="32" t="n">
        <f aca="false">IF(E479&gt;D479,E479-D479,0)</f>
        <v>0</v>
      </c>
    </row>
    <row r="480" customFormat="false" ht="15" hidden="false" customHeight="true" outlineLevel="0" collapsed="false">
      <c r="A480" s="30" t="s">
        <v>632</v>
      </c>
      <c r="B480" s="31" t="s">
        <v>66</v>
      </c>
      <c r="C480" s="30" t="s">
        <v>437</v>
      </c>
      <c r="D480" s="32" t="n">
        <f aca="false">SUMIF('Libro Diario'!$C$5:$C$504,A480,'Libro Diario'!$F$5:$F$504)</f>
        <v>0</v>
      </c>
      <c r="E480" s="32" t="n">
        <f aca="false">SUMIF('Libro Diario'!$C$5:$C$504,A480,'Libro Diario'!$G$5:$G$504)</f>
        <v>0</v>
      </c>
      <c r="F480" s="32" t="n">
        <f aca="false">IF(D480&gt;=E480,D480-E480,0)</f>
        <v>0</v>
      </c>
      <c r="G480" s="32" t="n">
        <f aca="false">IF(E480&gt;D480,E480-D480,0)</f>
        <v>0</v>
      </c>
    </row>
    <row r="481" customFormat="false" ht="15" hidden="false" customHeight="true" outlineLevel="0" collapsed="false">
      <c r="A481" s="30" t="s">
        <v>633</v>
      </c>
      <c r="B481" s="31" t="s">
        <v>280</v>
      </c>
      <c r="C481" s="30" t="s">
        <v>437</v>
      </c>
      <c r="D481" s="32" t="n">
        <f aca="false">SUMIF('Libro Diario'!$C$5:$C$504,A481,'Libro Diario'!$F$5:$F$504)</f>
        <v>0</v>
      </c>
      <c r="E481" s="32" t="n">
        <f aca="false">SUMIF('Libro Diario'!$C$5:$C$504,A481,'Libro Diario'!$G$5:$G$504)</f>
        <v>0</v>
      </c>
      <c r="F481" s="32" t="n">
        <f aca="false">IF(D481&gt;=E481,D481-E481,0)</f>
        <v>0</v>
      </c>
      <c r="G481" s="32" t="n">
        <f aca="false">IF(E481&gt;D481,E481-D481,0)</f>
        <v>0</v>
      </c>
    </row>
    <row r="482" customFormat="false" ht="15" hidden="false" customHeight="true" outlineLevel="0" collapsed="false">
      <c r="A482" s="30" t="s">
        <v>634</v>
      </c>
      <c r="B482" s="31" t="s">
        <v>250</v>
      </c>
      <c r="C482" s="30" t="s">
        <v>437</v>
      </c>
      <c r="D482" s="32" t="n">
        <f aca="false">SUMIF('Libro Diario'!$C$5:$C$504,A482,'Libro Diario'!$F$5:$F$504)</f>
        <v>0</v>
      </c>
      <c r="E482" s="32" t="n">
        <f aca="false">SUMIF('Libro Diario'!$C$5:$C$504,A482,'Libro Diario'!$G$5:$G$504)</f>
        <v>0</v>
      </c>
      <c r="F482" s="32" t="n">
        <f aca="false">IF(D482&gt;=E482,D482-E482,0)</f>
        <v>0</v>
      </c>
      <c r="G482" s="32" t="n">
        <f aca="false">IF(E482&gt;D482,E482-D482,0)</f>
        <v>0</v>
      </c>
    </row>
    <row r="483" customFormat="false" ht="15" hidden="false" customHeight="true" outlineLevel="0" collapsed="false">
      <c r="A483" s="30" t="s">
        <v>635</v>
      </c>
      <c r="B483" s="31" t="s">
        <v>66</v>
      </c>
      <c r="C483" s="30" t="s">
        <v>437</v>
      </c>
      <c r="D483" s="32" t="n">
        <f aca="false">SUMIF('Libro Diario'!$C$5:$C$504,A483,'Libro Diario'!$F$5:$F$504)</f>
        <v>0</v>
      </c>
      <c r="E483" s="32" t="n">
        <f aca="false">SUMIF('Libro Diario'!$C$5:$C$504,A483,'Libro Diario'!$G$5:$G$504)</f>
        <v>0</v>
      </c>
      <c r="F483" s="32" t="n">
        <f aca="false">IF(D483&gt;=E483,D483-E483,0)</f>
        <v>0</v>
      </c>
      <c r="G483" s="32" t="n">
        <f aca="false">IF(E483&gt;D483,E483-D483,0)</f>
        <v>0</v>
      </c>
    </row>
    <row r="484" customFormat="false" ht="15" hidden="false" customHeight="true" outlineLevel="0" collapsed="false">
      <c r="A484" s="30" t="s">
        <v>636</v>
      </c>
      <c r="B484" s="31" t="s">
        <v>280</v>
      </c>
      <c r="C484" s="30" t="s">
        <v>437</v>
      </c>
      <c r="D484" s="32" t="n">
        <f aca="false">SUMIF('Libro Diario'!$C$5:$C$504,A484,'Libro Diario'!$F$5:$F$504)</f>
        <v>0</v>
      </c>
      <c r="E484" s="32" t="n">
        <f aca="false">SUMIF('Libro Diario'!$C$5:$C$504,A484,'Libro Diario'!$G$5:$G$504)</f>
        <v>0</v>
      </c>
      <c r="F484" s="32" t="n">
        <f aca="false">IF(D484&gt;=E484,D484-E484,0)</f>
        <v>0</v>
      </c>
      <c r="G484" s="32" t="n">
        <f aca="false">IF(E484&gt;D484,E484-D484,0)</f>
        <v>0</v>
      </c>
    </row>
    <row r="485" customFormat="false" ht="15" hidden="false" customHeight="true" outlineLevel="0" collapsed="false">
      <c r="A485" s="30" t="s">
        <v>637</v>
      </c>
      <c r="B485" s="31" t="s">
        <v>250</v>
      </c>
      <c r="C485" s="30" t="s">
        <v>437</v>
      </c>
      <c r="D485" s="32" t="n">
        <f aca="false">SUMIF('Libro Diario'!$C$5:$C$504,A485,'Libro Diario'!$F$5:$F$504)</f>
        <v>0</v>
      </c>
      <c r="E485" s="32" t="n">
        <f aca="false">SUMIF('Libro Diario'!$C$5:$C$504,A485,'Libro Diario'!$G$5:$G$504)</f>
        <v>0</v>
      </c>
      <c r="F485" s="32" t="n">
        <f aca="false">IF(D485&gt;=E485,D485-E485,0)</f>
        <v>0</v>
      </c>
      <c r="G485" s="32" t="n">
        <f aca="false">IF(E485&gt;D485,E485-D485,0)</f>
        <v>0</v>
      </c>
    </row>
    <row r="486" customFormat="false" ht="15" hidden="false" customHeight="true" outlineLevel="0" collapsed="false">
      <c r="A486" s="30" t="s">
        <v>638</v>
      </c>
      <c r="B486" s="31" t="s">
        <v>66</v>
      </c>
      <c r="C486" s="30" t="s">
        <v>437</v>
      </c>
      <c r="D486" s="32" t="n">
        <f aca="false">SUMIF('Libro Diario'!$C$5:$C$504,A486,'Libro Diario'!$F$5:$F$504)</f>
        <v>0</v>
      </c>
      <c r="E486" s="32" t="n">
        <f aca="false">SUMIF('Libro Diario'!$C$5:$C$504,A486,'Libro Diario'!$G$5:$G$504)</f>
        <v>0</v>
      </c>
      <c r="F486" s="32" t="n">
        <f aca="false">IF(D486&gt;=E486,D486-E486,0)</f>
        <v>0</v>
      </c>
      <c r="G486" s="32" t="n">
        <f aca="false">IF(E486&gt;D486,E486-D486,0)</f>
        <v>0</v>
      </c>
    </row>
    <row r="487" customFormat="false" ht="15" hidden="false" customHeight="true" outlineLevel="0" collapsed="false">
      <c r="A487" s="30" t="s">
        <v>639</v>
      </c>
      <c r="B487" s="31" t="s">
        <v>280</v>
      </c>
      <c r="C487" s="30" t="s">
        <v>437</v>
      </c>
      <c r="D487" s="32" t="n">
        <f aca="false">SUMIF('Libro Diario'!$C$5:$C$504,A487,'Libro Diario'!$F$5:$F$504)</f>
        <v>0</v>
      </c>
      <c r="E487" s="32" t="n">
        <f aca="false">SUMIF('Libro Diario'!$C$5:$C$504,A487,'Libro Diario'!$G$5:$G$504)</f>
        <v>0</v>
      </c>
      <c r="F487" s="32" t="n">
        <f aca="false">IF(D487&gt;=E487,D487-E487,0)</f>
        <v>0</v>
      </c>
      <c r="G487" s="32" t="n">
        <f aca="false">IF(E487&gt;D487,E487-D487,0)</f>
        <v>0</v>
      </c>
    </row>
    <row r="488" customFormat="false" ht="15" hidden="false" customHeight="true" outlineLevel="0" collapsed="false">
      <c r="A488" s="30" t="s">
        <v>640</v>
      </c>
      <c r="B488" s="31" t="s">
        <v>66</v>
      </c>
      <c r="C488" s="30" t="s">
        <v>437</v>
      </c>
      <c r="D488" s="32" t="n">
        <f aca="false">SUMIF('Libro Diario'!$C$5:$C$504,A488,'Libro Diario'!$F$5:$F$504)</f>
        <v>0</v>
      </c>
      <c r="E488" s="32" t="n">
        <f aca="false">SUMIF('Libro Diario'!$C$5:$C$504,A488,'Libro Diario'!$G$5:$G$504)</f>
        <v>0</v>
      </c>
      <c r="F488" s="32" t="n">
        <f aca="false">IF(D488&gt;=E488,D488-E488,0)</f>
        <v>0</v>
      </c>
      <c r="G488" s="32" t="n">
        <f aca="false">IF(E488&gt;D488,E488-D488,0)</f>
        <v>0</v>
      </c>
    </row>
    <row r="489" customFormat="false" ht="15" hidden="false" customHeight="true" outlineLevel="0" collapsed="false">
      <c r="A489" s="30" t="s">
        <v>641</v>
      </c>
      <c r="B489" s="31" t="s">
        <v>280</v>
      </c>
      <c r="C489" s="30" t="s">
        <v>437</v>
      </c>
      <c r="D489" s="32" t="n">
        <f aca="false">SUMIF('Libro Diario'!$C$5:$C$504,A489,'Libro Diario'!$F$5:$F$504)</f>
        <v>0</v>
      </c>
      <c r="E489" s="32" t="n">
        <f aca="false">SUMIF('Libro Diario'!$C$5:$C$504,A489,'Libro Diario'!$G$5:$G$504)</f>
        <v>0</v>
      </c>
      <c r="F489" s="32" t="n">
        <f aca="false">IF(D489&gt;=E489,D489-E489,0)</f>
        <v>0</v>
      </c>
      <c r="G489" s="32" t="n">
        <f aca="false">IF(E489&gt;D489,E489-D489,0)</f>
        <v>0</v>
      </c>
    </row>
    <row r="490" customFormat="false" ht="15" hidden="false" customHeight="true" outlineLevel="0" collapsed="false">
      <c r="A490" s="30" t="s">
        <v>642</v>
      </c>
      <c r="B490" s="31" t="s">
        <v>66</v>
      </c>
      <c r="C490" s="30" t="s">
        <v>437</v>
      </c>
      <c r="D490" s="32" t="n">
        <f aca="false">SUMIF('Libro Diario'!$C$5:$C$504,A490,'Libro Diario'!$F$5:$F$504)</f>
        <v>0</v>
      </c>
      <c r="E490" s="32" t="n">
        <f aca="false">SUMIF('Libro Diario'!$C$5:$C$504,A490,'Libro Diario'!$G$5:$G$504)</f>
        <v>0</v>
      </c>
      <c r="F490" s="32" t="n">
        <f aca="false">IF(D490&gt;=E490,D490-E490,0)</f>
        <v>0</v>
      </c>
      <c r="G490" s="32" t="n">
        <f aca="false">IF(E490&gt;D490,E490-D490,0)</f>
        <v>0</v>
      </c>
    </row>
    <row r="491" customFormat="false" ht="15" hidden="false" customHeight="true" outlineLevel="0" collapsed="false">
      <c r="A491" s="30" t="s">
        <v>643</v>
      </c>
      <c r="B491" s="31" t="s">
        <v>280</v>
      </c>
      <c r="C491" s="30" t="s">
        <v>437</v>
      </c>
      <c r="D491" s="32" t="n">
        <f aca="false">SUMIF('Libro Diario'!$C$5:$C$504,A491,'Libro Diario'!$F$5:$F$504)</f>
        <v>0</v>
      </c>
      <c r="E491" s="32" t="n">
        <f aca="false">SUMIF('Libro Diario'!$C$5:$C$504,A491,'Libro Diario'!$G$5:$G$504)</f>
        <v>0</v>
      </c>
      <c r="F491" s="32" t="n">
        <f aca="false">IF(D491&gt;=E491,D491-E491,0)</f>
        <v>0</v>
      </c>
      <c r="G491" s="32" t="n">
        <f aca="false">IF(E491&gt;D491,E491-D491,0)</f>
        <v>0</v>
      </c>
    </row>
    <row r="492" customFormat="false" ht="15" hidden="false" customHeight="true" outlineLevel="0" collapsed="false">
      <c r="A492" s="30" t="s">
        <v>644</v>
      </c>
      <c r="B492" s="31" t="s">
        <v>66</v>
      </c>
      <c r="C492" s="30" t="s">
        <v>437</v>
      </c>
      <c r="D492" s="32" t="n">
        <f aca="false">SUMIF('Libro Diario'!$C$5:$C$504,A492,'Libro Diario'!$F$5:$F$504)</f>
        <v>0</v>
      </c>
      <c r="E492" s="32" t="n">
        <f aca="false">SUMIF('Libro Diario'!$C$5:$C$504,A492,'Libro Diario'!$G$5:$G$504)</f>
        <v>0</v>
      </c>
      <c r="F492" s="32" t="n">
        <f aca="false">IF(D492&gt;=E492,D492-E492,0)</f>
        <v>0</v>
      </c>
      <c r="G492" s="32" t="n">
        <f aca="false">IF(E492&gt;D492,E492-D492,0)</f>
        <v>0</v>
      </c>
    </row>
    <row r="493" customFormat="false" ht="15" hidden="false" customHeight="true" outlineLevel="0" collapsed="false">
      <c r="A493" s="30" t="s">
        <v>645</v>
      </c>
      <c r="B493" s="31" t="s">
        <v>646</v>
      </c>
      <c r="C493" s="30" t="s">
        <v>437</v>
      </c>
      <c r="D493" s="32" t="n">
        <f aca="false">SUMIF('Libro Diario'!$C$5:$C$504,A493,'Libro Diario'!$F$5:$F$504)</f>
        <v>0</v>
      </c>
      <c r="E493" s="32" t="n">
        <f aca="false">SUMIF('Libro Diario'!$C$5:$C$504,A493,'Libro Diario'!$G$5:$G$504)</f>
        <v>0</v>
      </c>
      <c r="F493" s="32" t="n">
        <f aca="false">IF(D493&gt;=E493,D493-E493,0)</f>
        <v>0</v>
      </c>
      <c r="G493" s="32" t="n">
        <f aca="false">IF(E493&gt;D493,E493-D493,0)</f>
        <v>0</v>
      </c>
    </row>
    <row r="494" customFormat="false" ht="15" hidden="false" customHeight="true" outlineLevel="0" collapsed="false">
      <c r="A494" s="30" t="s">
        <v>647</v>
      </c>
      <c r="B494" s="31" t="s">
        <v>648</v>
      </c>
      <c r="C494" s="30" t="s">
        <v>437</v>
      </c>
      <c r="D494" s="32" t="n">
        <f aca="false">SUMIF('Libro Diario'!$C$5:$C$504,A494,'Libro Diario'!$F$5:$F$504)</f>
        <v>0</v>
      </c>
      <c r="E494" s="32" t="n">
        <f aca="false">SUMIF('Libro Diario'!$C$5:$C$504,A494,'Libro Diario'!$G$5:$G$504)</f>
        <v>0</v>
      </c>
      <c r="F494" s="32" t="n">
        <f aca="false">IF(D494&gt;=E494,D494-E494,0)</f>
        <v>0</v>
      </c>
      <c r="G494" s="32" t="n">
        <f aca="false">IF(E494&gt;D494,E494-D494,0)</f>
        <v>0</v>
      </c>
    </row>
    <row r="495" customFormat="false" ht="15" hidden="false" customHeight="true" outlineLevel="0" collapsed="false">
      <c r="A495" s="30" t="s">
        <v>649</v>
      </c>
      <c r="B495" s="31" t="s">
        <v>650</v>
      </c>
      <c r="C495" s="30" t="s">
        <v>437</v>
      </c>
      <c r="D495" s="32" t="n">
        <f aca="false">SUMIF('Libro Diario'!$C$5:$C$504,A495,'Libro Diario'!$F$5:$F$504)</f>
        <v>0</v>
      </c>
      <c r="E495" s="32" t="n">
        <f aca="false">SUMIF('Libro Diario'!$C$5:$C$504,A495,'Libro Diario'!$G$5:$G$504)</f>
        <v>0</v>
      </c>
      <c r="F495" s="32" t="n">
        <f aca="false">IF(D495&gt;=E495,D495-E495,0)</f>
        <v>0</v>
      </c>
      <c r="G495" s="32" t="n">
        <f aca="false">IF(E495&gt;D495,E495-D495,0)</f>
        <v>0</v>
      </c>
    </row>
    <row r="496" customFormat="false" ht="15" hidden="false" customHeight="true" outlineLevel="0" collapsed="false">
      <c r="A496" s="30" t="s">
        <v>651</v>
      </c>
      <c r="B496" s="31" t="s">
        <v>652</v>
      </c>
      <c r="C496" s="30" t="s">
        <v>437</v>
      </c>
      <c r="D496" s="32" t="n">
        <f aca="false">SUMIF('Libro Diario'!$C$5:$C$504,A496,'Libro Diario'!$F$5:$F$504)</f>
        <v>0</v>
      </c>
      <c r="E496" s="32" t="n">
        <f aca="false">SUMIF('Libro Diario'!$C$5:$C$504,A496,'Libro Diario'!$G$5:$G$504)</f>
        <v>0</v>
      </c>
      <c r="F496" s="32" t="n">
        <f aca="false">IF(D496&gt;=E496,D496-E496,0)</f>
        <v>0</v>
      </c>
      <c r="G496" s="32" t="n">
        <f aca="false">IF(E496&gt;D496,E496-D496,0)</f>
        <v>0</v>
      </c>
    </row>
    <row r="497" customFormat="false" ht="15" hidden="false" customHeight="true" outlineLevel="0" collapsed="false">
      <c r="A497" s="30" t="s">
        <v>653</v>
      </c>
      <c r="B497" s="31" t="s">
        <v>654</v>
      </c>
      <c r="C497" s="30" t="s">
        <v>437</v>
      </c>
      <c r="D497" s="32" t="n">
        <f aca="false">SUMIF('Libro Diario'!$C$5:$C$504,A497,'Libro Diario'!$F$5:$F$504)</f>
        <v>0</v>
      </c>
      <c r="E497" s="32" t="n">
        <f aca="false">SUMIF('Libro Diario'!$C$5:$C$504,A497,'Libro Diario'!$G$5:$G$504)</f>
        <v>0</v>
      </c>
      <c r="F497" s="32" t="n">
        <f aca="false">IF(D497&gt;=E497,D497-E497,0)</f>
        <v>0</v>
      </c>
      <c r="G497" s="32" t="n">
        <f aca="false">IF(E497&gt;D497,E497-D497,0)</f>
        <v>0</v>
      </c>
    </row>
    <row r="498" customFormat="false" ht="15" hidden="false" customHeight="true" outlineLevel="0" collapsed="false">
      <c r="A498" s="30" t="s">
        <v>655</v>
      </c>
      <c r="B498" s="31" t="s">
        <v>656</v>
      </c>
      <c r="C498" s="30" t="s">
        <v>437</v>
      </c>
      <c r="D498" s="32" t="n">
        <f aca="false">SUMIF('Libro Diario'!$C$5:$C$504,A498,'Libro Diario'!$F$5:$F$504)</f>
        <v>0</v>
      </c>
      <c r="E498" s="32" t="n">
        <f aca="false">SUMIF('Libro Diario'!$C$5:$C$504,A498,'Libro Diario'!$G$5:$G$504)</f>
        <v>0</v>
      </c>
      <c r="F498" s="32" t="n">
        <f aca="false">IF(D498&gt;=E498,D498-E498,0)</f>
        <v>0</v>
      </c>
      <c r="G498" s="32" t="n">
        <f aca="false">IF(E498&gt;D498,E498-D498,0)</f>
        <v>0</v>
      </c>
    </row>
    <row r="499" customFormat="false" ht="15" hidden="false" customHeight="true" outlineLevel="0" collapsed="false">
      <c r="A499" s="30" t="s">
        <v>657</v>
      </c>
      <c r="B499" s="31" t="s">
        <v>658</v>
      </c>
      <c r="C499" s="30" t="s">
        <v>437</v>
      </c>
      <c r="D499" s="32" t="n">
        <f aca="false">SUMIF('Libro Diario'!$C$5:$C$504,A499,'Libro Diario'!$F$5:$F$504)</f>
        <v>0</v>
      </c>
      <c r="E499" s="32" t="n">
        <f aca="false">SUMIF('Libro Diario'!$C$5:$C$504,A499,'Libro Diario'!$G$5:$G$504)</f>
        <v>0</v>
      </c>
      <c r="F499" s="32" t="n">
        <f aca="false">IF(D499&gt;=E499,D499-E499,0)</f>
        <v>0</v>
      </c>
      <c r="G499" s="32" t="n">
        <f aca="false">IF(E499&gt;D499,E499-D499,0)</f>
        <v>0</v>
      </c>
    </row>
    <row r="500" customFormat="false" ht="15" hidden="false" customHeight="true" outlineLevel="0" collapsed="false">
      <c r="A500" s="30" t="s">
        <v>659</v>
      </c>
      <c r="B500" s="31" t="s">
        <v>66</v>
      </c>
      <c r="C500" s="30" t="s">
        <v>437</v>
      </c>
      <c r="D500" s="32" t="n">
        <f aca="false">SUMIF('Libro Diario'!$C$5:$C$504,A500,'Libro Diario'!$F$5:$F$504)</f>
        <v>0</v>
      </c>
      <c r="E500" s="32" t="n">
        <f aca="false">SUMIF('Libro Diario'!$C$5:$C$504,A500,'Libro Diario'!$G$5:$G$504)</f>
        <v>0</v>
      </c>
      <c r="F500" s="32" t="n">
        <f aca="false">IF(D500&gt;=E500,D500-E500,0)</f>
        <v>0</v>
      </c>
      <c r="G500" s="32" t="n">
        <f aca="false">IF(E500&gt;D500,E500-D500,0)</f>
        <v>0</v>
      </c>
    </row>
    <row r="501" customFormat="false" ht="15" hidden="false" customHeight="true" outlineLevel="0" collapsed="false">
      <c r="A501" s="30" t="s">
        <v>660</v>
      </c>
      <c r="B501" s="31" t="s">
        <v>280</v>
      </c>
      <c r="C501" s="30" t="s">
        <v>437</v>
      </c>
      <c r="D501" s="32" t="n">
        <f aca="false">SUMIF('Libro Diario'!$C$5:$C$504,A501,'Libro Diario'!$F$5:$F$504)</f>
        <v>0</v>
      </c>
      <c r="E501" s="32" t="n">
        <f aca="false">SUMIF('Libro Diario'!$C$5:$C$504,A501,'Libro Diario'!$G$5:$G$504)</f>
        <v>0</v>
      </c>
      <c r="F501" s="32" t="n">
        <f aca="false">IF(D501&gt;=E501,D501-E501,0)</f>
        <v>0</v>
      </c>
      <c r="G501" s="32" t="n">
        <f aca="false">IF(E501&gt;D501,E501-D501,0)</f>
        <v>0</v>
      </c>
    </row>
    <row r="502" customFormat="false" ht="15" hidden="false" customHeight="true" outlineLevel="0" collapsed="false">
      <c r="A502" s="30" t="s">
        <v>661</v>
      </c>
      <c r="B502" s="31" t="s">
        <v>662</v>
      </c>
      <c r="C502" s="30" t="s">
        <v>437</v>
      </c>
      <c r="D502" s="32" t="n">
        <f aca="false">SUMIF('Libro Diario'!$C$5:$C$504,A502,'Libro Diario'!$F$5:$F$504)</f>
        <v>0</v>
      </c>
      <c r="E502" s="32" t="n">
        <f aca="false">SUMIF('Libro Diario'!$C$5:$C$504,A502,'Libro Diario'!$G$5:$G$504)</f>
        <v>0</v>
      </c>
      <c r="F502" s="32" t="n">
        <f aca="false">IF(D502&gt;=E502,D502-E502,0)</f>
        <v>0</v>
      </c>
      <c r="G502" s="32" t="n">
        <f aca="false">IF(E502&gt;D502,E502-D502,0)</f>
        <v>0</v>
      </c>
    </row>
    <row r="503" customFormat="false" ht="15" hidden="false" customHeight="true" outlineLevel="0" collapsed="false">
      <c r="A503" s="30" t="s">
        <v>663</v>
      </c>
      <c r="B503" s="31" t="s">
        <v>664</v>
      </c>
      <c r="C503" s="30" t="s">
        <v>437</v>
      </c>
      <c r="D503" s="32" t="n">
        <f aca="false">SUMIF('Libro Diario'!$C$5:$C$504,A503,'Libro Diario'!$F$5:$F$504)</f>
        <v>0</v>
      </c>
      <c r="E503" s="32" t="n">
        <f aca="false">SUMIF('Libro Diario'!$C$5:$C$504,A503,'Libro Diario'!$G$5:$G$504)</f>
        <v>0</v>
      </c>
      <c r="F503" s="32" t="n">
        <f aca="false">IF(D503&gt;=E503,D503-E503,0)</f>
        <v>0</v>
      </c>
      <c r="G503" s="32" t="n">
        <f aca="false">IF(E503&gt;D503,E503-D503,0)</f>
        <v>0</v>
      </c>
    </row>
    <row r="504" customFormat="false" ht="15" hidden="false" customHeight="true" outlineLevel="0" collapsed="false">
      <c r="A504" s="30" t="s">
        <v>665</v>
      </c>
      <c r="B504" s="31" t="s">
        <v>666</v>
      </c>
      <c r="C504" s="30" t="s">
        <v>437</v>
      </c>
      <c r="D504" s="32" t="n">
        <f aca="false">SUMIF('Libro Diario'!$C$5:$C$504,A504,'Libro Diario'!$F$5:$F$504)</f>
        <v>0</v>
      </c>
      <c r="E504" s="32" t="n">
        <f aca="false">SUMIF('Libro Diario'!$C$5:$C$504,A504,'Libro Diario'!$G$5:$G$504)</f>
        <v>0</v>
      </c>
      <c r="F504" s="32" t="n">
        <f aca="false">IF(D504&gt;=E504,D504-E504,0)</f>
        <v>0</v>
      </c>
      <c r="G504" s="32" t="n">
        <f aca="false">IF(E504&gt;D504,E504-D504,0)</f>
        <v>0</v>
      </c>
    </row>
    <row r="505" customFormat="false" ht="15" hidden="false" customHeight="true" outlineLevel="0" collapsed="false">
      <c r="A505" s="30" t="s">
        <v>667</v>
      </c>
      <c r="B505" s="31" t="s">
        <v>668</v>
      </c>
      <c r="C505" s="30" t="s">
        <v>437</v>
      </c>
      <c r="D505" s="32" t="n">
        <f aca="false">SUMIF('Libro Diario'!$C$5:$C$504,A505,'Libro Diario'!$F$5:$F$504)</f>
        <v>0</v>
      </c>
      <c r="E505" s="32" t="n">
        <f aca="false">SUMIF('Libro Diario'!$C$5:$C$504,A505,'Libro Diario'!$G$5:$G$504)</f>
        <v>0</v>
      </c>
      <c r="F505" s="32" t="n">
        <f aca="false">IF(D505&gt;=E505,D505-E505,0)</f>
        <v>0</v>
      </c>
      <c r="G505" s="32" t="n">
        <f aca="false">IF(E505&gt;D505,E505-D505,0)</f>
        <v>0</v>
      </c>
    </row>
    <row r="506" customFormat="false" ht="15" hidden="false" customHeight="true" outlineLevel="0" collapsed="false">
      <c r="A506" s="30" t="s">
        <v>669</v>
      </c>
      <c r="B506" s="31" t="s">
        <v>670</v>
      </c>
      <c r="C506" s="30" t="s">
        <v>437</v>
      </c>
      <c r="D506" s="32" t="n">
        <f aca="false">SUMIF('Libro Diario'!$C$5:$C$504,A506,'Libro Diario'!$F$5:$F$504)</f>
        <v>0</v>
      </c>
      <c r="E506" s="32" t="n">
        <f aca="false">SUMIF('Libro Diario'!$C$5:$C$504,A506,'Libro Diario'!$G$5:$G$504)</f>
        <v>0</v>
      </c>
      <c r="F506" s="32" t="n">
        <f aca="false">IF(D506&gt;=E506,D506-E506,0)</f>
        <v>0</v>
      </c>
      <c r="G506" s="32" t="n">
        <f aca="false">IF(E506&gt;D506,E506-D506,0)</f>
        <v>0</v>
      </c>
    </row>
    <row r="507" customFormat="false" ht="15" hidden="false" customHeight="true" outlineLevel="0" collapsed="false">
      <c r="A507" s="30" t="s">
        <v>671</v>
      </c>
      <c r="B507" s="31" t="s">
        <v>672</v>
      </c>
      <c r="C507" s="30" t="s">
        <v>437</v>
      </c>
      <c r="D507" s="32" t="n">
        <f aca="false">SUMIF('Libro Diario'!$C$5:$C$504,A507,'Libro Diario'!$F$5:$F$504)</f>
        <v>0</v>
      </c>
      <c r="E507" s="32" t="n">
        <f aca="false">SUMIF('Libro Diario'!$C$5:$C$504,A507,'Libro Diario'!$G$5:$G$504)</f>
        <v>0</v>
      </c>
      <c r="F507" s="32" t="n">
        <f aca="false">IF(D507&gt;=E507,D507-E507,0)</f>
        <v>0</v>
      </c>
      <c r="G507" s="32" t="n">
        <f aca="false">IF(E507&gt;D507,E507-D507,0)</f>
        <v>0</v>
      </c>
    </row>
    <row r="508" customFormat="false" ht="15" hidden="false" customHeight="true" outlineLevel="0" collapsed="false">
      <c r="A508" s="30" t="s">
        <v>673</v>
      </c>
      <c r="B508" s="31" t="s">
        <v>674</v>
      </c>
      <c r="C508" s="30" t="s">
        <v>437</v>
      </c>
      <c r="D508" s="32" t="n">
        <f aca="false">SUMIF('Libro Diario'!$C$5:$C$504,A508,'Libro Diario'!$F$5:$F$504)</f>
        <v>0</v>
      </c>
      <c r="E508" s="32" t="n">
        <f aca="false">SUMIF('Libro Diario'!$C$5:$C$504,A508,'Libro Diario'!$G$5:$G$504)</f>
        <v>0</v>
      </c>
      <c r="F508" s="32" t="n">
        <f aca="false">IF(D508&gt;=E508,D508-E508,0)</f>
        <v>0</v>
      </c>
      <c r="G508" s="32" t="n">
        <f aca="false">IF(E508&gt;D508,E508-D508,0)</f>
        <v>0</v>
      </c>
    </row>
    <row r="509" customFormat="false" ht="15" hidden="false" customHeight="true" outlineLevel="0" collapsed="false">
      <c r="A509" s="30" t="s">
        <v>675</v>
      </c>
      <c r="B509" s="31" t="s">
        <v>676</v>
      </c>
      <c r="C509" s="30" t="s">
        <v>437</v>
      </c>
      <c r="D509" s="32" t="n">
        <f aca="false">SUMIF('Libro Diario'!$C$5:$C$504,A509,'Libro Diario'!$F$5:$F$504)</f>
        <v>0</v>
      </c>
      <c r="E509" s="32" t="n">
        <f aca="false">SUMIF('Libro Diario'!$C$5:$C$504,A509,'Libro Diario'!$G$5:$G$504)</f>
        <v>0</v>
      </c>
      <c r="F509" s="32" t="n">
        <f aca="false">IF(D509&gt;=E509,D509-E509,0)</f>
        <v>0</v>
      </c>
      <c r="G509" s="32" t="n">
        <f aca="false">IF(E509&gt;D509,E509-D509,0)</f>
        <v>0</v>
      </c>
    </row>
    <row r="510" customFormat="false" ht="15" hidden="false" customHeight="true" outlineLevel="0" collapsed="false">
      <c r="A510" s="30" t="s">
        <v>677</v>
      </c>
      <c r="B510" s="31" t="s">
        <v>678</v>
      </c>
      <c r="C510" s="30" t="s">
        <v>437</v>
      </c>
      <c r="D510" s="32" t="n">
        <f aca="false">SUMIF('Libro Diario'!$C$5:$C$504,A510,'Libro Diario'!$F$5:$F$504)</f>
        <v>0</v>
      </c>
      <c r="E510" s="32" t="n">
        <f aca="false">SUMIF('Libro Diario'!$C$5:$C$504,A510,'Libro Diario'!$G$5:$G$504)</f>
        <v>0</v>
      </c>
      <c r="F510" s="32" t="n">
        <f aca="false">IF(D510&gt;=E510,D510-E510,0)</f>
        <v>0</v>
      </c>
      <c r="G510" s="32" t="n">
        <f aca="false">IF(E510&gt;D510,E510-D510,0)</f>
        <v>0</v>
      </c>
    </row>
    <row r="511" customFormat="false" ht="15" hidden="false" customHeight="true" outlineLevel="0" collapsed="false">
      <c r="A511" s="30" t="s">
        <v>679</v>
      </c>
      <c r="B511" s="31" t="s">
        <v>66</v>
      </c>
      <c r="C511" s="30" t="s">
        <v>437</v>
      </c>
      <c r="D511" s="32" t="n">
        <f aca="false">SUMIF('Libro Diario'!$C$5:$C$504,A511,'Libro Diario'!$F$5:$F$504)</f>
        <v>0</v>
      </c>
      <c r="E511" s="32" t="n">
        <f aca="false">SUMIF('Libro Diario'!$C$5:$C$504,A511,'Libro Diario'!$G$5:$G$504)</f>
        <v>0</v>
      </c>
      <c r="F511" s="32" t="n">
        <f aca="false">IF(D511&gt;=E511,D511-E511,0)</f>
        <v>0</v>
      </c>
      <c r="G511" s="32" t="n">
        <f aca="false">IF(E511&gt;D511,E511-D511,0)</f>
        <v>0</v>
      </c>
    </row>
    <row r="512" customFormat="false" ht="15" hidden="false" customHeight="true" outlineLevel="0" collapsed="false">
      <c r="A512" s="30" t="s">
        <v>680</v>
      </c>
      <c r="B512" s="31" t="s">
        <v>280</v>
      </c>
      <c r="C512" s="30" t="s">
        <v>437</v>
      </c>
      <c r="D512" s="32" t="n">
        <f aca="false">SUMIF('Libro Diario'!$C$5:$C$504,A512,'Libro Diario'!$F$5:$F$504)</f>
        <v>0</v>
      </c>
      <c r="E512" s="32" t="n">
        <f aca="false">SUMIF('Libro Diario'!$C$5:$C$504,A512,'Libro Diario'!$G$5:$G$504)</f>
        <v>0</v>
      </c>
      <c r="F512" s="32" t="n">
        <f aca="false">IF(D512&gt;=E512,D512-E512,0)</f>
        <v>0</v>
      </c>
      <c r="G512" s="32" t="n">
        <f aca="false">IF(E512&gt;D512,E512-D512,0)</f>
        <v>0</v>
      </c>
    </row>
    <row r="513" customFormat="false" ht="15" hidden="false" customHeight="true" outlineLevel="0" collapsed="false">
      <c r="A513" s="30" t="s">
        <v>681</v>
      </c>
      <c r="B513" s="31" t="s">
        <v>250</v>
      </c>
      <c r="C513" s="30" t="s">
        <v>437</v>
      </c>
      <c r="D513" s="32" t="n">
        <f aca="false">SUMIF('Libro Diario'!$C$5:$C$504,A513,'Libro Diario'!$F$5:$F$504)</f>
        <v>0</v>
      </c>
      <c r="E513" s="32" t="n">
        <f aca="false">SUMIF('Libro Diario'!$C$5:$C$504,A513,'Libro Diario'!$G$5:$G$504)</f>
        <v>0</v>
      </c>
      <c r="F513" s="32" t="n">
        <f aca="false">IF(D513&gt;=E513,D513-E513,0)</f>
        <v>0</v>
      </c>
      <c r="G513" s="32" t="n">
        <f aca="false">IF(E513&gt;D513,E513-D513,0)</f>
        <v>0</v>
      </c>
    </row>
    <row r="514" customFormat="false" ht="15" hidden="false" customHeight="true" outlineLevel="0" collapsed="false">
      <c r="A514" s="30" t="s">
        <v>682</v>
      </c>
      <c r="B514" s="31" t="s">
        <v>66</v>
      </c>
      <c r="C514" s="30" t="s">
        <v>437</v>
      </c>
      <c r="D514" s="32" t="n">
        <f aca="false">SUMIF('Libro Diario'!$C$5:$C$504,A514,'Libro Diario'!$F$5:$F$504)</f>
        <v>0</v>
      </c>
      <c r="E514" s="32" t="n">
        <f aca="false">SUMIF('Libro Diario'!$C$5:$C$504,A514,'Libro Diario'!$G$5:$G$504)</f>
        <v>0</v>
      </c>
      <c r="F514" s="32" t="n">
        <f aca="false">IF(D514&gt;=E514,D514-E514,0)</f>
        <v>0</v>
      </c>
      <c r="G514" s="32" t="n">
        <f aca="false">IF(E514&gt;D514,E514-D514,0)</f>
        <v>0</v>
      </c>
    </row>
    <row r="515" customFormat="false" ht="15" hidden="false" customHeight="true" outlineLevel="0" collapsed="false">
      <c r="A515" s="30" t="s">
        <v>683</v>
      </c>
      <c r="B515" s="31" t="s">
        <v>280</v>
      </c>
      <c r="C515" s="30" t="s">
        <v>437</v>
      </c>
      <c r="D515" s="32" t="n">
        <f aca="false">SUMIF('Libro Diario'!$C$5:$C$504,A515,'Libro Diario'!$F$5:$F$504)</f>
        <v>0</v>
      </c>
      <c r="E515" s="32" t="n">
        <f aca="false">SUMIF('Libro Diario'!$C$5:$C$504,A515,'Libro Diario'!$G$5:$G$504)</f>
        <v>0</v>
      </c>
      <c r="F515" s="32" t="n">
        <f aca="false">IF(D515&gt;=E515,D515-E515,0)</f>
        <v>0</v>
      </c>
      <c r="G515" s="32" t="n">
        <f aca="false">IF(E515&gt;D515,E515-D515,0)</f>
        <v>0</v>
      </c>
    </row>
    <row r="516" customFormat="false" ht="15" hidden="false" customHeight="true" outlineLevel="0" collapsed="false">
      <c r="A516" s="30" t="s">
        <v>684</v>
      </c>
      <c r="B516" s="31" t="s">
        <v>66</v>
      </c>
      <c r="C516" s="30" t="s">
        <v>437</v>
      </c>
      <c r="D516" s="32" t="n">
        <f aca="false">SUMIF('Libro Diario'!$C$5:$C$504,A516,'Libro Diario'!$F$5:$F$504)</f>
        <v>0</v>
      </c>
      <c r="E516" s="32" t="n">
        <f aca="false">SUMIF('Libro Diario'!$C$5:$C$504,A516,'Libro Diario'!$G$5:$G$504)</f>
        <v>0</v>
      </c>
      <c r="F516" s="32" t="n">
        <f aca="false">IF(D516&gt;=E516,D516-E516,0)</f>
        <v>0</v>
      </c>
      <c r="G516" s="32" t="n">
        <f aca="false">IF(E516&gt;D516,E516-D516,0)</f>
        <v>0</v>
      </c>
    </row>
    <row r="517" customFormat="false" ht="15" hidden="false" customHeight="true" outlineLevel="0" collapsed="false">
      <c r="A517" s="30" t="s">
        <v>685</v>
      </c>
      <c r="B517" s="31" t="s">
        <v>280</v>
      </c>
      <c r="C517" s="30" t="s">
        <v>437</v>
      </c>
      <c r="D517" s="32" t="n">
        <f aca="false">SUMIF('Libro Diario'!$C$5:$C$504,A517,'Libro Diario'!$F$5:$F$504)</f>
        <v>0</v>
      </c>
      <c r="E517" s="32" t="n">
        <f aca="false">SUMIF('Libro Diario'!$C$5:$C$504,A517,'Libro Diario'!$G$5:$G$504)</f>
        <v>0</v>
      </c>
      <c r="F517" s="32" t="n">
        <f aca="false">IF(D517&gt;=E517,D517-E517,0)</f>
        <v>0</v>
      </c>
      <c r="G517" s="32" t="n">
        <f aca="false">IF(E517&gt;D517,E517-D517,0)</f>
        <v>0</v>
      </c>
    </row>
    <row r="518" customFormat="false" ht="15" hidden="false" customHeight="true" outlineLevel="0" collapsed="false">
      <c r="A518" s="30" t="s">
        <v>686</v>
      </c>
      <c r="B518" s="31" t="s">
        <v>66</v>
      </c>
      <c r="C518" s="30" t="s">
        <v>437</v>
      </c>
      <c r="D518" s="32" t="n">
        <f aca="false">SUMIF('Libro Diario'!$C$5:$C$504,A518,'Libro Diario'!$F$5:$F$504)</f>
        <v>0</v>
      </c>
      <c r="E518" s="32" t="n">
        <f aca="false">SUMIF('Libro Diario'!$C$5:$C$504,A518,'Libro Diario'!$G$5:$G$504)</f>
        <v>0</v>
      </c>
      <c r="F518" s="32" t="n">
        <f aca="false">IF(D518&gt;=E518,D518-E518,0)</f>
        <v>0</v>
      </c>
      <c r="G518" s="32" t="n">
        <f aca="false">IF(E518&gt;D518,E518-D518,0)</f>
        <v>0</v>
      </c>
    </row>
    <row r="519" customFormat="false" ht="15" hidden="false" customHeight="true" outlineLevel="0" collapsed="false">
      <c r="A519" s="30" t="s">
        <v>687</v>
      </c>
      <c r="B519" s="31" t="s">
        <v>280</v>
      </c>
      <c r="C519" s="30" t="s">
        <v>437</v>
      </c>
      <c r="D519" s="32" t="n">
        <f aca="false">SUMIF('Libro Diario'!$C$5:$C$504,A519,'Libro Diario'!$F$5:$F$504)</f>
        <v>0</v>
      </c>
      <c r="E519" s="32" t="n">
        <f aca="false">SUMIF('Libro Diario'!$C$5:$C$504,A519,'Libro Diario'!$G$5:$G$504)</f>
        <v>0</v>
      </c>
      <c r="F519" s="32" t="n">
        <f aca="false">IF(D519&gt;=E519,D519-E519,0)</f>
        <v>0</v>
      </c>
      <c r="G519" s="32" t="n">
        <f aca="false">IF(E519&gt;D519,E519-D519,0)</f>
        <v>0</v>
      </c>
    </row>
    <row r="520" customFormat="false" ht="15" hidden="false" customHeight="true" outlineLevel="0" collapsed="false">
      <c r="A520" s="30" t="s">
        <v>688</v>
      </c>
      <c r="B520" s="31" t="s">
        <v>689</v>
      </c>
      <c r="C520" s="30" t="s">
        <v>437</v>
      </c>
      <c r="D520" s="32" t="n">
        <f aca="false">SUMIF('Libro Diario'!$C$5:$C$504,A520,'Libro Diario'!$F$5:$F$504)</f>
        <v>0</v>
      </c>
      <c r="E520" s="32" t="n">
        <f aca="false">SUMIF('Libro Diario'!$C$5:$C$504,A520,'Libro Diario'!$G$5:$G$504)</f>
        <v>0</v>
      </c>
      <c r="F520" s="32" t="n">
        <f aca="false">IF(D520&gt;=E520,D520-E520,0)</f>
        <v>0</v>
      </c>
      <c r="G520" s="32" t="n">
        <f aca="false">IF(E520&gt;D520,E520-D520,0)</f>
        <v>0</v>
      </c>
    </row>
    <row r="521" customFormat="false" ht="15" hidden="false" customHeight="true" outlineLevel="0" collapsed="false">
      <c r="A521" s="30" t="s">
        <v>690</v>
      </c>
      <c r="B521" s="31" t="s">
        <v>691</v>
      </c>
      <c r="C521" s="30" t="s">
        <v>437</v>
      </c>
      <c r="D521" s="32" t="n">
        <f aca="false">SUMIF('Libro Diario'!$C$5:$C$504,A521,'Libro Diario'!$F$5:$F$504)</f>
        <v>0</v>
      </c>
      <c r="E521" s="32" t="n">
        <f aca="false">SUMIF('Libro Diario'!$C$5:$C$504,A521,'Libro Diario'!$G$5:$G$504)</f>
        <v>0</v>
      </c>
      <c r="F521" s="32" t="n">
        <f aca="false">IF(D521&gt;=E521,D521-E521,0)</f>
        <v>0</v>
      </c>
      <c r="G521" s="32" t="n">
        <f aca="false">IF(E521&gt;D521,E521-D521,0)</f>
        <v>0</v>
      </c>
    </row>
    <row r="522" customFormat="false" ht="15" hidden="false" customHeight="true" outlineLevel="0" collapsed="false">
      <c r="A522" s="30" t="s">
        <v>692</v>
      </c>
      <c r="B522" s="31" t="s">
        <v>693</v>
      </c>
      <c r="C522" s="30" t="s">
        <v>437</v>
      </c>
      <c r="D522" s="32" t="n">
        <f aca="false">SUMIF('Libro Diario'!$C$5:$C$504,A522,'Libro Diario'!$F$5:$F$504)</f>
        <v>0</v>
      </c>
      <c r="E522" s="32" t="n">
        <f aca="false">SUMIF('Libro Diario'!$C$5:$C$504,A522,'Libro Diario'!$G$5:$G$504)</f>
        <v>0</v>
      </c>
      <c r="F522" s="32" t="n">
        <f aca="false">IF(D522&gt;=E522,D522-E522,0)</f>
        <v>0</v>
      </c>
      <c r="G522" s="32" t="n">
        <f aca="false">IF(E522&gt;D522,E522-D522,0)</f>
        <v>0</v>
      </c>
    </row>
    <row r="523" customFormat="false" ht="15" hidden="false" customHeight="true" outlineLevel="0" collapsed="false">
      <c r="A523" s="30" t="s">
        <v>694</v>
      </c>
      <c r="B523" s="31" t="s">
        <v>695</v>
      </c>
      <c r="C523" s="30" t="s">
        <v>437</v>
      </c>
      <c r="D523" s="32" t="n">
        <f aca="false">SUMIF('Libro Diario'!$C$5:$C$504,A523,'Libro Diario'!$F$5:$F$504)</f>
        <v>0</v>
      </c>
      <c r="E523" s="32" t="n">
        <f aca="false">SUMIF('Libro Diario'!$C$5:$C$504,A523,'Libro Diario'!$G$5:$G$504)</f>
        <v>0</v>
      </c>
      <c r="F523" s="32" t="n">
        <f aca="false">IF(D523&gt;=E523,D523-E523,0)</f>
        <v>0</v>
      </c>
      <c r="G523" s="32" t="n">
        <f aca="false">IF(E523&gt;D523,E523-D523,0)</f>
        <v>0</v>
      </c>
    </row>
    <row r="524" customFormat="false" ht="15" hidden="false" customHeight="true" outlineLevel="0" collapsed="false">
      <c r="A524" s="30" t="s">
        <v>696</v>
      </c>
      <c r="B524" s="31" t="s">
        <v>66</v>
      </c>
      <c r="C524" s="30" t="s">
        <v>437</v>
      </c>
      <c r="D524" s="32" t="n">
        <f aca="false">SUMIF('Libro Diario'!$C$5:$C$504,A524,'Libro Diario'!$F$5:$F$504)</f>
        <v>0</v>
      </c>
      <c r="E524" s="32" t="n">
        <f aca="false">SUMIF('Libro Diario'!$C$5:$C$504,A524,'Libro Diario'!$G$5:$G$504)</f>
        <v>0</v>
      </c>
      <c r="F524" s="32" t="n">
        <f aca="false">IF(D524&gt;=E524,D524-E524,0)</f>
        <v>0</v>
      </c>
      <c r="G524" s="32" t="n">
        <f aca="false">IF(E524&gt;D524,E524-D524,0)</f>
        <v>0</v>
      </c>
    </row>
    <row r="525" customFormat="false" ht="15" hidden="false" customHeight="true" outlineLevel="0" collapsed="false">
      <c r="A525" s="30" t="s">
        <v>697</v>
      </c>
      <c r="B525" s="31" t="s">
        <v>280</v>
      </c>
      <c r="C525" s="30" t="s">
        <v>437</v>
      </c>
      <c r="D525" s="32" t="n">
        <f aca="false">SUMIF('Libro Diario'!$C$5:$C$504,A525,'Libro Diario'!$F$5:$F$504)</f>
        <v>0</v>
      </c>
      <c r="E525" s="32" t="n">
        <f aca="false">SUMIF('Libro Diario'!$C$5:$C$504,A525,'Libro Diario'!$G$5:$G$504)</f>
        <v>0</v>
      </c>
      <c r="F525" s="32" t="n">
        <f aca="false">IF(D525&gt;=E525,D525-E525,0)</f>
        <v>0</v>
      </c>
      <c r="G525" s="32" t="n">
        <f aca="false">IF(E525&gt;D525,E525-D525,0)</f>
        <v>0</v>
      </c>
    </row>
    <row r="526" customFormat="false" ht="15" hidden="false" customHeight="true" outlineLevel="0" collapsed="false">
      <c r="A526" s="30" t="s">
        <v>698</v>
      </c>
      <c r="B526" s="31" t="s">
        <v>66</v>
      </c>
      <c r="C526" s="30" t="s">
        <v>437</v>
      </c>
      <c r="D526" s="32" t="n">
        <f aca="false">SUMIF('Libro Diario'!$C$5:$C$504,A526,'Libro Diario'!$F$5:$F$504)</f>
        <v>0</v>
      </c>
      <c r="E526" s="32" t="n">
        <f aca="false">SUMIF('Libro Diario'!$C$5:$C$504,A526,'Libro Diario'!$G$5:$G$504)</f>
        <v>0</v>
      </c>
      <c r="F526" s="32" t="n">
        <f aca="false">IF(D526&gt;=E526,D526-E526,0)</f>
        <v>0</v>
      </c>
      <c r="G526" s="32" t="n">
        <f aca="false">IF(E526&gt;D526,E526-D526,0)</f>
        <v>0</v>
      </c>
    </row>
    <row r="527" customFormat="false" ht="15" hidden="false" customHeight="true" outlineLevel="0" collapsed="false">
      <c r="A527" s="30" t="s">
        <v>699</v>
      </c>
      <c r="B527" s="31" t="s">
        <v>280</v>
      </c>
      <c r="C527" s="30" t="s">
        <v>437</v>
      </c>
      <c r="D527" s="32" t="n">
        <f aca="false">SUMIF('Libro Diario'!$C$5:$C$504,A527,'Libro Diario'!$F$5:$F$504)</f>
        <v>0</v>
      </c>
      <c r="E527" s="32" t="n">
        <f aca="false">SUMIF('Libro Diario'!$C$5:$C$504,A527,'Libro Diario'!$G$5:$G$504)</f>
        <v>0</v>
      </c>
      <c r="F527" s="32" t="n">
        <f aca="false">IF(D527&gt;=E527,D527-E527,0)</f>
        <v>0</v>
      </c>
      <c r="G527" s="32" t="n">
        <f aca="false">IF(E527&gt;D527,E527-D527,0)</f>
        <v>0</v>
      </c>
    </row>
    <row r="528" customFormat="false" ht="15" hidden="false" customHeight="true" outlineLevel="0" collapsed="false">
      <c r="A528" s="30" t="s">
        <v>700</v>
      </c>
      <c r="B528" s="31" t="s">
        <v>66</v>
      </c>
      <c r="C528" s="30" t="s">
        <v>437</v>
      </c>
      <c r="D528" s="32" t="n">
        <f aca="false">SUMIF('Libro Diario'!$C$5:$C$504,A528,'Libro Diario'!$F$5:$F$504)</f>
        <v>0</v>
      </c>
      <c r="E528" s="32" t="n">
        <f aca="false">SUMIF('Libro Diario'!$C$5:$C$504,A528,'Libro Diario'!$G$5:$G$504)</f>
        <v>0</v>
      </c>
      <c r="F528" s="32" t="n">
        <f aca="false">IF(D528&gt;=E528,D528-E528,0)</f>
        <v>0</v>
      </c>
      <c r="G528" s="32" t="n">
        <f aca="false">IF(E528&gt;D528,E528-D528,0)</f>
        <v>0</v>
      </c>
    </row>
    <row r="529" customFormat="false" ht="15" hidden="false" customHeight="true" outlineLevel="0" collapsed="false">
      <c r="A529" s="30" t="s">
        <v>701</v>
      </c>
      <c r="B529" s="31" t="s">
        <v>280</v>
      </c>
      <c r="C529" s="30" t="s">
        <v>437</v>
      </c>
      <c r="D529" s="32" t="n">
        <f aca="false">SUMIF('Libro Diario'!$C$5:$C$504,A529,'Libro Diario'!$F$5:$F$504)</f>
        <v>0</v>
      </c>
      <c r="E529" s="32" t="n">
        <f aca="false">SUMIF('Libro Diario'!$C$5:$C$504,A529,'Libro Diario'!$G$5:$G$504)</f>
        <v>0</v>
      </c>
      <c r="F529" s="32" t="n">
        <f aca="false">IF(D529&gt;=E529,D529-E529,0)</f>
        <v>0</v>
      </c>
      <c r="G529" s="32" t="n">
        <f aca="false">IF(E529&gt;D529,E529-D529,0)</f>
        <v>0</v>
      </c>
    </row>
    <row r="530" customFormat="false" ht="15" hidden="false" customHeight="true" outlineLevel="0" collapsed="false">
      <c r="A530" s="30" t="s">
        <v>702</v>
      </c>
      <c r="B530" s="31" t="s">
        <v>66</v>
      </c>
      <c r="C530" s="30" t="s">
        <v>437</v>
      </c>
      <c r="D530" s="32" t="n">
        <f aca="false">SUMIF('Libro Diario'!$C$5:$C$504,A530,'Libro Diario'!$F$5:$F$504)</f>
        <v>0</v>
      </c>
      <c r="E530" s="32" t="n">
        <f aca="false">SUMIF('Libro Diario'!$C$5:$C$504,A530,'Libro Diario'!$G$5:$G$504)</f>
        <v>0</v>
      </c>
      <c r="F530" s="32" t="n">
        <f aca="false">IF(D530&gt;=E530,D530-E530,0)</f>
        <v>0</v>
      </c>
      <c r="G530" s="32" t="n">
        <f aca="false">IF(E530&gt;D530,E530-D530,0)</f>
        <v>0</v>
      </c>
    </row>
    <row r="531" customFormat="false" ht="15" hidden="false" customHeight="true" outlineLevel="0" collapsed="false">
      <c r="A531" s="30" t="s">
        <v>703</v>
      </c>
      <c r="B531" s="31" t="s">
        <v>280</v>
      </c>
      <c r="C531" s="30" t="s">
        <v>437</v>
      </c>
      <c r="D531" s="32" t="n">
        <f aca="false">SUMIF('Libro Diario'!$C$5:$C$504,A531,'Libro Diario'!$F$5:$F$504)</f>
        <v>0</v>
      </c>
      <c r="E531" s="32" t="n">
        <f aca="false">SUMIF('Libro Diario'!$C$5:$C$504,A531,'Libro Diario'!$G$5:$G$504)</f>
        <v>0</v>
      </c>
      <c r="F531" s="32" t="n">
        <f aca="false">IF(D531&gt;=E531,D531-E531,0)</f>
        <v>0</v>
      </c>
      <c r="G531" s="32" t="n">
        <f aca="false">IF(E531&gt;D531,E531-D531,0)</f>
        <v>0</v>
      </c>
    </row>
    <row r="532" customFormat="false" ht="15" hidden="false" customHeight="true" outlineLevel="0" collapsed="false">
      <c r="A532" s="30" t="s">
        <v>704</v>
      </c>
      <c r="B532" s="31" t="s">
        <v>66</v>
      </c>
      <c r="C532" s="30" t="s">
        <v>437</v>
      </c>
      <c r="D532" s="32" t="n">
        <f aca="false">SUMIF('Libro Diario'!$C$5:$C$504,A532,'Libro Diario'!$F$5:$F$504)</f>
        <v>0</v>
      </c>
      <c r="E532" s="32" t="n">
        <f aca="false">SUMIF('Libro Diario'!$C$5:$C$504,A532,'Libro Diario'!$G$5:$G$504)</f>
        <v>0</v>
      </c>
      <c r="F532" s="32" t="n">
        <f aca="false">IF(D532&gt;=E532,D532-E532,0)</f>
        <v>0</v>
      </c>
      <c r="G532" s="32" t="n">
        <f aca="false">IF(E532&gt;D532,E532-D532,0)</f>
        <v>0</v>
      </c>
    </row>
    <row r="533" customFormat="false" ht="15" hidden="false" customHeight="true" outlineLevel="0" collapsed="false">
      <c r="A533" s="30" t="s">
        <v>705</v>
      </c>
      <c r="B533" s="31" t="s">
        <v>280</v>
      </c>
      <c r="C533" s="30" t="s">
        <v>437</v>
      </c>
      <c r="D533" s="32" t="n">
        <f aca="false">SUMIF('Libro Diario'!$C$5:$C$504,A533,'Libro Diario'!$F$5:$F$504)</f>
        <v>0</v>
      </c>
      <c r="E533" s="32" t="n">
        <f aca="false">SUMIF('Libro Diario'!$C$5:$C$504,A533,'Libro Diario'!$G$5:$G$504)</f>
        <v>0</v>
      </c>
      <c r="F533" s="32" t="n">
        <f aca="false">IF(D533&gt;=E533,D533-E533,0)</f>
        <v>0</v>
      </c>
      <c r="G533" s="32" t="n">
        <f aca="false">IF(E533&gt;D533,E533-D533,0)</f>
        <v>0</v>
      </c>
    </row>
    <row r="534" customFormat="false" ht="15" hidden="false" customHeight="true" outlineLevel="0" collapsed="false">
      <c r="A534" s="30" t="s">
        <v>706</v>
      </c>
      <c r="B534" s="31" t="s">
        <v>250</v>
      </c>
      <c r="C534" s="30" t="s">
        <v>437</v>
      </c>
      <c r="D534" s="32" t="n">
        <f aca="false">SUMIF('Libro Diario'!$C$5:$C$504,A534,'Libro Diario'!$F$5:$F$504)</f>
        <v>0</v>
      </c>
      <c r="E534" s="32" t="n">
        <f aca="false">SUMIF('Libro Diario'!$C$5:$C$504,A534,'Libro Diario'!$G$5:$G$504)</f>
        <v>0</v>
      </c>
      <c r="F534" s="32" t="n">
        <f aca="false">IF(D534&gt;=E534,D534-E534,0)</f>
        <v>0</v>
      </c>
      <c r="G534" s="32" t="n">
        <f aca="false">IF(E534&gt;D534,E534-D534,0)</f>
        <v>0</v>
      </c>
    </row>
    <row r="535" customFormat="false" ht="15" hidden="false" customHeight="true" outlineLevel="0" collapsed="false">
      <c r="A535" s="30" t="s">
        <v>707</v>
      </c>
      <c r="B535" s="31" t="s">
        <v>66</v>
      </c>
      <c r="C535" s="30" t="s">
        <v>437</v>
      </c>
      <c r="D535" s="32" t="n">
        <f aca="false">SUMIF('Libro Diario'!$C$5:$C$504,A535,'Libro Diario'!$F$5:$F$504)</f>
        <v>0</v>
      </c>
      <c r="E535" s="32" t="n">
        <f aca="false">SUMIF('Libro Diario'!$C$5:$C$504,A535,'Libro Diario'!$G$5:$G$504)</f>
        <v>0</v>
      </c>
      <c r="F535" s="32" t="n">
        <f aca="false">IF(D535&gt;=E535,D535-E535,0)</f>
        <v>0</v>
      </c>
      <c r="G535" s="32" t="n">
        <f aca="false">IF(E535&gt;D535,E535-D535,0)</f>
        <v>0</v>
      </c>
    </row>
    <row r="536" customFormat="false" ht="15" hidden="false" customHeight="true" outlineLevel="0" collapsed="false">
      <c r="A536" s="30" t="s">
        <v>708</v>
      </c>
      <c r="B536" s="31" t="s">
        <v>280</v>
      </c>
      <c r="C536" s="30" t="s">
        <v>437</v>
      </c>
      <c r="D536" s="32" t="n">
        <f aca="false">SUMIF('Libro Diario'!$C$5:$C$504,A536,'Libro Diario'!$F$5:$F$504)</f>
        <v>0</v>
      </c>
      <c r="E536" s="32" t="n">
        <f aca="false">SUMIF('Libro Diario'!$C$5:$C$504,A536,'Libro Diario'!$G$5:$G$504)</f>
        <v>0</v>
      </c>
      <c r="F536" s="32" t="n">
        <f aca="false">IF(D536&gt;=E536,D536-E536,0)</f>
        <v>0</v>
      </c>
      <c r="G536" s="32" t="n">
        <f aca="false">IF(E536&gt;D536,E536-D536,0)</f>
        <v>0</v>
      </c>
    </row>
    <row r="537" customFormat="false" ht="15" hidden="false" customHeight="true" outlineLevel="0" collapsed="false">
      <c r="A537" s="30" t="s">
        <v>709</v>
      </c>
      <c r="B537" s="31" t="s">
        <v>602</v>
      </c>
      <c r="C537" s="30" t="s">
        <v>437</v>
      </c>
      <c r="D537" s="32" t="n">
        <f aca="false">SUMIF('Libro Diario'!$C$5:$C$504,A537,'Libro Diario'!$F$5:$F$504)</f>
        <v>0</v>
      </c>
      <c r="E537" s="32" t="n">
        <f aca="false">SUMIF('Libro Diario'!$C$5:$C$504,A537,'Libro Diario'!$G$5:$G$504)</f>
        <v>0</v>
      </c>
      <c r="F537" s="32" t="n">
        <f aca="false">IF(D537&gt;=E537,D537-E537,0)</f>
        <v>0</v>
      </c>
      <c r="G537" s="32" t="n">
        <f aca="false">IF(E537&gt;D537,E537-D537,0)</f>
        <v>0</v>
      </c>
    </row>
    <row r="538" customFormat="false" ht="15" hidden="false" customHeight="true" outlineLevel="0" collapsed="false">
      <c r="A538" s="30" t="s">
        <v>710</v>
      </c>
      <c r="B538" s="31" t="s">
        <v>66</v>
      </c>
      <c r="C538" s="30" t="s">
        <v>437</v>
      </c>
      <c r="D538" s="32" t="n">
        <f aca="false">SUMIF('Libro Diario'!$C$5:$C$504,A538,'Libro Diario'!$F$5:$F$504)</f>
        <v>0</v>
      </c>
      <c r="E538" s="32" t="n">
        <f aca="false">SUMIF('Libro Diario'!$C$5:$C$504,A538,'Libro Diario'!$G$5:$G$504)</f>
        <v>0</v>
      </c>
      <c r="F538" s="32" t="n">
        <f aca="false">IF(D538&gt;=E538,D538-E538,0)</f>
        <v>0</v>
      </c>
      <c r="G538" s="32" t="n">
        <f aca="false">IF(E538&gt;D538,E538-D538,0)</f>
        <v>0</v>
      </c>
    </row>
    <row r="539" customFormat="false" ht="15" hidden="false" customHeight="true" outlineLevel="0" collapsed="false">
      <c r="A539" s="30" t="s">
        <v>711</v>
      </c>
      <c r="B539" s="31" t="s">
        <v>280</v>
      </c>
      <c r="C539" s="30" t="s">
        <v>437</v>
      </c>
      <c r="D539" s="32" t="n">
        <f aca="false">SUMIF('Libro Diario'!$C$5:$C$504,A539,'Libro Diario'!$F$5:$F$504)</f>
        <v>0</v>
      </c>
      <c r="E539" s="32" t="n">
        <f aca="false">SUMIF('Libro Diario'!$C$5:$C$504,A539,'Libro Diario'!$G$5:$G$504)</f>
        <v>0</v>
      </c>
      <c r="F539" s="32" t="n">
        <f aca="false">IF(D539&gt;=E539,D539-E539,0)</f>
        <v>0</v>
      </c>
      <c r="G539" s="32" t="n">
        <f aca="false">IF(E539&gt;D539,E539-D539,0)</f>
        <v>0</v>
      </c>
    </row>
    <row r="540" customFormat="false" ht="15" hidden="false" customHeight="true" outlineLevel="0" collapsed="false">
      <c r="A540" s="30" t="s">
        <v>712</v>
      </c>
      <c r="B540" s="31" t="s">
        <v>66</v>
      </c>
      <c r="C540" s="30" t="s">
        <v>437</v>
      </c>
      <c r="D540" s="32" t="n">
        <f aca="false">SUMIF('Libro Diario'!$C$5:$C$504,A540,'Libro Diario'!$F$5:$F$504)</f>
        <v>0</v>
      </c>
      <c r="E540" s="32" t="n">
        <f aca="false">SUMIF('Libro Diario'!$C$5:$C$504,A540,'Libro Diario'!$G$5:$G$504)</f>
        <v>0</v>
      </c>
      <c r="F540" s="32" t="n">
        <f aca="false">IF(D540&gt;=E540,D540-E540,0)</f>
        <v>0</v>
      </c>
      <c r="G540" s="32" t="n">
        <f aca="false">IF(E540&gt;D540,E540-D540,0)</f>
        <v>0</v>
      </c>
    </row>
    <row r="541" customFormat="false" ht="15" hidden="false" customHeight="true" outlineLevel="0" collapsed="false">
      <c r="A541" s="30" t="s">
        <v>713</v>
      </c>
      <c r="B541" s="31" t="s">
        <v>250</v>
      </c>
      <c r="C541" s="30" t="s">
        <v>437</v>
      </c>
      <c r="D541" s="32" t="n">
        <f aca="false">SUMIF('Libro Diario'!$C$5:$C$504,A541,'Libro Diario'!$F$5:$F$504)</f>
        <v>0</v>
      </c>
      <c r="E541" s="32" t="n">
        <f aca="false">SUMIF('Libro Diario'!$C$5:$C$504,A541,'Libro Diario'!$G$5:$G$504)</f>
        <v>0</v>
      </c>
      <c r="F541" s="32" t="n">
        <f aca="false">IF(D541&gt;=E541,D541-E541,0)</f>
        <v>0</v>
      </c>
      <c r="G541" s="32" t="n">
        <f aca="false">IF(E541&gt;D541,E541-D541,0)</f>
        <v>0</v>
      </c>
    </row>
    <row r="542" customFormat="false" ht="15" hidden="false" customHeight="true" outlineLevel="0" collapsed="false">
      <c r="A542" s="30" t="s">
        <v>714</v>
      </c>
      <c r="B542" s="31" t="s">
        <v>66</v>
      </c>
      <c r="C542" s="30" t="s">
        <v>437</v>
      </c>
      <c r="D542" s="32" t="n">
        <f aca="false">SUMIF('Libro Diario'!$C$5:$C$504,A542,'Libro Diario'!$F$5:$F$504)</f>
        <v>0</v>
      </c>
      <c r="E542" s="32" t="n">
        <f aca="false">SUMIF('Libro Diario'!$C$5:$C$504,A542,'Libro Diario'!$G$5:$G$504)</f>
        <v>0</v>
      </c>
      <c r="F542" s="32" t="n">
        <f aca="false">IF(D542&gt;=E542,D542-E542,0)</f>
        <v>0</v>
      </c>
      <c r="G542" s="32" t="n">
        <f aca="false">IF(E542&gt;D542,E542-D542,0)</f>
        <v>0</v>
      </c>
    </row>
    <row r="543" customFormat="false" ht="15" hidden="false" customHeight="true" outlineLevel="0" collapsed="false">
      <c r="A543" s="30" t="s">
        <v>715</v>
      </c>
      <c r="B543" s="31" t="s">
        <v>250</v>
      </c>
      <c r="C543" s="30" t="s">
        <v>437</v>
      </c>
      <c r="D543" s="32" t="n">
        <f aca="false">SUMIF('Libro Diario'!$C$5:$C$504,A543,'Libro Diario'!$F$5:$F$504)</f>
        <v>0</v>
      </c>
      <c r="E543" s="32" t="n">
        <f aca="false">SUMIF('Libro Diario'!$C$5:$C$504,A543,'Libro Diario'!$G$5:$G$504)</f>
        <v>0</v>
      </c>
      <c r="F543" s="32" t="n">
        <f aca="false">IF(D543&gt;=E543,D543-E543,0)</f>
        <v>0</v>
      </c>
      <c r="G543" s="32" t="n">
        <f aca="false">IF(E543&gt;D543,E543-D543,0)</f>
        <v>0</v>
      </c>
    </row>
    <row r="544" customFormat="false" ht="15" hidden="false" customHeight="true" outlineLevel="0" collapsed="false">
      <c r="A544" s="30" t="s">
        <v>716</v>
      </c>
      <c r="B544" s="31" t="s">
        <v>66</v>
      </c>
      <c r="C544" s="30" t="s">
        <v>437</v>
      </c>
      <c r="D544" s="32" t="n">
        <f aca="false">SUMIF('Libro Diario'!$C$5:$C$504,A544,'Libro Diario'!$F$5:$F$504)</f>
        <v>0</v>
      </c>
      <c r="E544" s="32" t="n">
        <f aca="false">SUMIF('Libro Diario'!$C$5:$C$504,A544,'Libro Diario'!$G$5:$G$504)</f>
        <v>0</v>
      </c>
      <c r="F544" s="32" t="n">
        <f aca="false">IF(D544&gt;=E544,D544-E544,0)</f>
        <v>0</v>
      </c>
      <c r="G544" s="32" t="n">
        <f aca="false">IF(E544&gt;D544,E544-D544,0)</f>
        <v>0</v>
      </c>
    </row>
    <row r="545" customFormat="false" ht="15" hidden="false" customHeight="true" outlineLevel="0" collapsed="false">
      <c r="A545" s="30" t="s">
        <v>717</v>
      </c>
      <c r="B545" s="31" t="s">
        <v>66</v>
      </c>
      <c r="C545" s="30" t="s">
        <v>437</v>
      </c>
      <c r="D545" s="32" t="n">
        <f aca="false">SUMIF('Libro Diario'!$C$5:$C$504,A545,'Libro Diario'!$F$5:$F$504)</f>
        <v>0</v>
      </c>
      <c r="E545" s="32" t="n">
        <f aca="false">SUMIF('Libro Diario'!$C$5:$C$504,A545,'Libro Diario'!$G$5:$G$504)</f>
        <v>0</v>
      </c>
      <c r="F545" s="32" t="n">
        <f aca="false">IF(D545&gt;=E545,D545-E545,0)</f>
        <v>0</v>
      </c>
      <c r="G545" s="32" t="n">
        <f aca="false">IF(E545&gt;D545,E545-D545,0)</f>
        <v>0</v>
      </c>
    </row>
    <row r="546" customFormat="false" ht="15" hidden="false" customHeight="true" outlineLevel="0" collapsed="false">
      <c r="A546" s="30" t="s">
        <v>718</v>
      </c>
      <c r="B546" s="31" t="s">
        <v>66</v>
      </c>
      <c r="C546" s="30" t="s">
        <v>437</v>
      </c>
      <c r="D546" s="32" t="n">
        <f aca="false">SUMIF('Libro Diario'!$C$5:$C$504,A546,'Libro Diario'!$F$5:$F$504)</f>
        <v>0</v>
      </c>
      <c r="E546" s="32" t="n">
        <f aca="false">SUMIF('Libro Diario'!$C$5:$C$504,A546,'Libro Diario'!$G$5:$G$504)</f>
        <v>0</v>
      </c>
      <c r="F546" s="32" t="n">
        <f aca="false">IF(D546&gt;=E546,D546-E546,0)</f>
        <v>0</v>
      </c>
      <c r="G546" s="32" t="n">
        <f aca="false">IF(E546&gt;D546,E546-D546,0)</f>
        <v>0</v>
      </c>
    </row>
    <row r="547" customFormat="false" ht="15" hidden="false" customHeight="true" outlineLevel="0" collapsed="false">
      <c r="A547" s="30" t="s">
        <v>719</v>
      </c>
      <c r="B547" s="31" t="s">
        <v>720</v>
      </c>
      <c r="C547" s="30" t="s">
        <v>437</v>
      </c>
      <c r="D547" s="32" t="n">
        <f aca="false">SUMIF('Libro Diario'!$C$5:$C$504,A547,'Libro Diario'!$F$5:$F$504)</f>
        <v>0</v>
      </c>
      <c r="E547" s="32" t="n">
        <f aca="false">SUMIF('Libro Diario'!$C$5:$C$504,A547,'Libro Diario'!$G$5:$G$504)</f>
        <v>0</v>
      </c>
      <c r="F547" s="32" t="n">
        <f aca="false">IF(D547&gt;=E547,D547-E547,0)</f>
        <v>0</v>
      </c>
      <c r="G547" s="32" t="n">
        <f aca="false">IF(E547&gt;D547,E547-D547,0)</f>
        <v>0</v>
      </c>
    </row>
    <row r="548" customFormat="false" ht="15" hidden="false" customHeight="true" outlineLevel="0" collapsed="false">
      <c r="A548" s="30" t="s">
        <v>721</v>
      </c>
      <c r="B548" s="31" t="s">
        <v>722</v>
      </c>
      <c r="C548" s="30" t="s">
        <v>437</v>
      </c>
      <c r="D548" s="32" t="n">
        <f aca="false">SUMIF('Libro Diario'!$C$5:$C$504,A548,'Libro Diario'!$F$5:$F$504)</f>
        <v>0</v>
      </c>
      <c r="E548" s="32" t="n">
        <f aca="false">SUMIF('Libro Diario'!$C$5:$C$504,A548,'Libro Diario'!$G$5:$G$504)</f>
        <v>0</v>
      </c>
      <c r="F548" s="32" t="n">
        <f aca="false">IF(D548&gt;=E548,D548-E548,0)</f>
        <v>0</v>
      </c>
      <c r="G548" s="32" t="n">
        <f aca="false">IF(E548&gt;D548,E548-D548,0)</f>
        <v>0</v>
      </c>
    </row>
    <row r="549" customFormat="false" ht="15" hidden="false" customHeight="true" outlineLevel="0" collapsed="false">
      <c r="A549" s="30" t="s">
        <v>723</v>
      </c>
      <c r="B549" s="31" t="s">
        <v>724</v>
      </c>
      <c r="C549" s="30" t="s">
        <v>437</v>
      </c>
      <c r="D549" s="32" t="n">
        <f aca="false">SUMIF('Libro Diario'!$C$5:$C$504,A549,'Libro Diario'!$F$5:$F$504)</f>
        <v>0</v>
      </c>
      <c r="E549" s="32" t="n">
        <f aca="false">SUMIF('Libro Diario'!$C$5:$C$504,A549,'Libro Diario'!$G$5:$G$504)</f>
        <v>0</v>
      </c>
      <c r="F549" s="32" t="n">
        <f aca="false">IF(D549&gt;=E549,D549-E549,0)</f>
        <v>0</v>
      </c>
      <c r="G549" s="32" t="n">
        <f aca="false">IF(E549&gt;D549,E549-D549,0)</f>
        <v>0</v>
      </c>
    </row>
    <row r="550" customFormat="false" ht="15" hidden="false" customHeight="true" outlineLevel="0" collapsed="false">
      <c r="A550" s="30" t="s">
        <v>725</v>
      </c>
      <c r="B550" s="31" t="s">
        <v>726</v>
      </c>
      <c r="C550" s="30" t="s">
        <v>437</v>
      </c>
      <c r="D550" s="32" t="n">
        <f aca="false">SUMIF('Libro Diario'!$C$5:$C$504,A550,'Libro Diario'!$F$5:$F$504)</f>
        <v>0</v>
      </c>
      <c r="E550" s="32" t="n">
        <f aca="false">SUMIF('Libro Diario'!$C$5:$C$504,A550,'Libro Diario'!$G$5:$G$504)</f>
        <v>0</v>
      </c>
      <c r="F550" s="32" t="n">
        <f aca="false">IF(D550&gt;=E550,D550-E550,0)</f>
        <v>0</v>
      </c>
      <c r="G550" s="32" t="n">
        <f aca="false">IF(E550&gt;D550,E550-D550,0)</f>
        <v>0</v>
      </c>
    </row>
    <row r="551" customFormat="false" ht="15" hidden="false" customHeight="true" outlineLevel="0" collapsed="false">
      <c r="A551" s="30" t="s">
        <v>727</v>
      </c>
      <c r="B551" s="31" t="s">
        <v>728</v>
      </c>
      <c r="C551" s="30" t="s">
        <v>437</v>
      </c>
      <c r="D551" s="32" t="n">
        <f aca="false">SUMIF('Libro Diario'!$C$5:$C$504,A551,'Libro Diario'!$F$5:$F$504)</f>
        <v>0</v>
      </c>
      <c r="E551" s="32" t="n">
        <f aca="false">SUMIF('Libro Diario'!$C$5:$C$504,A551,'Libro Diario'!$G$5:$G$504)</f>
        <v>0</v>
      </c>
      <c r="F551" s="32" t="n">
        <f aca="false">IF(D551&gt;=E551,D551-E551,0)</f>
        <v>0</v>
      </c>
      <c r="G551" s="32" t="n">
        <f aca="false">IF(E551&gt;D551,E551-D551,0)</f>
        <v>0</v>
      </c>
    </row>
    <row r="552" customFormat="false" ht="15" hidden="false" customHeight="true" outlineLevel="0" collapsed="false">
      <c r="A552" s="30" t="s">
        <v>729</v>
      </c>
      <c r="B552" s="31" t="s">
        <v>730</v>
      </c>
      <c r="C552" s="30" t="s">
        <v>437</v>
      </c>
      <c r="D552" s="32" t="n">
        <f aca="false">SUMIF('Libro Diario'!$C$5:$C$504,A552,'Libro Diario'!$F$5:$F$504)</f>
        <v>0</v>
      </c>
      <c r="E552" s="32" t="n">
        <f aca="false">SUMIF('Libro Diario'!$C$5:$C$504,A552,'Libro Diario'!$G$5:$G$504)</f>
        <v>0</v>
      </c>
      <c r="F552" s="32" t="n">
        <f aca="false">IF(D552&gt;=E552,D552-E552,0)</f>
        <v>0</v>
      </c>
      <c r="G552" s="32" t="n">
        <f aca="false">IF(E552&gt;D552,E552-D552,0)</f>
        <v>0</v>
      </c>
    </row>
    <row r="553" customFormat="false" ht="15" hidden="false" customHeight="true" outlineLevel="0" collapsed="false">
      <c r="A553" s="30" t="s">
        <v>731</v>
      </c>
      <c r="B553" s="31" t="s">
        <v>732</v>
      </c>
      <c r="C553" s="30" t="s">
        <v>437</v>
      </c>
      <c r="D553" s="32" t="n">
        <f aca="false">SUMIF('Libro Diario'!$C$5:$C$504,A553,'Libro Diario'!$F$5:$F$504)</f>
        <v>0</v>
      </c>
      <c r="E553" s="32" t="n">
        <f aca="false">SUMIF('Libro Diario'!$C$5:$C$504,A553,'Libro Diario'!$G$5:$G$504)</f>
        <v>0</v>
      </c>
      <c r="F553" s="32" t="n">
        <f aca="false">IF(D553&gt;=E553,D553-E553,0)</f>
        <v>0</v>
      </c>
      <c r="G553" s="32" t="n">
        <f aca="false">IF(E553&gt;D553,E553-D553,0)</f>
        <v>0</v>
      </c>
    </row>
    <row r="554" customFormat="false" ht="15" hidden="false" customHeight="true" outlineLevel="0" collapsed="false">
      <c r="A554" s="30" t="s">
        <v>733</v>
      </c>
      <c r="B554" s="31" t="s">
        <v>734</v>
      </c>
      <c r="C554" s="30" t="s">
        <v>437</v>
      </c>
      <c r="D554" s="32" t="n">
        <f aca="false">SUMIF('Libro Diario'!$C$5:$C$504,A554,'Libro Diario'!$F$5:$F$504)</f>
        <v>0</v>
      </c>
      <c r="E554" s="32" t="n">
        <f aca="false">SUMIF('Libro Diario'!$C$5:$C$504,A554,'Libro Diario'!$G$5:$G$504)</f>
        <v>0</v>
      </c>
      <c r="F554" s="32" t="n">
        <f aca="false">IF(D554&gt;=E554,D554-E554,0)</f>
        <v>0</v>
      </c>
      <c r="G554" s="32" t="n">
        <f aca="false">IF(E554&gt;D554,E554-D554,0)</f>
        <v>0</v>
      </c>
    </row>
    <row r="555" customFormat="false" ht="15" hidden="false" customHeight="true" outlineLevel="0" collapsed="false">
      <c r="A555" s="30" t="s">
        <v>735</v>
      </c>
      <c r="B555" s="31" t="s">
        <v>736</v>
      </c>
      <c r="C555" s="30" t="s">
        <v>437</v>
      </c>
      <c r="D555" s="32" t="n">
        <f aca="false">SUMIF('Libro Diario'!$C$5:$C$504,A555,'Libro Diario'!$F$5:$F$504)</f>
        <v>0</v>
      </c>
      <c r="E555" s="32" t="n">
        <f aca="false">SUMIF('Libro Diario'!$C$5:$C$504,A555,'Libro Diario'!$G$5:$G$504)</f>
        <v>0</v>
      </c>
      <c r="F555" s="32" t="n">
        <f aca="false">IF(D555&gt;=E555,D555-E555,0)</f>
        <v>0</v>
      </c>
      <c r="G555" s="32" t="n">
        <f aca="false">IF(E555&gt;D555,E555-D555,0)</f>
        <v>0</v>
      </c>
    </row>
    <row r="556" customFormat="false" ht="15" hidden="false" customHeight="true" outlineLevel="0" collapsed="false">
      <c r="A556" s="30" t="s">
        <v>737</v>
      </c>
      <c r="B556" s="31" t="s">
        <v>738</v>
      </c>
      <c r="C556" s="30" t="s">
        <v>437</v>
      </c>
      <c r="D556" s="32" t="n">
        <f aca="false">SUMIF('Libro Diario'!$C$5:$C$504,A556,'Libro Diario'!$F$5:$F$504)</f>
        <v>0</v>
      </c>
      <c r="E556" s="32" t="n">
        <f aca="false">SUMIF('Libro Diario'!$C$5:$C$504,A556,'Libro Diario'!$G$5:$G$504)</f>
        <v>0</v>
      </c>
      <c r="F556" s="32" t="n">
        <f aca="false">IF(D556&gt;=E556,D556-E556,0)</f>
        <v>0</v>
      </c>
      <c r="G556" s="32" t="n">
        <f aca="false">IF(E556&gt;D556,E556-D556,0)</f>
        <v>0</v>
      </c>
    </row>
    <row r="557" customFormat="false" ht="15" hidden="false" customHeight="true" outlineLevel="0" collapsed="false">
      <c r="A557" s="30" t="s">
        <v>739</v>
      </c>
      <c r="B557" s="31" t="s">
        <v>740</v>
      </c>
      <c r="C557" s="30" t="s">
        <v>437</v>
      </c>
      <c r="D557" s="32" t="n">
        <f aca="false">SUMIF('Libro Diario'!$C$5:$C$504,A557,'Libro Diario'!$F$5:$F$504)</f>
        <v>0</v>
      </c>
      <c r="E557" s="32" t="n">
        <f aca="false">SUMIF('Libro Diario'!$C$5:$C$504,A557,'Libro Diario'!$G$5:$G$504)</f>
        <v>0</v>
      </c>
      <c r="F557" s="32" t="n">
        <f aca="false">IF(D557&gt;=E557,D557-E557,0)</f>
        <v>0</v>
      </c>
      <c r="G557" s="32" t="n">
        <f aca="false">IF(E557&gt;D557,E557-D557,0)</f>
        <v>0</v>
      </c>
    </row>
    <row r="558" customFormat="false" ht="15" hidden="false" customHeight="true" outlineLevel="0" collapsed="false">
      <c r="A558" s="30" t="s">
        <v>741</v>
      </c>
      <c r="B558" s="31" t="s">
        <v>742</v>
      </c>
      <c r="C558" s="30" t="s">
        <v>437</v>
      </c>
      <c r="D558" s="32" t="n">
        <f aca="false">SUMIF('Libro Diario'!$C$5:$C$504,A558,'Libro Diario'!$F$5:$F$504)</f>
        <v>0</v>
      </c>
      <c r="E558" s="32" t="n">
        <f aca="false">SUMIF('Libro Diario'!$C$5:$C$504,A558,'Libro Diario'!$G$5:$G$504)</f>
        <v>0</v>
      </c>
      <c r="F558" s="32" t="n">
        <f aca="false">IF(D558&gt;=E558,D558-E558,0)</f>
        <v>0</v>
      </c>
      <c r="G558" s="32" t="n">
        <f aca="false">IF(E558&gt;D558,E558-D558,0)</f>
        <v>0</v>
      </c>
    </row>
    <row r="559" customFormat="false" ht="15" hidden="false" customHeight="true" outlineLevel="0" collapsed="false">
      <c r="A559" s="30" t="s">
        <v>743</v>
      </c>
      <c r="B559" s="31" t="s">
        <v>736</v>
      </c>
      <c r="C559" s="30" t="s">
        <v>437</v>
      </c>
      <c r="D559" s="32" t="n">
        <f aca="false">SUMIF('Libro Diario'!$C$5:$C$504,A559,'Libro Diario'!$F$5:$F$504)</f>
        <v>0</v>
      </c>
      <c r="E559" s="32" t="n">
        <f aca="false">SUMIF('Libro Diario'!$C$5:$C$504,A559,'Libro Diario'!$G$5:$G$504)</f>
        <v>0</v>
      </c>
      <c r="F559" s="32" t="n">
        <f aca="false">IF(D559&gt;=E559,D559-E559,0)</f>
        <v>0</v>
      </c>
      <c r="G559" s="32" t="n">
        <f aca="false">IF(E559&gt;D559,E559-D559,0)</f>
        <v>0</v>
      </c>
    </row>
    <row r="560" customFormat="false" ht="15" hidden="false" customHeight="true" outlineLevel="0" collapsed="false">
      <c r="A560" s="30" t="s">
        <v>744</v>
      </c>
      <c r="B560" s="31" t="s">
        <v>66</v>
      </c>
      <c r="C560" s="30" t="s">
        <v>437</v>
      </c>
      <c r="D560" s="32" t="n">
        <f aca="false">SUMIF('Libro Diario'!$C$5:$C$504,A560,'Libro Diario'!$F$5:$F$504)</f>
        <v>0</v>
      </c>
      <c r="E560" s="32" t="n">
        <f aca="false">SUMIF('Libro Diario'!$C$5:$C$504,A560,'Libro Diario'!$G$5:$G$504)</f>
        <v>0</v>
      </c>
      <c r="F560" s="32" t="n">
        <f aca="false">IF(D560&gt;=E560,D560-E560,0)</f>
        <v>0</v>
      </c>
      <c r="G560" s="32" t="n">
        <f aca="false">IF(E560&gt;D560,E560-D560,0)</f>
        <v>0</v>
      </c>
    </row>
    <row r="561" customFormat="false" ht="15" hidden="false" customHeight="true" outlineLevel="0" collapsed="false">
      <c r="A561" s="30" t="s">
        <v>745</v>
      </c>
      <c r="B561" s="31" t="s">
        <v>280</v>
      </c>
      <c r="C561" s="30" t="s">
        <v>437</v>
      </c>
      <c r="D561" s="32" t="n">
        <f aca="false">SUMIF('Libro Diario'!$C$5:$C$504,A561,'Libro Diario'!$F$5:$F$504)</f>
        <v>0</v>
      </c>
      <c r="E561" s="32" t="n">
        <f aca="false">SUMIF('Libro Diario'!$C$5:$C$504,A561,'Libro Diario'!$G$5:$G$504)</f>
        <v>0</v>
      </c>
      <c r="F561" s="32" t="n">
        <f aca="false">IF(D561&gt;=E561,D561-E561,0)</f>
        <v>0</v>
      </c>
      <c r="G561" s="32" t="n">
        <f aca="false">IF(E561&gt;D561,E561-D561,0)</f>
        <v>0</v>
      </c>
    </row>
    <row r="562" customFormat="false" ht="15" hidden="false" customHeight="true" outlineLevel="0" collapsed="false">
      <c r="A562" s="30" t="s">
        <v>746</v>
      </c>
      <c r="B562" s="31" t="s">
        <v>250</v>
      </c>
      <c r="C562" s="30" t="s">
        <v>437</v>
      </c>
      <c r="D562" s="32" t="n">
        <f aca="false">SUMIF('Libro Diario'!$C$5:$C$504,A562,'Libro Diario'!$F$5:$F$504)</f>
        <v>0</v>
      </c>
      <c r="E562" s="32" t="n">
        <f aca="false">SUMIF('Libro Diario'!$C$5:$C$504,A562,'Libro Diario'!$G$5:$G$504)</f>
        <v>0</v>
      </c>
      <c r="F562" s="32" t="n">
        <f aca="false">IF(D562&gt;=E562,D562-E562,0)</f>
        <v>0</v>
      </c>
      <c r="G562" s="32" t="n">
        <f aca="false">IF(E562&gt;D562,E562-D562,0)</f>
        <v>0</v>
      </c>
    </row>
    <row r="563" customFormat="false" ht="15" hidden="false" customHeight="true" outlineLevel="0" collapsed="false">
      <c r="A563" s="30" t="s">
        <v>747</v>
      </c>
      <c r="B563" s="31" t="s">
        <v>66</v>
      </c>
      <c r="C563" s="30" t="s">
        <v>437</v>
      </c>
      <c r="D563" s="32" t="n">
        <f aca="false">SUMIF('Libro Diario'!$C$5:$C$504,A563,'Libro Diario'!$F$5:$F$504)</f>
        <v>0</v>
      </c>
      <c r="E563" s="32" t="n">
        <f aca="false">SUMIF('Libro Diario'!$C$5:$C$504,A563,'Libro Diario'!$G$5:$G$504)</f>
        <v>0</v>
      </c>
      <c r="F563" s="32" t="n">
        <f aca="false">IF(D563&gt;=E563,D563-E563,0)</f>
        <v>0</v>
      </c>
      <c r="G563" s="32" t="n">
        <f aca="false">IF(E563&gt;D563,E563-D563,0)</f>
        <v>0</v>
      </c>
    </row>
    <row r="564" customFormat="false" ht="15" hidden="false" customHeight="true" outlineLevel="0" collapsed="false">
      <c r="A564" s="30" t="s">
        <v>748</v>
      </c>
      <c r="B564" s="31" t="s">
        <v>280</v>
      </c>
      <c r="C564" s="30" t="s">
        <v>437</v>
      </c>
      <c r="D564" s="32" t="n">
        <f aca="false">SUMIF('Libro Diario'!$C$5:$C$504,A564,'Libro Diario'!$F$5:$F$504)</f>
        <v>0</v>
      </c>
      <c r="E564" s="32" t="n">
        <f aca="false">SUMIF('Libro Diario'!$C$5:$C$504,A564,'Libro Diario'!$G$5:$G$504)</f>
        <v>0</v>
      </c>
      <c r="F564" s="32" t="n">
        <f aca="false">IF(D564&gt;=E564,D564-E564,0)</f>
        <v>0</v>
      </c>
      <c r="G564" s="32" t="n">
        <f aca="false">IF(E564&gt;D564,E564-D564,0)</f>
        <v>0</v>
      </c>
    </row>
    <row r="565" customFormat="false" ht="15" hidden="false" customHeight="true" outlineLevel="0" collapsed="false">
      <c r="A565" s="30" t="s">
        <v>749</v>
      </c>
      <c r="B565" s="31" t="s">
        <v>250</v>
      </c>
      <c r="C565" s="30" t="s">
        <v>437</v>
      </c>
      <c r="D565" s="32" t="n">
        <f aca="false">SUMIF('Libro Diario'!$C$5:$C$504,A565,'Libro Diario'!$F$5:$F$504)</f>
        <v>0</v>
      </c>
      <c r="E565" s="32" t="n">
        <f aca="false">SUMIF('Libro Diario'!$C$5:$C$504,A565,'Libro Diario'!$G$5:$G$504)</f>
        <v>0</v>
      </c>
      <c r="F565" s="32" t="n">
        <f aca="false">IF(D565&gt;=E565,D565-E565,0)</f>
        <v>0</v>
      </c>
      <c r="G565" s="32" t="n">
        <f aca="false">IF(E565&gt;D565,E565-D565,0)</f>
        <v>0</v>
      </c>
    </row>
    <row r="566" customFormat="false" ht="15" hidden="false" customHeight="true" outlineLevel="0" collapsed="false">
      <c r="A566" s="30" t="s">
        <v>750</v>
      </c>
      <c r="B566" s="31" t="s">
        <v>66</v>
      </c>
      <c r="C566" s="30" t="s">
        <v>437</v>
      </c>
      <c r="D566" s="32" t="n">
        <f aca="false">SUMIF('Libro Diario'!$C$5:$C$504,A566,'Libro Diario'!$F$5:$F$504)</f>
        <v>0</v>
      </c>
      <c r="E566" s="32" t="n">
        <f aca="false">SUMIF('Libro Diario'!$C$5:$C$504,A566,'Libro Diario'!$G$5:$G$504)</f>
        <v>0</v>
      </c>
      <c r="F566" s="32" t="n">
        <f aca="false">IF(D566&gt;=E566,D566-E566,0)</f>
        <v>0</v>
      </c>
      <c r="G566" s="32" t="n">
        <f aca="false">IF(E566&gt;D566,E566-D566,0)</f>
        <v>0</v>
      </c>
    </row>
    <row r="567" customFormat="false" ht="15" hidden="false" customHeight="true" outlineLevel="0" collapsed="false">
      <c r="A567" s="30" t="s">
        <v>751</v>
      </c>
      <c r="B567" s="31" t="s">
        <v>280</v>
      </c>
      <c r="C567" s="30" t="s">
        <v>437</v>
      </c>
      <c r="D567" s="32" t="n">
        <f aca="false">SUMIF('Libro Diario'!$C$5:$C$504,A567,'Libro Diario'!$F$5:$F$504)</f>
        <v>0</v>
      </c>
      <c r="E567" s="32" t="n">
        <f aca="false">SUMIF('Libro Diario'!$C$5:$C$504,A567,'Libro Diario'!$G$5:$G$504)</f>
        <v>0</v>
      </c>
      <c r="F567" s="32" t="n">
        <f aca="false">IF(D567&gt;=E567,D567-E567,0)</f>
        <v>0</v>
      </c>
      <c r="G567" s="32" t="n">
        <f aca="false">IF(E567&gt;D567,E567-D567,0)</f>
        <v>0</v>
      </c>
    </row>
    <row r="568" customFormat="false" ht="15" hidden="false" customHeight="true" outlineLevel="0" collapsed="false">
      <c r="A568" s="30" t="s">
        <v>752</v>
      </c>
      <c r="B568" s="31" t="s">
        <v>250</v>
      </c>
      <c r="C568" s="30" t="s">
        <v>437</v>
      </c>
      <c r="D568" s="32" t="n">
        <f aca="false">SUMIF('Libro Diario'!$C$5:$C$504,A568,'Libro Diario'!$F$5:$F$504)</f>
        <v>0</v>
      </c>
      <c r="E568" s="32" t="n">
        <f aca="false">SUMIF('Libro Diario'!$C$5:$C$504,A568,'Libro Diario'!$G$5:$G$504)</f>
        <v>0</v>
      </c>
      <c r="F568" s="32" t="n">
        <f aca="false">IF(D568&gt;=E568,D568-E568,0)</f>
        <v>0</v>
      </c>
      <c r="G568" s="32" t="n">
        <f aca="false">IF(E568&gt;D568,E568-D568,0)</f>
        <v>0</v>
      </c>
    </row>
    <row r="569" customFormat="false" ht="15" hidden="false" customHeight="true" outlineLevel="0" collapsed="false">
      <c r="A569" s="30" t="s">
        <v>753</v>
      </c>
      <c r="B569" s="31" t="s">
        <v>66</v>
      </c>
      <c r="C569" s="30" t="s">
        <v>437</v>
      </c>
      <c r="D569" s="32" t="n">
        <f aca="false">SUMIF('Libro Diario'!$C$5:$C$504,A569,'Libro Diario'!$F$5:$F$504)</f>
        <v>0</v>
      </c>
      <c r="E569" s="32" t="n">
        <f aca="false">SUMIF('Libro Diario'!$C$5:$C$504,A569,'Libro Diario'!$G$5:$G$504)</f>
        <v>0</v>
      </c>
      <c r="F569" s="32" t="n">
        <f aca="false">IF(D569&gt;=E569,D569-E569,0)</f>
        <v>0</v>
      </c>
      <c r="G569" s="32" t="n">
        <f aca="false">IF(E569&gt;D569,E569-D569,0)</f>
        <v>0</v>
      </c>
    </row>
    <row r="570" customFormat="false" ht="15" hidden="false" customHeight="true" outlineLevel="0" collapsed="false">
      <c r="A570" s="30" t="s">
        <v>754</v>
      </c>
      <c r="B570" s="31" t="s">
        <v>280</v>
      </c>
      <c r="C570" s="30" t="s">
        <v>437</v>
      </c>
      <c r="D570" s="32" t="n">
        <f aca="false">SUMIF('Libro Diario'!$C$5:$C$504,A570,'Libro Diario'!$F$5:$F$504)</f>
        <v>0</v>
      </c>
      <c r="E570" s="32" t="n">
        <f aca="false">SUMIF('Libro Diario'!$C$5:$C$504,A570,'Libro Diario'!$G$5:$G$504)</f>
        <v>0</v>
      </c>
      <c r="F570" s="32" t="n">
        <f aca="false">IF(D570&gt;=E570,D570-E570,0)</f>
        <v>0</v>
      </c>
      <c r="G570" s="32" t="n">
        <f aca="false">IF(E570&gt;D570,E570-D570,0)</f>
        <v>0</v>
      </c>
    </row>
    <row r="571" customFormat="false" ht="15" hidden="false" customHeight="true" outlineLevel="0" collapsed="false">
      <c r="A571" s="30" t="s">
        <v>755</v>
      </c>
      <c r="B571" s="31" t="s">
        <v>250</v>
      </c>
      <c r="C571" s="30" t="s">
        <v>437</v>
      </c>
      <c r="D571" s="32" t="n">
        <f aca="false">SUMIF('Libro Diario'!$C$5:$C$504,A571,'Libro Diario'!$F$5:$F$504)</f>
        <v>0</v>
      </c>
      <c r="E571" s="32" t="n">
        <f aca="false">SUMIF('Libro Diario'!$C$5:$C$504,A571,'Libro Diario'!$G$5:$G$504)</f>
        <v>0</v>
      </c>
      <c r="F571" s="32" t="n">
        <f aca="false">IF(D571&gt;=E571,D571-E571,0)</f>
        <v>0</v>
      </c>
      <c r="G571" s="32" t="n">
        <f aca="false">IF(E571&gt;D571,E571-D571,0)</f>
        <v>0</v>
      </c>
    </row>
    <row r="572" customFormat="false" ht="15" hidden="false" customHeight="true" outlineLevel="0" collapsed="false">
      <c r="A572" s="30" t="s">
        <v>756</v>
      </c>
      <c r="B572" s="31" t="s">
        <v>66</v>
      </c>
      <c r="C572" s="30" t="s">
        <v>437</v>
      </c>
      <c r="D572" s="32" t="n">
        <f aca="false">SUMIF('Libro Diario'!$C$5:$C$504,A572,'Libro Diario'!$F$5:$F$504)</f>
        <v>0</v>
      </c>
      <c r="E572" s="32" t="n">
        <f aca="false">SUMIF('Libro Diario'!$C$5:$C$504,A572,'Libro Diario'!$G$5:$G$504)</f>
        <v>0</v>
      </c>
      <c r="F572" s="32" t="n">
        <f aca="false">IF(D572&gt;=E572,D572-E572,0)</f>
        <v>0</v>
      </c>
      <c r="G572" s="32" t="n">
        <f aca="false">IF(E572&gt;D572,E572-D572,0)</f>
        <v>0</v>
      </c>
    </row>
    <row r="573" customFormat="false" ht="15" hidden="false" customHeight="true" outlineLevel="0" collapsed="false">
      <c r="A573" s="30" t="s">
        <v>757</v>
      </c>
      <c r="B573" s="31" t="s">
        <v>280</v>
      </c>
      <c r="C573" s="30" t="s">
        <v>437</v>
      </c>
      <c r="D573" s="32" t="n">
        <f aca="false">SUMIF('Libro Diario'!$C$5:$C$504,A573,'Libro Diario'!$F$5:$F$504)</f>
        <v>0</v>
      </c>
      <c r="E573" s="32" t="n">
        <f aca="false">SUMIF('Libro Diario'!$C$5:$C$504,A573,'Libro Diario'!$G$5:$G$504)</f>
        <v>0</v>
      </c>
      <c r="F573" s="32" t="n">
        <f aca="false">IF(D573&gt;=E573,D573-E573,0)</f>
        <v>0</v>
      </c>
      <c r="G573" s="32" t="n">
        <f aca="false">IF(E573&gt;D573,E573-D573,0)</f>
        <v>0</v>
      </c>
    </row>
    <row r="574" customFormat="false" ht="15" hidden="false" customHeight="true" outlineLevel="0" collapsed="false">
      <c r="A574" s="30" t="s">
        <v>758</v>
      </c>
      <c r="B574" s="31" t="s">
        <v>66</v>
      </c>
      <c r="C574" s="30" t="s">
        <v>437</v>
      </c>
      <c r="D574" s="32" t="n">
        <f aca="false">SUMIF('Libro Diario'!$C$5:$C$504,A574,'Libro Diario'!$F$5:$F$504)</f>
        <v>0</v>
      </c>
      <c r="E574" s="32" t="n">
        <f aca="false">SUMIF('Libro Diario'!$C$5:$C$504,A574,'Libro Diario'!$G$5:$G$504)</f>
        <v>0</v>
      </c>
      <c r="F574" s="32" t="n">
        <f aca="false">IF(D574&gt;=E574,D574-E574,0)</f>
        <v>0</v>
      </c>
      <c r="G574" s="32" t="n">
        <f aca="false">IF(E574&gt;D574,E574-D574,0)</f>
        <v>0</v>
      </c>
    </row>
    <row r="575" customFormat="false" ht="15" hidden="false" customHeight="true" outlineLevel="0" collapsed="false">
      <c r="A575" s="30" t="s">
        <v>759</v>
      </c>
      <c r="B575" s="31" t="s">
        <v>280</v>
      </c>
      <c r="C575" s="30" t="s">
        <v>437</v>
      </c>
      <c r="D575" s="32" t="n">
        <f aca="false">SUMIF('Libro Diario'!$C$5:$C$504,A575,'Libro Diario'!$F$5:$F$504)</f>
        <v>0</v>
      </c>
      <c r="E575" s="32" t="n">
        <f aca="false">SUMIF('Libro Diario'!$C$5:$C$504,A575,'Libro Diario'!$G$5:$G$504)</f>
        <v>0</v>
      </c>
      <c r="F575" s="32" t="n">
        <f aca="false">IF(D575&gt;=E575,D575-E575,0)</f>
        <v>0</v>
      </c>
      <c r="G575" s="32" t="n">
        <f aca="false">IF(E575&gt;D575,E575-D575,0)</f>
        <v>0</v>
      </c>
    </row>
    <row r="576" customFormat="false" ht="15" hidden="false" customHeight="true" outlineLevel="0" collapsed="false">
      <c r="A576" s="30" t="s">
        <v>760</v>
      </c>
      <c r="B576" s="31" t="s">
        <v>66</v>
      </c>
      <c r="C576" s="30" t="s">
        <v>437</v>
      </c>
      <c r="D576" s="32" t="n">
        <f aca="false">SUMIF('Libro Diario'!$C$5:$C$504,A576,'Libro Diario'!$F$5:$F$504)</f>
        <v>0</v>
      </c>
      <c r="E576" s="32" t="n">
        <f aca="false">SUMIF('Libro Diario'!$C$5:$C$504,A576,'Libro Diario'!$G$5:$G$504)</f>
        <v>0</v>
      </c>
      <c r="F576" s="32" t="n">
        <f aca="false">IF(D576&gt;=E576,D576-E576,0)</f>
        <v>0</v>
      </c>
      <c r="G576" s="32" t="n">
        <f aca="false">IF(E576&gt;D576,E576-D576,0)</f>
        <v>0</v>
      </c>
    </row>
    <row r="577" customFormat="false" ht="15" hidden="false" customHeight="true" outlineLevel="0" collapsed="false">
      <c r="A577" s="30" t="s">
        <v>761</v>
      </c>
      <c r="B577" s="31" t="s">
        <v>280</v>
      </c>
      <c r="C577" s="30" t="s">
        <v>437</v>
      </c>
      <c r="D577" s="32" t="n">
        <f aca="false">SUMIF('Libro Diario'!$C$5:$C$504,A577,'Libro Diario'!$F$5:$F$504)</f>
        <v>0</v>
      </c>
      <c r="E577" s="32" t="n">
        <f aca="false">SUMIF('Libro Diario'!$C$5:$C$504,A577,'Libro Diario'!$G$5:$G$504)</f>
        <v>0</v>
      </c>
      <c r="F577" s="32" t="n">
        <f aca="false">IF(D577&gt;=E577,D577-E577,0)</f>
        <v>0</v>
      </c>
      <c r="G577" s="32" t="n">
        <f aca="false">IF(E577&gt;D577,E577-D577,0)</f>
        <v>0</v>
      </c>
    </row>
    <row r="578" customFormat="false" ht="15" hidden="false" customHeight="true" outlineLevel="0" collapsed="false">
      <c r="A578" s="30" t="s">
        <v>762</v>
      </c>
      <c r="B578" s="31" t="s">
        <v>763</v>
      </c>
      <c r="C578" s="30" t="s">
        <v>437</v>
      </c>
      <c r="D578" s="32" t="n">
        <f aca="false">SUMIF('Libro Diario'!$C$5:$C$504,A578,'Libro Diario'!$F$5:$F$504)</f>
        <v>0</v>
      </c>
      <c r="E578" s="32" t="n">
        <f aca="false">SUMIF('Libro Diario'!$C$5:$C$504,A578,'Libro Diario'!$G$5:$G$504)</f>
        <v>0</v>
      </c>
      <c r="F578" s="32" t="n">
        <f aca="false">IF(D578&gt;=E578,D578-E578,0)</f>
        <v>0</v>
      </c>
      <c r="G578" s="32" t="n">
        <f aca="false">IF(E578&gt;D578,E578-D578,0)</f>
        <v>0</v>
      </c>
    </row>
    <row r="579" customFormat="false" ht="15" hidden="false" customHeight="true" outlineLevel="0" collapsed="false">
      <c r="A579" s="30" t="s">
        <v>764</v>
      </c>
      <c r="B579" s="31" t="s">
        <v>372</v>
      </c>
      <c r="C579" s="30" t="s">
        <v>437</v>
      </c>
      <c r="D579" s="32" t="n">
        <f aca="false">SUMIF('Libro Diario'!$C$5:$C$504,A579,'Libro Diario'!$F$5:$F$504)</f>
        <v>0</v>
      </c>
      <c r="E579" s="32" t="n">
        <f aca="false">SUMIF('Libro Diario'!$C$5:$C$504,A579,'Libro Diario'!$G$5:$G$504)</f>
        <v>0</v>
      </c>
      <c r="F579" s="32" t="n">
        <f aca="false">IF(D579&gt;=E579,D579-E579,0)</f>
        <v>0</v>
      </c>
      <c r="G579" s="32" t="n">
        <f aca="false">IF(E579&gt;D579,E579-D579,0)</f>
        <v>0</v>
      </c>
    </row>
    <row r="580" customFormat="false" ht="15" hidden="false" customHeight="true" outlineLevel="0" collapsed="false">
      <c r="A580" s="30" t="s">
        <v>765</v>
      </c>
      <c r="B580" s="31" t="s">
        <v>374</v>
      </c>
      <c r="C580" s="30" t="s">
        <v>437</v>
      </c>
      <c r="D580" s="32" t="n">
        <f aca="false">SUMIF('Libro Diario'!$C$5:$C$504,A580,'Libro Diario'!$F$5:$F$504)</f>
        <v>0</v>
      </c>
      <c r="E580" s="32" t="n">
        <f aca="false">SUMIF('Libro Diario'!$C$5:$C$504,A580,'Libro Diario'!$G$5:$G$504)</f>
        <v>0</v>
      </c>
      <c r="F580" s="32" t="n">
        <f aca="false">IF(D580&gt;=E580,D580-E580,0)</f>
        <v>0</v>
      </c>
      <c r="G580" s="32" t="n">
        <f aca="false">IF(E580&gt;D580,E580-D580,0)</f>
        <v>0</v>
      </c>
    </row>
    <row r="581" customFormat="false" ht="15" hidden="false" customHeight="true" outlineLevel="0" collapsed="false">
      <c r="A581" s="30" t="s">
        <v>766</v>
      </c>
      <c r="B581" s="31" t="s">
        <v>381</v>
      </c>
      <c r="C581" s="30" t="s">
        <v>437</v>
      </c>
      <c r="D581" s="32" t="n">
        <f aca="false">SUMIF('Libro Diario'!$C$5:$C$504,A581,'Libro Diario'!$F$5:$F$504)</f>
        <v>0</v>
      </c>
      <c r="E581" s="32" t="n">
        <f aca="false">SUMIF('Libro Diario'!$C$5:$C$504,A581,'Libro Diario'!$G$5:$G$504)</f>
        <v>0</v>
      </c>
      <c r="F581" s="32" t="n">
        <f aca="false">IF(D581&gt;=E581,D581-E581,0)</f>
        <v>0</v>
      </c>
      <c r="G581" s="32" t="n">
        <f aca="false">IF(E581&gt;D581,E581-D581,0)</f>
        <v>0</v>
      </c>
    </row>
    <row r="582" customFormat="false" ht="15" hidden="false" customHeight="true" outlineLevel="0" collapsed="false">
      <c r="A582" s="30" t="s">
        <v>767</v>
      </c>
      <c r="B582" s="31" t="s">
        <v>383</v>
      </c>
      <c r="C582" s="30" t="s">
        <v>437</v>
      </c>
      <c r="D582" s="32" t="n">
        <f aca="false">SUMIF('Libro Diario'!$C$5:$C$504,A582,'Libro Diario'!$F$5:$F$504)</f>
        <v>0</v>
      </c>
      <c r="E582" s="32" t="n">
        <f aca="false">SUMIF('Libro Diario'!$C$5:$C$504,A582,'Libro Diario'!$G$5:$G$504)</f>
        <v>0</v>
      </c>
      <c r="F582" s="32" t="n">
        <f aca="false">IF(D582&gt;=E582,D582-E582,0)</f>
        <v>0</v>
      </c>
      <c r="G582" s="32" t="n">
        <f aca="false">IF(E582&gt;D582,E582-D582,0)</f>
        <v>0</v>
      </c>
    </row>
    <row r="583" customFormat="false" ht="15" hidden="false" customHeight="true" outlineLevel="0" collapsed="false">
      <c r="A583" s="30" t="s">
        <v>768</v>
      </c>
      <c r="B583" s="31" t="s">
        <v>387</v>
      </c>
      <c r="C583" s="30" t="s">
        <v>437</v>
      </c>
      <c r="D583" s="32" t="n">
        <f aca="false">SUMIF('Libro Diario'!$C$5:$C$504,A583,'Libro Diario'!$F$5:$F$504)</f>
        <v>0</v>
      </c>
      <c r="E583" s="32" t="n">
        <f aca="false">SUMIF('Libro Diario'!$C$5:$C$504,A583,'Libro Diario'!$G$5:$G$504)</f>
        <v>0</v>
      </c>
      <c r="F583" s="32" t="n">
        <f aca="false">IF(D583&gt;=E583,D583-E583,0)</f>
        <v>0</v>
      </c>
      <c r="G583" s="32" t="n">
        <f aca="false">IF(E583&gt;D583,E583-D583,0)</f>
        <v>0</v>
      </c>
    </row>
    <row r="584" customFormat="false" ht="15" hidden="false" customHeight="true" outlineLevel="0" collapsed="false">
      <c r="A584" s="30" t="s">
        <v>769</v>
      </c>
      <c r="B584" s="31" t="s">
        <v>763</v>
      </c>
      <c r="C584" s="30" t="s">
        <v>437</v>
      </c>
      <c r="D584" s="32" t="n">
        <f aca="false">SUMIF('Libro Diario'!$C$5:$C$504,A584,'Libro Diario'!$F$5:$F$504)</f>
        <v>0</v>
      </c>
      <c r="E584" s="32" t="n">
        <f aca="false">SUMIF('Libro Diario'!$C$5:$C$504,A584,'Libro Diario'!$G$5:$G$504)</f>
        <v>0</v>
      </c>
      <c r="F584" s="32" t="n">
        <f aca="false">IF(D584&gt;=E584,D584-E584,0)</f>
        <v>0</v>
      </c>
      <c r="G584" s="32" t="n">
        <f aca="false">IF(E584&gt;D584,E584-D584,0)</f>
        <v>0</v>
      </c>
    </row>
    <row r="585" customFormat="false" ht="15" hidden="false" customHeight="true" outlineLevel="0" collapsed="false">
      <c r="A585" s="30" t="s">
        <v>770</v>
      </c>
      <c r="B585" s="31" t="s">
        <v>374</v>
      </c>
      <c r="C585" s="30" t="s">
        <v>437</v>
      </c>
      <c r="D585" s="32" t="n">
        <f aca="false">SUMIF('Libro Diario'!$C$5:$C$504,A585,'Libro Diario'!$F$5:$F$504)</f>
        <v>0</v>
      </c>
      <c r="E585" s="32" t="n">
        <f aca="false">SUMIF('Libro Diario'!$C$5:$C$504,A585,'Libro Diario'!$G$5:$G$504)</f>
        <v>0</v>
      </c>
      <c r="F585" s="32" t="n">
        <f aca="false">IF(D585&gt;=E585,D585-E585,0)</f>
        <v>0</v>
      </c>
      <c r="G585" s="32" t="n">
        <f aca="false">IF(E585&gt;D585,E585-D585,0)</f>
        <v>0</v>
      </c>
    </row>
    <row r="586" customFormat="false" ht="15" hidden="false" customHeight="true" outlineLevel="0" collapsed="false">
      <c r="A586" s="30" t="s">
        <v>771</v>
      </c>
      <c r="B586" s="31" t="s">
        <v>772</v>
      </c>
      <c r="C586" s="30" t="s">
        <v>437</v>
      </c>
      <c r="D586" s="32" t="n">
        <f aca="false">SUMIF('Libro Diario'!$C$5:$C$504,A586,'Libro Diario'!$F$5:$F$504)</f>
        <v>0</v>
      </c>
      <c r="E586" s="32" t="n">
        <f aca="false">SUMIF('Libro Diario'!$C$5:$C$504,A586,'Libro Diario'!$G$5:$G$504)</f>
        <v>0</v>
      </c>
      <c r="F586" s="32" t="n">
        <f aca="false">IF(D586&gt;=E586,D586-E586,0)</f>
        <v>0</v>
      </c>
      <c r="G586" s="32" t="n">
        <f aca="false">IF(E586&gt;D586,E586-D586,0)</f>
        <v>0</v>
      </c>
    </row>
    <row r="587" customFormat="false" ht="15" hidden="false" customHeight="true" outlineLevel="0" collapsed="false">
      <c r="A587" s="30" t="s">
        <v>773</v>
      </c>
      <c r="B587" s="31" t="s">
        <v>774</v>
      </c>
      <c r="C587" s="30" t="s">
        <v>437</v>
      </c>
      <c r="D587" s="32" t="n">
        <f aca="false">SUMIF('Libro Diario'!$C$5:$C$504,A587,'Libro Diario'!$F$5:$F$504)</f>
        <v>0</v>
      </c>
      <c r="E587" s="32" t="n">
        <f aca="false">SUMIF('Libro Diario'!$C$5:$C$504,A587,'Libro Diario'!$G$5:$G$504)</f>
        <v>0</v>
      </c>
      <c r="F587" s="32" t="n">
        <f aca="false">IF(D587&gt;=E587,D587-E587,0)</f>
        <v>0</v>
      </c>
      <c r="G587" s="32" t="n">
        <f aca="false">IF(E587&gt;D587,E587-D587,0)</f>
        <v>0</v>
      </c>
    </row>
    <row r="588" customFormat="false" ht="15" hidden="false" customHeight="true" outlineLevel="0" collapsed="false">
      <c r="A588" s="30" t="s">
        <v>775</v>
      </c>
      <c r="B588" s="31" t="s">
        <v>381</v>
      </c>
      <c r="C588" s="30" t="s">
        <v>437</v>
      </c>
      <c r="D588" s="32" t="n">
        <f aca="false">SUMIF('Libro Diario'!$C$5:$C$504,A588,'Libro Diario'!$F$5:$F$504)</f>
        <v>0</v>
      </c>
      <c r="E588" s="32" t="n">
        <f aca="false">SUMIF('Libro Diario'!$C$5:$C$504,A588,'Libro Diario'!$G$5:$G$504)</f>
        <v>0</v>
      </c>
      <c r="F588" s="32" t="n">
        <f aca="false">IF(D588&gt;=E588,D588-E588,0)</f>
        <v>0</v>
      </c>
      <c r="G588" s="32" t="n">
        <f aca="false">IF(E588&gt;D588,E588-D588,0)</f>
        <v>0</v>
      </c>
    </row>
    <row r="589" customFormat="false" ht="15" hidden="false" customHeight="true" outlineLevel="0" collapsed="false">
      <c r="A589" s="30" t="s">
        <v>776</v>
      </c>
      <c r="B589" s="31" t="s">
        <v>383</v>
      </c>
      <c r="C589" s="30" t="s">
        <v>437</v>
      </c>
      <c r="D589" s="32" t="n">
        <f aca="false">SUMIF('Libro Diario'!$C$5:$C$504,A589,'Libro Diario'!$F$5:$F$504)</f>
        <v>0</v>
      </c>
      <c r="E589" s="32" t="n">
        <f aca="false">SUMIF('Libro Diario'!$C$5:$C$504,A589,'Libro Diario'!$G$5:$G$504)</f>
        <v>0</v>
      </c>
      <c r="F589" s="32" t="n">
        <f aca="false">IF(D589&gt;=E589,D589-E589,0)</f>
        <v>0</v>
      </c>
      <c r="G589" s="32" t="n">
        <f aca="false">IF(E589&gt;D589,E589-D589,0)</f>
        <v>0</v>
      </c>
    </row>
    <row r="590" customFormat="false" ht="15" hidden="false" customHeight="true" outlineLevel="0" collapsed="false">
      <c r="A590" s="30" t="s">
        <v>777</v>
      </c>
      <c r="B590" s="31" t="s">
        <v>385</v>
      </c>
      <c r="C590" s="30" t="s">
        <v>437</v>
      </c>
      <c r="D590" s="32" t="n">
        <f aca="false">SUMIF('Libro Diario'!$C$5:$C$504,A590,'Libro Diario'!$F$5:$F$504)</f>
        <v>0</v>
      </c>
      <c r="E590" s="32" t="n">
        <f aca="false">SUMIF('Libro Diario'!$C$5:$C$504,A590,'Libro Diario'!$G$5:$G$504)</f>
        <v>0</v>
      </c>
      <c r="F590" s="32" t="n">
        <f aca="false">IF(D590&gt;=E590,D590-E590,0)</f>
        <v>0</v>
      </c>
      <c r="G590" s="32" t="n">
        <f aca="false">IF(E590&gt;D590,E590-D590,0)</f>
        <v>0</v>
      </c>
    </row>
    <row r="591" customFormat="false" ht="15" hidden="false" customHeight="true" outlineLevel="0" collapsed="false">
      <c r="A591" s="30" t="s">
        <v>778</v>
      </c>
      <c r="B591" s="31" t="s">
        <v>387</v>
      </c>
      <c r="C591" s="30" t="s">
        <v>437</v>
      </c>
      <c r="D591" s="32" t="n">
        <f aca="false">SUMIF('Libro Diario'!$C$5:$C$504,A591,'Libro Diario'!$F$5:$F$504)</f>
        <v>0</v>
      </c>
      <c r="E591" s="32" t="n">
        <f aca="false">SUMIF('Libro Diario'!$C$5:$C$504,A591,'Libro Diario'!$G$5:$G$504)</f>
        <v>0</v>
      </c>
      <c r="F591" s="32" t="n">
        <f aca="false">IF(D591&gt;=E591,D591-E591,0)</f>
        <v>0</v>
      </c>
      <c r="G591" s="32" t="n">
        <f aca="false">IF(E591&gt;D591,E591-D591,0)</f>
        <v>0</v>
      </c>
    </row>
    <row r="592" customFormat="false" ht="15" hidden="false" customHeight="true" outlineLevel="0" collapsed="false">
      <c r="A592" s="30" t="s">
        <v>779</v>
      </c>
      <c r="B592" s="31" t="s">
        <v>780</v>
      </c>
      <c r="C592" s="30" t="s">
        <v>437</v>
      </c>
      <c r="D592" s="32" t="n">
        <f aca="false">SUMIF('Libro Diario'!$C$5:$C$504,A592,'Libro Diario'!$F$5:$F$504)</f>
        <v>0</v>
      </c>
      <c r="E592" s="32" t="n">
        <f aca="false">SUMIF('Libro Diario'!$C$5:$C$504,A592,'Libro Diario'!$G$5:$G$504)</f>
        <v>0</v>
      </c>
      <c r="F592" s="32" t="n">
        <f aca="false">IF(D592&gt;=E592,D592-E592,0)</f>
        <v>0</v>
      </c>
      <c r="G592" s="32" t="n">
        <f aca="false">IF(E592&gt;D592,E592-D592,0)</f>
        <v>0</v>
      </c>
    </row>
    <row r="593" customFormat="false" ht="15" hidden="false" customHeight="true" outlineLevel="0" collapsed="false">
      <c r="A593" s="30" t="s">
        <v>781</v>
      </c>
      <c r="B593" s="31" t="s">
        <v>782</v>
      </c>
      <c r="C593" s="30" t="s">
        <v>437</v>
      </c>
      <c r="D593" s="32" t="n">
        <f aca="false">SUMIF('Libro Diario'!$C$5:$C$504,A593,'Libro Diario'!$F$5:$F$504)</f>
        <v>0</v>
      </c>
      <c r="E593" s="32" t="n">
        <f aca="false">SUMIF('Libro Diario'!$C$5:$C$504,A593,'Libro Diario'!$G$5:$G$504)</f>
        <v>0</v>
      </c>
      <c r="F593" s="32" t="n">
        <f aca="false">IF(D593&gt;=E593,D593-E593,0)</f>
        <v>0</v>
      </c>
      <c r="G593" s="32" t="n">
        <f aca="false">IF(E593&gt;D593,E593-D593,0)</f>
        <v>0</v>
      </c>
    </row>
    <row r="594" customFormat="false" ht="15" hidden="false" customHeight="true" outlineLevel="0" collapsed="false">
      <c r="A594" s="30" t="s">
        <v>783</v>
      </c>
      <c r="B594" s="31" t="s">
        <v>763</v>
      </c>
      <c r="C594" s="30" t="s">
        <v>437</v>
      </c>
      <c r="D594" s="32" t="n">
        <f aca="false">SUMIF('Libro Diario'!$C$5:$C$504,A594,'Libro Diario'!$F$5:$F$504)</f>
        <v>0</v>
      </c>
      <c r="E594" s="32" t="n">
        <f aca="false">SUMIF('Libro Diario'!$C$5:$C$504,A594,'Libro Diario'!$G$5:$G$504)</f>
        <v>0</v>
      </c>
      <c r="F594" s="32" t="n">
        <f aca="false">IF(D594&gt;=E594,D594-E594,0)</f>
        <v>0</v>
      </c>
      <c r="G594" s="32" t="n">
        <f aca="false">IF(E594&gt;D594,E594-D594,0)</f>
        <v>0</v>
      </c>
    </row>
    <row r="595" customFormat="false" ht="15" hidden="false" customHeight="true" outlineLevel="0" collapsed="false">
      <c r="A595" s="30" t="s">
        <v>784</v>
      </c>
      <c r="B595" s="31" t="s">
        <v>374</v>
      </c>
      <c r="C595" s="30" t="s">
        <v>437</v>
      </c>
      <c r="D595" s="32" t="n">
        <f aca="false">SUMIF('Libro Diario'!$C$5:$C$504,A595,'Libro Diario'!$F$5:$F$504)</f>
        <v>0</v>
      </c>
      <c r="E595" s="32" t="n">
        <f aca="false">SUMIF('Libro Diario'!$C$5:$C$504,A595,'Libro Diario'!$G$5:$G$504)</f>
        <v>0</v>
      </c>
      <c r="F595" s="32" t="n">
        <f aca="false">IF(D595&gt;=E595,D595-E595,0)</f>
        <v>0</v>
      </c>
      <c r="G595" s="32" t="n">
        <f aca="false">IF(E595&gt;D595,E595-D595,0)</f>
        <v>0</v>
      </c>
    </row>
    <row r="596" customFormat="false" ht="15" hidden="false" customHeight="true" outlineLevel="0" collapsed="false">
      <c r="A596" s="30" t="s">
        <v>785</v>
      </c>
      <c r="B596" s="31" t="s">
        <v>772</v>
      </c>
      <c r="C596" s="30" t="s">
        <v>437</v>
      </c>
      <c r="D596" s="32" t="n">
        <f aca="false">SUMIF('Libro Diario'!$C$5:$C$504,A596,'Libro Diario'!$F$5:$F$504)</f>
        <v>0</v>
      </c>
      <c r="E596" s="32" t="n">
        <f aca="false">SUMIF('Libro Diario'!$C$5:$C$504,A596,'Libro Diario'!$G$5:$G$504)</f>
        <v>0</v>
      </c>
      <c r="F596" s="32" t="n">
        <f aca="false">IF(D596&gt;=E596,D596-E596,0)</f>
        <v>0</v>
      </c>
      <c r="G596" s="32" t="n">
        <f aca="false">IF(E596&gt;D596,E596-D596,0)</f>
        <v>0</v>
      </c>
    </row>
    <row r="597" customFormat="false" ht="15" hidden="false" customHeight="true" outlineLevel="0" collapsed="false">
      <c r="A597" s="30" t="s">
        <v>786</v>
      </c>
      <c r="B597" s="31" t="s">
        <v>774</v>
      </c>
      <c r="C597" s="30" t="s">
        <v>437</v>
      </c>
      <c r="D597" s="32" t="n">
        <f aca="false">SUMIF('Libro Diario'!$C$5:$C$504,A597,'Libro Diario'!$F$5:$F$504)</f>
        <v>0</v>
      </c>
      <c r="E597" s="32" t="n">
        <f aca="false">SUMIF('Libro Diario'!$C$5:$C$504,A597,'Libro Diario'!$G$5:$G$504)</f>
        <v>0</v>
      </c>
      <c r="F597" s="32" t="n">
        <f aca="false">IF(D597&gt;=E597,D597-E597,0)</f>
        <v>0</v>
      </c>
      <c r="G597" s="32" t="n">
        <f aca="false">IF(E597&gt;D597,E597-D597,0)</f>
        <v>0</v>
      </c>
    </row>
    <row r="598" customFormat="false" ht="15" hidden="false" customHeight="true" outlineLevel="0" collapsed="false">
      <c r="A598" s="30" t="s">
        <v>787</v>
      </c>
      <c r="B598" s="31" t="s">
        <v>381</v>
      </c>
      <c r="C598" s="30" t="s">
        <v>437</v>
      </c>
      <c r="D598" s="32" t="n">
        <f aca="false">SUMIF('Libro Diario'!$C$5:$C$504,A598,'Libro Diario'!$F$5:$F$504)</f>
        <v>0</v>
      </c>
      <c r="E598" s="32" t="n">
        <f aca="false">SUMIF('Libro Diario'!$C$5:$C$504,A598,'Libro Diario'!$G$5:$G$504)</f>
        <v>0</v>
      </c>
      <c r="F598" s="32" t="n">
        <f aca="false">IF(D598&gt;=E598,D598-E598,0)</f>
        <v>0</v>
      </c>
      <c r="G598" s="32" t="n">
        <f aca="false">IF(E598&gt;D598,E598-D598,0)</f>
        <v>0</v>
      </c>
    </row>
    <row r="599" customFormat="false" ht="15" hidden="false" customHeight="true" outlineLevel="0" collapsed="false">
      <c r="A599" s="30" t="s">
        <v>788</v>
      </c>
      <c r="B599" s="31" t="s">
        <v>383</v>
      </c>
      <c r="C599" s="30" t="s">
        <v>437</v>
      </c>
      <c r="D599" s="32" t="n">
        <f aca="false">SUMIF('Libro Diario'!$C$5:$C$504,A599,'Libro Diario'!$F$5:$F$504)</f>
        <v>0</v>
      </c>
      <c r="E599" s="32" t="n">
        <f aca="false">SUMIF('Libro Diario'!$C$5:$C$504,A599,'Libro Diario'!$G$5:$G$504)</f>
        <v>0</v>
      </c>
      <c r="F599" s="32" t="n">
        <f aca="false">IF(D599&gt;=E599,D599-E599,0)</f>
        <v>0</v>
      </c>
      <c r="G599" s="32" t="n">
        <f aca="false">IF(E599&gt;D599,E599-D599,0)</f>
        <v>0</v>
      </c>
    </row>
    <row r="600" customFormat="false" ht="15" hidden="false" customHeight="true" outlineLevel="0" collapsed="false">
      <c r="A600" s="30" t="s">
        <v>789</v>
      </c>
      <c r="B600" s="31" t="s">
        <v>385</v>
      </c>
      <c r="C600" s="30" t="s">
        <v>437</v>
      </c>
      <c r="D600" s="32" t="n">
        <f aca="false">SUMIF('Libro Diario'!$C$5:$C$504,A600,'Libro Diario'!$F$5:$F$504)</f>
        <v>0</v>
      </c>
      <c r="E600" s="32" t="n">
        <f aca="false">SUMIF('Libro Diario'!$C$5:$C$504,A600,'Libro Diario'!$G$5:$G$504)</f>
        <v>0</v>
      </c>
      <c r="F600" s="32" t="n">
        <f aca="false">IF(D600&gt;=E600,D600-E600,0)</f>
        <v>0</v>
      </c>
      <c r="G600" s="32" t="n">
        <f aca="false">IF(E600&gt;D600,E600-D600,0)</f>
        <v>0</v>
      </c>
    </row>
    <row r="601" customFormat="false" ht="15" hidden="false" customHeight="true" outlineLevel="0" collapsed="false">
      <c r="A601" s="30" t="s">
        <v>790</v>
      </c>
      <c r="B601" s="31" t="s">
        <v>387</v>
      </c>
      <c r="C601" s="30" t="s">
        <v>437</v>
      </c>
      <c r="D601" s="32" t="n">
        <f aca="false">SUMIF('Libro Diario'!$C$5:$C$504,A601,'Libro Diario'!$F$5:$F$504)</f>
        <v>0</v>
      </c>
      <c r="E601" s="32" t="n">
        <f aca="false">SUMIF('Libro Diario'!$C$5:$C$504,A601,'Libro Diario'!$G$5:$G$504)</f>
        <v>0</v>
      </c>
      <c r="F601" s="32" t="n">
        <f aca="false">IF(D601&gt;=E601,D601-E601,0)</f>
        <v>0</v>
      </c>
      <c r="G601" s="32" t="n">
        <f aca="false">IF(E601&gt;D601,E601-D601,0)</f>
        <v>0</v>
      </c>
    </row>
    <row r="602" customFormat="false" ht="15" hidden="false" customHeight="true" outlineLevel="0" collapsed="false">
      <c r="A602" s="30" t="s">
        <v>791</v>
      </c>
      <c r="B602" s="31" t="s">
        <v>389</v>
      </c>
      <c r="C602" s="30" t="s">
        <v>437</v>
      </c>
      <c r="D602" s="32" t="n">
        <f aca="false">SUMIF('Libro Diario'!$C$5:$C$504,A602,'Libro Diario'!$F$5:$F$504)</f>
        <v>0</v>
      </c>
      <c r="E602" s="32" t="n">
        <f aca="false">SUMIF('Libro Diario'!$C$5:$C$504,A602,'Libro Diario'!$G$5:$G$504)</f>
        <v>0</v>
      </c>
      <c r="F602" s="32" t="n">
        <f aca="false">IF(D602&gt;=E602,D602-E602,0)</f>
        <v>0</v>
      </c>
      <c r="G602" s="32" t="n">
        <f aca="false">IF(E602&gt;D602,E602-D602,0)</f>
        <v>0</v>
      </c>
    </row>
    <row r="603" customFormat="false" ht="15" hidden="false" customHeight="true" outlineLevel="0" collapsed="false">
      <c r="A603" s="30" t="s">
        <v>792</v>
      </c>
      <c r="B603" s="31" t="s">
        <v>763</v>
      </c>
      <c r="C603" s="30" t="s">
        <v>437</v>
      </c>
      <c r="D603" s="32" t="n">
        <f aca="false">SUMIF('Libro Diario'!$C$5:$C$504,A603,'Libro Diario'!$F$5:$F$504)</f>
        <v>0</v>
      </c>
      <c r="E603" s="32" t="n">
        <f aca="false">SUMIF('Libro Diario'!$C$5:$C$504,A603,'Libro Diario'!$G$5:$G$504)</f>
        <v>0</v>
      </c>
      <c r="F603" s="32" t="n">
        <f aca="false">IF(D603&gt;=E603,D603-E603,0)</f>
        <v>0</v>
      </c>
      <c r="G603" s="32" t="n">
        <f aca="false">IF(E603&gt;D603,E603-D603,0)</f>
        <v>0</v>
      </c>
    </row>
    <row r="604" customFormat="false" ht="15" hidden="false" customHeight="true" outlineLevel="0" collapsed="false">
      <c r="A604" s="30" t="s">
        <v>793</v>
      </c>
      <c r="B604" s="31" t="s">
        <v>374</v>
      </c>
      <c r="C604" s="30" t="s">
        <v>437</v>
      </c>
      <c r="D604" s="32" t="n">
        <f aca="false">SUMIF('Libro Diario'!$C$5:$C$504,A604,'Libro Diario'!$F$5:$F$504)</f>
        <v>0</v>
      </c>
      <c r="E604" s="32" t="n">
        <f aca="false">SUMIF('Libro Diario'!$C$5:$C$504,A604,'Libro Diario'!$G$5:$G$504)</f>
        <v>0</v>
      </c>
      <c r="F604" s="32" t="n">
        <f aca="false">IF(D604&gt;=E604,D604-E604,0)</f>
        <v>0</v>
      </c>
      <c r="G604" s="32" t="n">
        <f aca="false">IF(E604&gt;D604,E604-D604,0)</f>
        <v>0</v>
      </c>
    </row>
    <row r="605" customFormat="false" ht="15" hidden="false" customHeight="true" outlineLevel="0" collapsed="false">
      <c r="A605" s="30" t="s">
        <v>794</v>
      </c>
      <c r="B605" s="31" t="s">
        <v>381</v>
      </c>
      <c r="C605" s="30" t="s">
        <v>437</v>
      </c>
      <c r="D605" s="32" t="n">
        <f aca="false">SUMIF('Libro Diario'!$C$5:$C$504,A605,'Libro Diario'!$F$5:$F$504)</f>
        <v>0</v>
      </c>
      <c r="E605" s="32" t="n">
        <f aca="false">SUMIF('Libro Diario'!$C$5:$C$504,A605,'Libro Diario'!$G$5:$G$504)</f>
        <v>0</v>
      </c>
      <c r="F605" s="32" t="n">
        <f aca="false">IF(D605&gt;=E605,D605-E605,0)</f>
        <v>0</v>
      </c>
      <c r="G605" s="32" t="n">
        <f aca="false">IF(E605&gt;D605,E605-D605,0)</f>
        <v>0</v>
      </c>
    </row>
    <row r="606" customFormat="false" ht="15" hidden="false" customHeight="true" outlineLevel="0" collapsed="false">
      <c r="A606" s="30" t="s">
        <v>795</v>
      </c>
      <c r="B606" s="31" t="s">
        <v>763</v>
      </c>
      <c r="C606" s="30" t="s">
        <v>437</v>
      </c>
      <c r="D606" s="32" t="n">
        <f aca="false">SUMIF('Libro Diario'!$C$5:$C$504,A606,'Libro Diario'!$F$5:$F$504)</f>
        <v>0</v>
      </c>
      <c r="E606" s="32" t="n">
        <f aca="false">SUMIF('Libro Diario'!$C$5:$C$504,A606,'Libro Diario'!$G$5:$G$504)</f>
        <v>0</v>
      </c>
      <c r="F606" s="32" t="n">
        <f aca="false">IF(D606&gt;=E606,D606-E606,0)</f>
        <v>0</v>
      </c>
      <c r="G606" s="32" t="n">
        <f aca="false">IF(E606&gt;D606,E606-D606,0)</f>
        <v>0</v>
      </c>
    </row>
    <row r="607" customFormat="false" ht="15" hidden="false" customHeight="true" outlineLevel="0" collapsed="false">
      <c r="A607" s="30" t="s">
        <v>796</v>
      </c>
      <c r="B607" s="31" t="s">
        <v>391</v>
      </c>
      <c r="C607" s="30" t="s">
        <v>437</v>
      </c>
      <c r="D607" s="32" t="n">
        <f aca="false">SUMIF('Libro Diario'!$C$5:$C$504,A607,'Libro Diario'!$F$5:$F$504)</f>
        <v>0</v>
      </c>
      <c r="E607" s="32" t="n">
        <f aca="false">SUMIF('Libro Diario'!$C$5:$C$504,A607,'Libro Diario'!$G$5:$G$504)</f>
        <v>0</v>
      </c>
      <c r="F607" s="32" t="n">
        <f aca="false">IF(D607&gt;=E607,D607-E607,0)</f>
        <v>0</v>
      </c>
      <c r="G607" s="32" t="n">
        <f aca="false">IF(E607&gt;D607,E607-D607,0)</f>
        <v>0</v>
      </c>
    </row>
    <row r="608" customFormat="false" ht="15" hidden="false" customHeight="true" outlineLevel="0" collapsed="false">
      <c r="A608" s="30" t="s">
        <v>797</v>
      </c>
      <c r="B608" s="31" t="s">
        <v>393</v>
      </c>
      <c r="C608" s="30" t="s">
        <v>437</v>
      </c>
      <c r="D608" s="32" t="n">
        <f aca="false">SUMIF('Libro Diario'!$C$5:$C$504,A608,'Libro Diario'!$F$5:$F$504)</f>
        <v>0</v>
      </c>
      <c r="E608" s="32" t="n">
        <f aca="false">SUMIF('Libro Diario'!$C$5:$C$504,A608,'Libro Diario'!$G$5:$G$504)</f>
        <v>0</v>
      </c>
      <c r="F608" s="32" t="n">
        <f aca="false">IF(D608&gt;=E608,D608-E608,0)</f>
        <v>0</v>
      </c>
      <c r="G608" s="32" t="n">
        <f aca="false">IF(E608&gt;D608,E608-D608,0)</f>
        <v>0</v>
      </c>
    </row>
    <row r="609" customFormat="false" ht="15" hidden="false" customHeight="true" outlineLevel="0" collapsed="false">
      <c r="A609" s="30" t="s">
        <v>798</v>
      </c>
      <c r="B609" s="31" t="s">
        <v>395</v>
      </c>
      <c r="C609" s="30" t="s">
        <v>437</v>
      </c>
      <c r="D609" s="32" t="n">
        <f aca="false">SUMIF('Libro Diario'!$C$5:$C$504,A609,'Libro Diario'!$F$5:$F$504)</f>
        <v>0</v>
      </c>
      <c r="E609" s="32" t="n">
        <f aca="false">SUMIF('Libro Diario'!$C$5:$C$504,A609,'Libro Diario'!$G$5:$G$504)</f>
        <v>0</v>
      </c>
      <c r="F609" s="32" t="n">
        <f aca="false">IF(D609&gt;=E609,D609-E609,0)</f>
        <v>0</v>
      </c>
      <c r="G609" s="32" t="n">
        <f aca="false">IF(E609&gt;D609,E609-D609,0)</f>
        <v>0</v>
      </c>
    </row>
    <row r="610" customFormat="false" ht="15" hidden="false" customHeight="true" outlineLevel="0" collapsed="false">
      <c r="A610" s="30" t="s">
        <v>799</v>
      </c>
      <c r="B610" s="31" t="s">
        <v>397</v>
      </c>
      <c r="C610" s="30" t="s">
        <v>437</v>
      </c>
      <c r="D610" s="32" t="n">
        <f aca="false">SUMIF('Libro Diario'!$C$5:$C$504,A610,'Libro Diario'!$F$5:$F$504)</f>
        <v>0</v>
      </c>
      <c r="E610" s="32" t="n">
        <f aca="false">SUMIF('Libro Diario'!$C$5:$C$504,A610,'Libro Diario'!$G$5:$G$504)</f>
        <v>0</v>
      </c>
      <c r="F610" s="32" t="n">
        <f aca="false">IF(D610&gt;=E610,D610-E610,0)</f>
        <v>0</v>
      </c>
      <c r="G610" s="32" t="n">
        <f aca="false">IF(E610&gt;D610,E610-D610,0)</f>
        <v>0</v>
      </c>
    </row>
    <row r="611" customFormat="false" ht="15" hidden="false" customHeight="true" outlineLevel="0" collapsed="false">
      <c r="A611" s="30" t="s">
        <v>800</v>
      </c>
      <c r="B611" s="31" t="s">
        <v>399</v>
      </c>
      <c r="C611" s="30" t="s">
        <v>437</v>
      </c>
      <c r="D611" s="32" t="n">
        <f aca="false">SUMIF('Libro Diario'!$C$5:$C$504,A611,'Libro Diario'!$F$5:$F$504)</f>
        <v>0</v>
      </c>
      <c r="E611" s="32" t="n">
        <f aca="false">SUMIF('Libro Diario'!$C$5:$C$504,A611,'Libro Diario'!$G$5:$G$504)</f>
        <v>0</v>
      </c>
      <c r="F611" s="32" t="n">
        <f aca="false">IF(D611&gt;=E611,D611-E611,0)</f>
        <v>0</v>
      </c>
      <c r="G611" s="32" t="n">
        <f aca="false">IF(E611&gt;D611,E611-D611,0)</f>
        <v>0</v>
      </c>
    </row>
    <row r="612" customFormat="false" ht="15" hidden="false" customHeight="true" outlineLevel="0" collapsed="false">
      <c r="A612" s="30" t="s">
        <v>801</v>
      </c>
      <c r="B612" s="31" t="s">
        <v>401</v>
      </c>
      <c r="C612" s="30" t="s">
        <v>437</v>
      </c>
      <c r="D612" s="32" t="n">
        <f aca="false">SUMIF('Libro Diario'!$C$5:$C$504,A612,'Libro Diario'!$F$5:$F$504)</f>
        <v>0</v>
      </c>
      <c r="E612" s="32" t="n">
        <f aca="false">SUMIF('Libro Diario'!$C$5:$C$504,A612,'Libro Diario'!$G$5:$G$504)</f>
        <v>0</v>
      </c>
      <c r="F612" s="32" t="n">
        <f aca="false">IF(D612&gt;=E612,D612-E612,0)</f>
        <v>0</v>
      </c>
      <c r="G612" s="32" t="n">
        <f aca="false">IF(E612&gt;D612,E612-D612,0)</f>
        <v>0</v>
      </c>
    </row>
    <row r="613" customFormat="false" ht="15" hidden="false" customHeight="true" outlineLevel="0" collapsed="false">
      <c r="A613" s="30" t="s">
        <v>802</v>
      </c>
      <c r="B613" s="31" t="s">
        <v>391</v>
      </c>
      <c r="C613" s="30" t="s">
        <v>437</v>
      </c>
      <c r="D613" s="32" t="n">
        <f aca="false">SUMIF('Libro Diario'!$C$5:$C$504,A613,'Libro Diario'!$F$5:$F$504)</f>
        <v>0</v>
      </c>
      <c r="E613" s="32" t="n">
        <f aca="false">SUMIF('Libro Diario'!$C$5:$C$504,A613,'Libro Diario'!$G$5:$G$504)</f>
        <v>0</v>
      </c>
      <c r="F613" s="32" t="n">
        <f aca="false">IF(D613&gt;=E613,D613-E613,0)</f>
        <v>0</v>
      </c>
      <c r="G613" s="32" t="n">
        <f aca="false">IF(E613&gt;D613,E613-D613,0)</f>
        <v>0</v>
      </c>
    </row>
    <row r="614" customFormat="false" ht="15" hidden="false" customHeight="true" outlineLevel="0" collapsed="false">
      <c r="A614" s="30" t="s">
        <v>803</v>
      </c>
      <c r="B614" s="31" t="s">
        <v>393</v>
      </c>
      <c r="C614" s="30" t="s">
        <v>437</v>
      </c>
      <c r="D614" s="32" t="n">
        <f aca="false">SUMIF('Libro Diario'!$C$5:$C$504,A614,'Libro Diario'!$F$5:$F$504)</f>
        <v>0</v>
      </c>
      <c r="E614" s="32" t="n">
        <f aca="false">SUMIF('Libro Diario'!$C$5:$C$504,A614,'Libro Diario'!$G$5:$G$504)</f>
        <v>0</v>
      </c>
      <c r="F614" s="32" t="n">
        <f aca="false">IF(D614&gt;=E614,D614-E614,0)</f>
        <v>0</v>
      </c>
      <c r="G614" s="32" t="n">
        <f aca="false">IF(E614&gt;D614,E614-D614,0)</f>
        <v>0</v>
      </c>
    </row>
    <row r="615" customFormat="false" ht="15" hidden="false" customHeight="true" outlineLevel="0" collapsed="false">
      <c r="A615" s="30" t="s">
        <v>804</v>
      </c>
      <c r="B615" s="31" t="s">
        <v>395</v>
      </c>
      <c r="C615" s="30" t="s">
        <v>437</v>
      </c>
      <c r="D615" s="32" t="n">
        <f aca="false">SUMIF('Libro Diario'!$C$5:$C$504,A615,'Libro Diario'!$F$5:$F$504)</f>
        <v>0</v>
      </c>
      <c r="E615" s="32" t="n">
        <f aca="false">SUMIF('Libro Diario'!$C$5:$C$504,A615,'Libro Diario'!$G$5:$G$504)</f>
        <v>0</v>
      </c>
      <c r="F615" s="32" t="n">
        <f aca="false">IF(D615&gt;=E615,D615-E615,0)</f>
        <v>0</v>
      </c>
      <c r="G615" s="32" t="n">
        <f aca="false">IF(E615&gt;D615,E615-D615,0)</f>
        <v>0</v>
      </c>
    </row>
    <row r="616" customFormat="false" ht="15" hidden="false" customHeight="true" outlineLevel="0" collapsed="false">
      <c r="A616" s="30" t="s">
        <v>805</v>
      </c>
      <c r="B616" s="31" t="s">
        <v>397</v>
      </c>
      <c r="C616" s="30" t="s">
        <v>437</v>
      </c>
      <c r="D616" s="32" t="n">
        <f aca="false">SUMIF('Libro Diario'!$C$5:$C$504,A616,'Libro Diario'!$F$5:$F$504)</f>
        <v>0</v>
      </c>
      <c r="E616" s="32" t="n">
        <f aca="false">SUMIF('Libro Diario'!$C$5:$C$504,A616,'Libro Diario'!$G$5:$G$504)</f>
        <v>0</v>
      </c>
      <c r="F616" s="32" t="n">
        <f aca="false">IF(D616&gt;=E616,D616-E616,0)</f>
        <v>0</v>
      </c>
      <c r="G616" s="32" t="n">
        <f aca="false">IF(E616&gt;D616,E616-D616,0)</f>
        <v>0</v>
      </c>
    </row>
    <row r="617" customFormat="false" ht="15" hidden="false" customHeight="true" outlineLevel="0" collapsed="false">
      <c r="A617" s="30" t="s">
        <v>806</v>
      </c>
      <c r="B617" s="31" t="s">
        <v>399</v>
      </c>
      <c r="C617" s="30" t="s">
        <v>437</v>
      </c>
      <c r="D617" s="32" t="n">
        <f aca="false">SUMIF('Libro Diario'!$C$5:$C$504,A617,'Libro Diario'!$F$5:$F$504)</f>
        <v>0</v>
      </c>
      <c r="E617" s="32" t="n">
        <f aca="false">SUMIF('Libro Diario'!$C$5:$C$504,A617,'Libro Diario'!$G$5:$G$504)</f>
        <v>0</v>
      </c>
      <c r="F617" s="32" t="n">
        <f aca="false">IF(D617&gt;=E617,D617-E617,0)</f>
        <v>0</v>
      </c>
      <c r="G617" s="32" t="n">
        <f aca="false">IF(E617&gt;D617,E617-D617,0)</f>
        <v>0</v>
      </c>
    </row>
    <row r="618" customFormat="false" ht="15" hidden="false" customHeight="true" outlineLevel="0" collapsed="false">
      <c r="A618" s="30" t="s">
        <v>807</v>
      </c>
      <c r="B618" s="31" t="s">
        <v>401</v>
      </c>
      <c r="C618" s="30" t="s">
        <v>437</v>
      </c>
      <c r="D618" s="32" t="n">
        <f aca="false">SUMIF('Libro Diario'!$C$5:$C$504,A618,'Libro Diario'!$F$5:$F$504)</f>
        <v>0</v>
      </c>
      <c r="E618" s="32" t="n">
        <f aca="false">SUMIF('Libro Diario'!$C$5:$C$504,A618,'Libro Diario'!$G$5:$G$504)</f>
        <v>0</v>
      </c>
      <c r="F618" s="32" t="n">
        <f aca="false">IF(D618&gt;=E618,D618-E618,0)</f>
        <v>0</v>
      </c>
      <c r="G618" s="32" t="n">
        <f aca="false">IF(E618&gt;D618,E618-D618,0)</f>
        <v>0</v>
      </c>
    </row>
    <row r="619" customFormat="false" ht="15" hidden="false" customHeight="true" outlineLevel="0" collapsed="false">
      <c r="A619" s="30" t="s">
        <v>808</v>
      </c>
      <c r="B619" s="31" t="s">
        <v>809</v>
      </c>
      <c r="C619" s="30" t="s">
        <v>437</v>
      </c>
      <c r="D619" s="32" t="n">
        <f aca="false">SUMIF('Libro Diario'!$C$5:$C$504,A619,'Libro Diario'!$F$5:$F$504)</f>
        <v>0</v>
      </c>
      <c r="E619" s="32" t="n">
        <f aca="false">SUMIF('Libro Diario'!$C$5:$C$504,A619,'Libro Diario'!$G$5:$G$504)</f>
        <v>0</v>
      </c>
      <c r="F619" s="32" t="n">
        <f aca="false">IF(D619&gt;=E619,D619-E619,0)</f>
        <v>0</v>
      </c>
      <c r="G619" s="32" t="n">
        <f aca="false">IF(E619&gt;D619,E619-D619,0)</f>
        <v>0</v>
      </c>
    </row>
    <row r="620" customFormat="false" ht="15" hidden="false" customHeight="true" outlineLevel="0" collapsed="false">
      <c r="A620" s="30" t="s">
        <v>810</v>
      </c>
      <c r="B620" s="31" t="s">
        <v>811</v>
      </c>
      <c r="C620" s="30" t="s">
        <v>437</v>
      </c>
      <c r="D620" s="32" t="n">
        <f aca="false">SUMIF('Libro Diario'!$C$5:$C$504,A620,'Libro Diario'!$F$5:$F$504)</f>
        <v>0</v>
      </c>
      <c r="E620" s="32" t="n">
        <f aca="false">SUMIF('Libro Diario'!$C$5:$C$504,A620,'Libro Diario'!$G$5:$G$504)</f>
        <v>0</v>
      </c>
      <c r="F620" s="32" t="n">
        <f aca="false">IF(D620&gt;=E620,D620-E620,0)</f>
        <v>0</v>
      </c>
      <c r="G620" s="32" t="n">
        <f aca="false">IF(E620&gt;D620,E620-D620,0)</f>
        <v>0</v>
      </c>
    </row>
    <row r="621" customFormat="false" ht="15" hidden="false" customHeight="true" outlineLevel="0" collapsed="false">
      <c r="A621" s="30" t="s">
        <v>812</v>
      </c>
      <c r="B621" s="31" t="s">
        <v>813</v>
      </c>
      <c r="C621" s="30" t="s">
        <v>437</v>
      </c>
      <c r="D621" s="32" t="n">
        <f aca="false">SUMIF('Libro Diario'!$C$5:$C$504,A621,'Libro Diario'!$F$5:$F$504)</f>
        <v>0</v>
      </c>
      <c r="E621" s="32" t="n">
        <f aca="false">SUMIF('Libro Diario'!$C$5:$C$504,A621,'Libro Diario'!$G$5:$G$504)</f>
        <v>0</v>
      </c>
      <c r="F621" s="32" t="n">
        <f aca="false">IF(D621&gt;=E621,D621-E621,0)</f>
        <v>0</v>
      </c>
      <c r="G621" s="32" t="n">
        <f aca="false">IF(E621&gt;D621,E621-D621,0)</f>
        <v>0</v>
      </c>
    </row>
    <row r="622" customFormat="false" ht="15" hidden="false" customHeight="true" outlineLevel="0" collapsed="false">
      <c r="A622" s="30" t="s">
        <v>814</v>
      </c>
      <c r="B622" s="31" t="s">
        <v>403</v>
      </c>
      <c r="C622" s="30" t="s">
        <v>437</v>
      </c>
      <c r="D622" s="32" t="n">
        <f aca="false">SUMIF('Libro Diario'!$C$5:$C$504,A622,'Libro Diario'!$F$5:$F$504)</f>
        <v>0</v>
      </c>
      <c r="E622" s="32" t="n">
        <f aca="false">SUMIF('Libro Diario'!$C$5:$C$504,A622,'Libro Diario'!$G$5:$G$504)</f>
        <v>0</v>
      </c>
      <c r="F622" s="32" t="n">
        <f aca="false">IF(D622&gt;=E622,D622-E622,0)</f>
        <v>0</v>
      </c>
      <c r="G622" s="32" t="n">
        <f aca="false">IF(E622&gt;D622,E622-D622,0)</f>
        <v>0</v>
      </c>
    </row>
    <row r="623" customFormat="false" ht="15" hidden="false" customHeight="true" outlineLevel="0" collapsed="false">
      <c r="A623" s="30" t="s">
        <v>815</v>
      </c>
      <c r="B623" s="31" t="s">
        <v>816</v>
      </c>
      <c r="C623" s="30" t="s">
        <v>817</v>
      </c>
      <c r="D623" s="32" t="n">
        <f aca="false">SUMIF('Libro Diario'!$C$5:$C$504,A623,'Libro Diario'!$F$5:$F$504)</f>
        <v>0</v>
      </c>
      <c r="E623" s="32" t="n">
        <f aca="false">SUMIF('Libro Diario'!$C$5:$C$504,A623,'Libro Diario'!$G$5:$G$504)</f>
        <v>0</v>
      </c>
      <c r="F623" s="32" t="n">
        <f aca="false">IF(D623&gt;=E623,D623-E623,0)</f>
        <v>0</v>
      </c>
      <c r="G623" s="32" t="n">
        <f aca="false">IF(E623&gt;D623,E623-D623,0)</f>
        <v>0</v>
      </c>
    </row>
    <row r="624" customFormat="false" ht="15" hidden="false" customHeight="true" outlineLevel="0" collapsed="false">
      <c r="A624" s="30" t="s">
        <v>818</v>
      </c>
      <c r="B624" s="31" t="s">
        <v>819</v>
      </c>
      <c r="C624" s="30" t="s">
        <v>817</v>
      </c>
      <c r="D624" s="32" t="n">
        <f aca="false">SUMIF('Libro Diario'!$C$5:$C$504,A624,'Libro Diario'!$F$5:$F$504)</f>
        <v>0</v>
      </c>
      <c r="E624" s="32" t="n">
        <f aca="false">SUMIF('Libro Diario'!$C$5:$C$504,A624,'Libro Diario'!$G$5:$G$504)</f>
        <v>0</v>
      </c>
      <c r="F624" s="32" t="n">
        <f aca="false">IF(D624&gt;=E624,D624-E624,0)</f>
        <v>0</v>
      </c>
      <c r="G624" s="32" t="n">
        <f aca="false">IF(E624&gt;D624,E624-D624,0)</f>
        <v>0</v>
      </c>
    </row>
    <row r="625" customFormat="false" ht="15" hidden="false" customHeight="true" outlineLevel="0" collapsed="false">
      <c r="A625" s="30" t="s">
        <v>820</v>
      </c>
      <c r="B625" s="31" t="s">
        <v>821</v>
      </c>
      <c r="C625" s="30" t="s">
        <v>817</v>
      </c>
      <c r="D625" s="32" t="n">
        <f aca="false">SUMIF('Libro Diario'!$C$5:$C$504,A625,'Libro Diario'!$F$5:$F$504)</f>
        <v>0</v>
      </c>
      <c r="E625" s="32" t="n">
        <f aca="false">SUMIF('Libro Diario'!$C$5:$C$504,A625,'Libro Diario'!$G$5:$G$504)</f>
        <v>0</v>
      </c>
      <c r="F625" s="32" t="n">
        <f aca="false">IF(D625&gt;=E625,D625-E625,0)</f>
        <v>0</v>
      </c>
      <c r="G625" s="32" t="n">
        <f aca="false">IF(E625&gt;D625,E625-D625,0)</f>
        <v>0</v>
      </c>
    </row>
    <row r="626" customFormat="false" ht="15" hidden="false" customHeight="true" outlineLevel="0" collapsed="false">
      <c r="A626" s="30" t="s">
        <v>822</v>
      </c>
      <c r="B626" s="31" t="s">
        <v>823</v>
      </c>
      <c r="C626" s="30" t="s">
        <v>817</v>
      </c>
      <c r="D626" s="32" t="n">
        <f aca="false">SUMIF('Libro Diario'!$C$5:$C$504,A626,'Libro Diario'!$F$5:$F$504)</f>
        <v>0</v>
      </c>
      <c r="E626" s="32" t="n">
        <f aca="false">SUMIF('Libro Diario'!$C$5:$C$504,A626,'Libro Diario'!$G$5:$G$504)</f>
        <v>0</v>
      </c>
      <c r="F626" s="32" t="n">
        <f aca="false">IF(D626&gt;=E626,D626-E626,0)</f>
        <v>0</v>
      </c>
      <c r="G626" s="32" t="n">
        <f aca="false">IF(E626&gt;D626,E626-D626,0)</f>
        <v>0</v>
      </c>
    </row>
    <row r="627" customFormat="false" ht="15" hidden="false" customHeight="true" outlineLevel="0" collapsed="false">
      <c r="A627" s="30" t="s">
        <v>824</v>
      </c>
      <c r="B627" s="31" t="s">
        <v>825</v>
      </c>
      <c r="C627" s="30" t="s">
        <v>817</v>
      </c>
      <c r="D627" s="32" t="n">
        <f aca="false">SUMIF('Libro Diario'!$C$5:$C$504,A627,'Libro Diario'!$F$5:$F$504)</f>
        <v>0</v>
      </c>
      <c r="E627" s="32" t="n">
        <f aca="false">SUMIF('Libro Diario'!$C$5:$C$504,A627,'Libro Diario'!$G$5:$G$504)</f>
        <v>0</v>
      </c>
      <c r="F627" s="32" t="n">
        <f aca="false">IF(D627&gt;=E627,D627-E627,0)</f>
        <v>0</v>
      </c>
      <c r="G627" s="32" t="n">
        <f aca="false">IF(E627&gt;D627,E627-D627,0)</f>
        <v>0</v>
      </c>
    </row>
    <row r="628" customFormat="false" ht="15" hidden="false" customHeight="true" outlineLevel="0" collapsed="false">
      <c r="A628" s="30" t="s">
        <v>826</v>
      </c>
      <c r="B628" s="31" t="s">
        <v>827</v>
      </c>
      <c r="C628" s="30" t="s">
        <v>817</v>
      </c>
      <c r="D628" s="32" t="n">
        <f aca="false">SUMIF('Libro Diario'!$C$5:$C$504,A628,'Libro Diario'!$F$5:$F$504)</f>
        <v>0</v>
      </c>
      <c r="E628" s="32" t="n">
        <f aca="false">SUMIF('Libro Diario'!$C$5:$C$504,A628,'Libro Diario'!$G$5:$G$504)</f>
        <v>0</v>
      </c>
      <c r="F628" s="32" t="n">
        <f aca="false">IF(D628&gt;=E628,D628-E628,0)</f>
        <v>0</v>
      </c>
      <c r="G628" s="32" t="n">
        <f aca="false">IF(E628&gt;D628,E628-D628,0)</f>
        <v>0</v>
      </c>
    </row>
    <row r="629" customFormat="false" ht="15" hidden="false" customHeight="true" outlineLevel="0" collapsed="false">
      <c r="A629" s="30" t="s">
        <v>828</v>
      </c>
      <c r="B629" s="31" t="s">
        <v>829</v>
      </c>
      <c r="C629" s="30" t="s">
        <v>817</v>
      </c>
      <c r="D629" s="32" t="n">
        <f aca="false">SUMIF('Libro Diario'!$C$5:$C$504,A629,'Libro Diario'!$F$5:$F$504)</f>
        <v>0</v>
      </c>
      <c r="E629" s="32" t="n">
        <f aca="false">SUMIF('Libro Diario'!$C$5:$C$504,A629,'Libro Diario'!$G$5:$G$504)</f>
        <v>0</v>
      </c>
      <c r="F629" s="32" t="n">
        <f aca="false">IF(D629&gt;=E629,D629-E629,0)</f>
        <v>0</v>
      </c>
      <c r="G629" s="32" t="n">
        <f aca="false">IF(E629&gt;D629,E629-D629,0)</f>
        <v>0</v>
      </c>
    </row>
    <row r="630" customFormat="false" ht="15" hidden="false" customHeight="true" outlineLevel="0" collapsed="false">
      <c r="A630" s="30" t="s">
        <v>830</v>
      </c>
      <c r="B630" s="31" t="s">
        <v>831</v>
      </c>
      <c r="C630" s="30" t="s">
        <v>817</v>
      </c>
      <c r="D630" s="32" t="n">
        <f aca="false">SUMIF('Libro Diario'!$C$5:$C$504,A630,'Libro Diario'!$F$5:$F$504)</f>
        <v>0</v>
      </c>
      <c r="E630" s="32" t="n">
        <f aca="false">SUMIF('Libro Diario'!$C$5:$C$504,A630,'Libro Diario'!$G$5:$G$504)</f>
        <v>0</v>
      </c>
      <c r="F630" s="32" t="n">
        <f aca="false">IF(D630&gt;=E630,D630-E630,0)</f>
        <v>0</v>
      </c>
      <c r="G630" s="32" t="n">
        <f aca="false">IF(E630&gt;D630,E630-D630,0)</f>
        <v>0</v>
      </c>
    </row>
    <row r="631" customFormat="false" ht="15" hidden="false" customHeight="true" outlineLevel="0" collapsed="false">
      <c r="A631" s="30" t="s">
        <v>832</v>
      </c>
      <c r="B631" s="31" t="s">
        <v>833</v>
      </c>
      <c r="C631" s="30" t="s">
        <v>817</v>
      </c>
      <c r="D631" s="32" t="n">
        <f aca="false">SUMIF('Libro Diario'!$C$5:$C$504,A631,'Libro Diario'!$F$5:$F$504)</f>
        <v>0</v>
      </c>
      <c r="E631" s="32" t="n">
        <f aca="false">SUMIF('Libro Diario'!$C$5:$C$504,A631,'Libro Diario'!$G$5:$G$504)</f>
        <v>0</v>
      </c>
      <c r="F631" s="32" t="n">
        <f aca="false">IF(D631&gt;=E631,D631-E631,0)</f>
        <v>0</v>
      </c>
      <c r="G631" s="32" t="n">
        <f aca="false">IF(E631&gt;D631,E631-D631,0)</f>
        <v>0</v>
      </c>
    </row>
    <row r="632" customFormat="false" ht="15" hidden="false" customHeight="true" outlineLevel="0" collapsed="false">
      <c r="A632" s="30" t="s">
        <v>834</v>
      </c>
      <c r="B632" s="31" t="s">
        <v>835</v>
      </c>
      <c r="C632" s="30" t="s">
        <v>817</v>
      </c>
      <c r="D632" s="32" t="n">
        <f aca="false">SUMIF('Libro Diario'!$C$5:$C$504,A632,'Libro Diario'!$F$5:$F$504)</f>
        <v>0</v>
      </c>
      <c r="E632" s="32" t="n">
        <f aca="false">SUMIF('Libro Diario'!$C$5:$C$504,A632,'Libro Diario'!$G$5:$G$504)</f>
        <v>0</v>
      </c>
      <c r="F632" s="32" t="n">
        <f aca="false">IF(D632&gt;=E632,D632-E632,0)</f>
        <v>0</v>
      </c>
      <c r="G632" s="32" t="n">
        <f aca="false">IF(E632&gt;D632,E632-D632,0)</f>
        <v>0</v>
      </c>
    </row>
    <row r="633" customFormat="false" ht="15" hidden="false" customHeight="true" outlineLevel="0" collapsed="false">
      <c r="A633" s="30" t="s">
        <v>836</v>
      </c>
      <c r="B633" s="31" t="s">
        <v>837</v>
      </c>
      <c r="C633" s="30" t="s">
        <v>817</v>
      </c>
      <c r="D633" s="32" t="n">
        <f aca="false">SUMIF('Libro Diario'!$C$5:$C$504,A633,'Libro Diario'!$F$5:$F$504)</f>
        <v>0</v>
      </c>
      <c r="E633" s="32" t="n">
        <f aca="false">SUMIF('Libro Diario'!$C$5:$C$504,A633,'Libro Diario'!$G$5:$G$504)</f>
        <v>0</v>
      </c>
      <c r="F633" s="32" t="n">
        <f aca="false">IF(D633&gt;=E633,D633-E633,0)</f>
        <v>0</v>
      </c>
      <c r="G633" s="32" t="n">
        <f aca="false">IF(E633&gt;D633,E633-D633,0)</f>
        <v>0</v>
      </c>
    </row>
    <row r="634" customFormat="false" ht="15" hidden="false" customHeight="true" outlineLevel="0" collapsed="false">
      <c r="A634" s="30" t="s">
        <v>838</v>
      </c>
      <c r="B634" s="31" t="s">
        <v>839</v>
      </c>
      <c r="C634" s="30" t="s">
        <v>817</v>
      </c>
      <c r="D634" s="32" t="n">
        <f aca="false">SUMIF('Libro Diario'!$C$5:$C$504,A634,'Libro Diario'!$F$5:$F$504)</f>
        <v>0</v>
      </c>
      <c r="E634" s="32" t="n">
        <f aca="false">SUMIF('Libro Diario'!$C$5:$C$504,A634,'Libro Diario'!$G$5:$G$504)</f>
        <v>0</v>
      </c>
      <c r="F634" s="32" t="n">
        <f aca="false">IF(D634&gt;=E634,D634-E634,0)</f>
        <v>0</v>
      </c>
      <c r="G634" s="32" t="n">
        <f aca="false">IF(E634&gt;D634,E634-D634,0)</f>
        <v>0</v>
      </c>
    </row>
    <row r="635" customFormat="false" ht="15" hidden="false" customHeight="true" outlineLevel="0" collapsed="false">
      <c r="A635" s="30" t="s">
        <v>840</v>
      </c>
      <c r="B635" s="31" t="s">
        <v>841</v>
      </c>
      <c r="C635" s="30" t="s">
        <v>817</v>
      </c>
      <c r="D635" s="32" t="n">
        <f aca="false">SUMIF('Libro Diario'!$C$5:$C$504,A635,'Libro Diario'!$F$5:$F$504)</f>
        <v>0</v>
      </c>
      <c r="E635" s="32" t="n">
        <f aca="false">SUMIF('Libro Diario'!$C$5:$C$504,A635,'Libro Diario'!$G$5:$G$504)</f>
        <v>0</v>
      </c>
      <c r="F635" s="32" t="n">
        <f aca="false">IF(D635&gt;=E635,D635-E635,0)</f>
        <v>0</v>
      </c>
      <c r="G635" s="32" t="n">
        <f aca="false">IF(E635&gt;D635,E635-D635,0)</f>
        <v>0</v>
      </c>
    </row>
    <row r="636" customFormat="false" ht="15" hidden="false" customHeight="true" outlineLevel="0" collapsed="false">
      <c r="A636" s="30" t="s">
        <v>842</v>
      </c>
      <c r="B636" s="31" t="s">
        <v>843</v>
      </c>
      <c r="C636" s="30" t="s">
        <v>817</v>
      </c>
      <c r="D636" s="32" t="n">
        <f aca="false">SUMIF('Libro Diario'!$C$5:$C$504,A636,'Libro Diario'!$F$5:$F$504)</f>
        <v>0</v>
      </c>
      <c r="E636" s="32" t="n">
        <f aca="false">SUMIF('Libro Diario'!$C$5:$C$504,A636,'Libro Diario'!$G$5:$G$504)</f>
        <v>0</v>
      </c>
      <c r="F636" s="32" t="n">
        <f aca="false">IF(D636&gt;=E636,D636-E636,0)</f>
        <v>0</v>
      </c>
      <c r="G636" s="32" t="n">
        <f aca="false">IF(E636&gt;D636,E636-D636,0)</f>
        <v>0</v>
      </c>
    </row>
    <row r="637" customFormat="false" ht="15" hidden="false" customHeight="true" outlineLevel="0" collapsed="false">
      <c r="A637" s="30" t="s">
        <v>844</v>
      </c>
      <c r="B637" s="31" t="s">
        <v>845</v>
      </c>
      <c r="C637" s="30" t="s">
        <v>817</v>
      </c>
      <c r="D637" s="32" t="n">
        <f aca="false">SUMIF('Libro Diario'!$C$5:$C$504,A637,'Libro Diario'!$F$5:$F$504)</f>
        <v>0</v>
      </c>
      <c r="E637" s="32" t="n">
        <f aca="false">SUMIF('Libro Diario'!$C$5:$C$504,A637,'Libro Diario'!$G$5:$G$504)</f>
        <v>0</v>
      </c>
      <c r="F637" s="32" t="n">
        <f aca="false">IF(D637&gt;=E637,D637-E637,0)</f>
        <v>0</v>
      </c>
      <c r="G637" s="32" t="n">
        <f aca="false">IF(E637&gt;D637,E637-D637,0)</f>
        <v>0</v>
      </c>
    </row>
    <row r="638" customFormat="false" ht="15" hidden="false" customHeight="true" outlineLevel="0" collapsed="false">
      <c r="A638" s="30" t="s">
        <v>846</v>
      </c>
      <c r="B638" s="31" t="s">
        <v>847</v>
      </c>
      <c r="C638" s="30" t="s">
        <v>817</v>
      </c>
      <c r="D638" s="32" t="n">
        <f aca="false">SUMIF('Libro Diario'!$C$5:$C$504,A638,'Libro Diario'!$F$5:$F$504)</f>
        <v>0</v>
      </c>
      <c r="E638" s="32" t="n">
        <f aca="false">SUMIF('Libro Diario'!$C$5:$C$504,A638,'Libro Diario'!$G$5:$G$504)</f>
        <v>0</v>
      </c>
      <c r="F638" s="32" t="n">
        <f aca="false">IF(D638&gt;=E638,D638-E638,0)</f>
        <v>0</v>
      </c>
      <c r="G638" s="32" t="n">
        <f aca="false">IF(E638&gt;D638,E638-D638,0)</f>
        <v>0</v>
      </c>
    </row>
    <row r="639" customFormat="false" ht="15" hidden="false" customHeight="true" outlineLevel="0" collapsed="false">
      <c r="A639" s="30" t="s">
        <v>848</v>
      </c>
      <c r="B639" s="31" t="s">
        <v>849</v>
      </c>
      <c r="C639" s="30" t="s">
        <v>817</v>
      </c>
      <c r="D639" s="32" t="n">
        <f aca="false">SUMIF('Libro Diario'!$C$5:$C$504,A639,'Libro Diario'!$F$5:$F$504)</f>
        <v>0</v>
      </c>
      <c r="E639" s="32" t="n">
        <f aca="false">SUMIF('Libro Diario'!$C$5:$C$504,A639,'Libro Diario'!$G$5:$G$504)</f>
        <v>0</v>
      </c>
      <c r="F639" s="32" t="n">
        <f aca="false">IF(D639&gt;=E639,D639-E639,0)</f>
        <v>0</v>
      </c>
      <c r="G639" s="32" t="n">
        <f aca="false">IF(E639&gt;D639,E639-D639,0)</f>
        <v>0</v>
      </c>
    </row>
    <row r="640" customFormat="false" ht="15" hidden="false" customHeight="true" outlineLevel="0" collapsed="false">
      <c r="A640" s="30" t="s">
        <v>850</v>
      </c>
      <c r="B640" s="31" t="s">
        <v>851</v>
      </c>
      <c r="C640" s="30" t="s">
        <v>817</v>
      </c>
      <c r="D640" s="32" t="n">
        <f aca="false">SUMIF('Libro Diario'!$C$5:$C$504,A640,'Libro Diario'!$F$5:$F$504)</f>
        <v>0</v>
      </c>
      <c r="E640" s="32" t="n">
        <f aca="false">SUMIF('Libro Diario'!$C$5:$C$504,A640,'Libro Diario'!$G$5:$G$504)</f>
        <v>0</v>
      </c>
      <c r="F640" s="32" t="n">
        <f aca="false">IF(D640&gt;=E640,D640-E640,0)</f>
        <v>0</v>
      </c>
      <c r="G640" s="32" t="n">
        <f aca="false">IF(E640&gt;D640,E640-D640,0)</f>
        <v>0</v>
      </c>
    </row>
    <row r="641" customFormat="false" ht="15" hidden="false" customHeight="true" outlineLevel="0" collapsed="false">
      <c r="A641" s="30" t="s">
        <v>852</v>
      </c>
      <c r="B641" s="31" t="s">
        <v>140</v>
      </c>
      <c r="C641" s="30" t="s">
        <v>817</v>
      </c>
      <c r="D641" s="32" t="n">
        <f aca="false">SUMIF('Libro Diario'!$C$5:$C$504,A641,'Libro Diario'!$F$5:$F$504)</f>
        <v>0</v>
      </c>
      <c r="E641" s="32" t="n">
        <f aca="false">SUMIF('Libro Diario'!$C$5:$C$504,A641,'Libro Diario'!$G$5:$G$504)</f>
        <v>0</v>
      </c>
      <c r="F641" s="32" t="n">
        <f aca="false">IF(D641&gt;=E641,D641-E641,0)</f>
        <v>0</v>
      </c>
      <c r="G641" s="32" t="n">
        <f aca="false">IF(E641&gt;D641,E641-D641,0)</f>
        <v>0</v>
      </c>
    </row>
    <row r="642" customFormat="false" ht="15" hidden="false" customHeight="true" outlineLevel="0" collapsed="false">
      <c r="A642" s="30" t="s">
        <v>853</v>
      </c>
      <c r="B642" s="31" t="s">
        <v>854</v>
      </c>
      <c r="C642" s="30" t="s">
        <v>817</v>
      </c>
      <c r="D642" s="32" t="n">
        <f aca="false">SUMIF('Libro Diario'!$C$5:$C$504,A642,'Libro Diario'!$F$5:$F$504)</f>
        <v>0</v>
      </c>
      <c r="E642" s="32" t="n">
        <f aca="false">SUMIF('Libro Diario'!$C$5:$C$504,A642,'Libro Diario'!$G$5:$G$504)</f>
        <v>0</v>
      </c>
      <c r="F642" s="32" t="n">
        <f aca="false">IF(D642&gt;=E642,D642-E642,0)</f>
        <v>0</v>
      </c>
      <c r="G642" s="32" t="n">
        <f aca="false">IF(E642&gt;D642,E642-D642,0)</f>
        <v>0</v>
      </c>
    </row>
    <row r="643" customFormat="false" ht="15" hidden="false" customHeight="true" outlineLevel="0" collapsed="false">
      <c r="A643" s="30" t="s">
        <v>855</v>
      </c>
      <c r="B643" s="31" t="s">
        <v>856</v>
      </c>
      <c r="C643" s="30" t="s">
        <v>817</v>
      </c>
      <c r="D643" s="32" t="n">
        <f aca="false">SUMIF('Libro Diario'!$C$5:$C$504,A643,'Libro Diario'!$F$5:$F$504)</f>
        <v>0</v>
      </c>
      <c r="E643" s="32" t="n">
        <f aca="false">SUMIF('Libro Diario'!$C$5:$C$504,A643,'Libro Diario'!$G$5:$G$504)</f>
        <v>0</v>
      </c>
      <c r="F643" s="32" t="n">
        <f aca="false">IF(D643&gt;=E643,D643-E643,0)</f>
        <v>0</v>
      </c>
      <c r="G643" s="32" t="n">
        <f aca="false">IF(E643&gt;D643,E643-D643,0)</f>
        <v>0</v>
      </c>
    </row>
    <row r="644" customFormat="false" ht="15" hidden="false" customHeight="true" outlineLevel="0" collapsed="false">
      <c r="A644" s="30" t="s">
        <v>857</v>
      </c>
      <c r="B644" s="31" t="s">
        <v>858</v>
      </c>
      <c r="C644" s="30" t="s">
        <v>817</v>
      </c>
      <c r="D644" s="32" t="n">
        <f aca="false">SUMIF('Libro Diario'!$C$5:$C$504,A644,'Libro Diario'!$F$5:$F$504)</f>
        <v>0</v>
      </c>
      <c r="E644" s="32" t="n">
        <f aca="false">SUMIF('Libro Diario'!$C$5:$C$504,A644,'Libro Diario'!$G$5:$G$504)</f>
        <v>0</v>
      </c>
      <c r="F644" s="32" t="n">
        <f aca="false">IF(D644&gt;=E644,D644-E644,0)</f>
        <v>0</v>
      </c>
      <c r="G644" s="32" t="n">
        <f aca="false">IF(E644&gt;D644,E644-D644,0)</f>
        <v>0</v>
      </c>
    </row>
    <row r="645" customFormat="false" ht="15" hidden="false" customHeight="true" outlineLevel="0" collapsed="false">
      <c r="A645" s="30" t="s">
        <v>859</v>
      </c>
      <c r="B645" s="31" t="s">
        <v>860</v>
      </c>
      <c r="C645" s="30" t="s">
        <v>817</v>
      </c>
      <c r="D645" s="32" t="n">
        <f aca="false">SUMIF('Libro Diario'!$C$5:$C$504,A645,'Libro Diario'!$F$5:$F$504)</f>
        <v>0</v>
      </c>
      <c r="E645" s="32" t="n">
        <f aca="false">SUMIF('Libro Diario'!$C$5:$C$504,A645,'Libro Diario'!$G$5:$G$504)</f>
        <v>0</v>
      </c>
      <c r="F645" s="32" t="n">
        <f aca="false">IF(D645&gt;=E645,D645-E645,0)</f>
        <v>0</v>
      </c>
      <c r="G645" s="32" t="n">
        <f aca="false">IF(E645&gt;D645,E645-D645,0)</f>
        <v>0</v>
      </c>
    </row>
    <row r="646" customFormat="false" ht="15" hidden="false" customHeight="true" outlineLevel="0" collapsed="false">
      <c r="A646" s="30" t="s">
        <v>861</v>
      </c>
      <c r="B646" s="31" t="s">
        <v>862</v>
      </c>
      <c r="C646" s="30" t="s">
        <v>817</v>
      </c>
      <c r="D646" s="32" t="n">
        <f aca="false">SUMIF('Libro Diario'!$C$5:$C$504,A646,'Libro Diario'!$F$5:$F$504)</f>
        <v>0</v>
      </c>
      <c r="E646" s="32" t="n">
        <f aca="false">SUMIF('Libro Diario'!$C$5:$C$504,A646,'Libro Diario'!$G$5:$G$504)</f>
        <v>0</v>
      </c>
      <c r="F646" s="32" t="n">
        <f aca="false">IF(D646&gt;=E646,D646-E646,0)</f>
        <v>0</v>
      </c>
      <c r="G646" s="32" t="n">
        <f aca="false">IF(E646&gt;D646,E646-D646,0)</f>
        <v>0</v>
      </c>
    </row>
    <row r="647" customFormat="false" ht="15" hidden="false" customHeight="true" outlineLevel="0" collapsed="false">
      <c r="A647" s="30" t="s">
        <v>863</v>
      </c>
      <c r="B647" s="31" t="s">
        <v>864</v>
      </c>
      <c r="C647" s="30" t="s">
        <v>817</v>
      </c>
      <c r="D647" s="32" t="n">
        <f aca="false">SUMIF('Libro Diario'!$C$5:$C$504,A647,'Libro Diario'!$F$5:$F$504)</f>
        <v>0</v>
      </c>
      <c r="E647" s="32" t="n">
        <f aca="false">SUMIF('Libro Diario'!$C$5:$C$504,A647,'Libro Diario'!$G$5:$G$504)</f>
        <v>0</v>
      </c>
      <c r="F647" s="32" t="n">
        <f aca="false">IF(D647&gt;=E647,D647-E647,0)</f>
        <v>0</v>
      </c>
      <c r="G647" s="32" t="n">
        <f aca="false">IF(E647&gt;D647,E647-D647,0)</f>
        <v>0</v>
      </c>
    </row>
    <row r="648" customFormat="false" ht="15" hidden="false" customHeight="true" outlineLevel="0" collapsed="false">
      <c r="A648" s="30" t="s">
        <v>865</v>
      </c>
      <c r="B648" s="31" t="s">
        <v>866</v>
      </c>
      <c r="C648" s="30" t="s">
        <v>817</v>
      </c>
      <c r="D648" s="32" t="n">
        <f aca="false">SUMIF('Libro Diario'!$C$5:$C$504,A648,'Libro Diario'!$F$5:$F$504)</f>
        <v>0</v>
      </c>
      <c r="E648" s="32" t="n">
        <f aca="false">SUMIF('Libro Diario'!$C$5:$C$504,A648,'Libro Diario'!$G$5:$G$504)</f>
        <v>0</v>
      </c>
      <c r="F648" s="32" t="n">
        <f aca="false">IF(D648&gt;=E648,D648-E648,0)</f>
        <v>0</v>
      </c>
      <c r="G648" s="32" t="n">
        <f aca="false">IF(E648&gt;D648,E648-D648,0)</f>
        <v>0</v>
      </c>
    </row>
    <row r="649" customFormat="false" ht="15" hidden="false" customHeight="true" outlineLevel="0" collapsed="false">
      <c r="A649" s="30" t="s">
        <v>867</v>
      </c>
      <c r="B649" s="31" t="s">
        <v>868</v>
      </c>
      <c r="C649" s="30" t="s">
        <v>817</v>
      </c>
      <c r="D649" s="32" t="n">
        <f aca="false">SUMIF('Libro Diario'!$C$5:$C$504,A649,'Libro Diario'!$F$5:$F$504)</f>
        <v>0</v>
      </c>
      <c r="E649" s="32" t="n">
        <f aca="false">SUMIF('Libro Diario'!$C$5:$C$504,A649,'Libro Diario'!$G$5:$G$504)</f>
        <v>0</v>
      </c>
      <c r="F649" s="32" t="n">
        <f aca="false">IF(D649&gt;=E649,D649-E649,0)</f>
        <v>0</v>
      </c>
      <c r="G649" s="32" t="n">
        <f aca="false">IF(E649&gt;D649,E649-D649,0)</f>
        <v>0</v>
      </c>
    </row>
    <row r="650" customFormat="false" ht="15" hidden="false" customHeight="true" outlineLevel="0" collapsed="false">
      <c r="A650" s="30" t="s">
        <v>869</v>
      </c>
      <c r="B650" s="31" t="s">
        <v>870</v>
      </c>
      <c r="C650" s="30" t="s">
        <v>817</v>
      </c>
      <c r="D650" s="32" t="n">
        <f aca="false">SUMIF('Libro Diario'!$C$5:$C$504,A650,'Libro Diario'!$F$5:$F$504)</f>
        <v>0</v>
      </c>
      <c r="E650" s="32" t="n">
        <f aca="false">SUMIF('Libro Diario'!$C$5:$C$504,A650,'Libro Diario'!$G$5:$G$504)</f>
        <v>0</v>
      </c>
      <c r="F650" s="32" t="n">
        <f aca="false">IF(D650&gt;=E650,D650-E650,0)</f>
        <v>0</v>
      </c>
      <c r="G650" s="32" t="n">
        <f aca="false">IF(E650&gt;D650,E650-D650,0)</f>
        <v>0</v>
      </c>
    </row>
    <row r="651" customFormat="false" ht="15" hidden="false" customHeight="true" outlineLevel="0" collapsed="false">
      <c r="A651" s="30" t="s">
        <v>871</v>
      </c>
      <c r="B651" s="31" t="s">
        <v>872</v>
      </c>
      <c r="C651" s="30" t="s">
        <v>817</v>
      </c>
      <c r="D651" s="32" t="n">
        <f aca="false">SUMIF('Libro Diario'!$C$5:$C$504,A651,'Libro Diario'!$F$5:$F$504)</f>
        <v>0</v>
      </c>
      <c r="E651" s="32" t="n">
        <f aca="false">SUMIF('Libro Diario'!$C$5:$C$504,A651,'Libro Diario'!$G$5:$G$504)</f>
        <v>0</v>
      </c>
      <c r="F651" s="32" t="n">
        <f aca="false">IF(D651&gt;=E651,D651-E651,0)</f>
        <v>0</v>
      </c>
      <c r="G651" s="32" t="n">
        <f aca="false">IF(E651&gt;D651,E651-D651,0)</f>
        <v>0</v>
      </c>
    </row>
    <row r="652" customFormat="false" ht="15" hidden="false" customHeight="true" outlineLevel="0" collapsed="false">
      <c r="A652" s="30" t="s">
        <v>873</v>
      </c>
      <c r="B652" s="31" t="s">
        <v>874</v>
      </c>
      <c r="C652" s="30" t="s">
        <v>817</v>
      </c>
      <c r="D652" s="32" t="n">
        <f aca="false">SUMIF('Libro Diario'!$C$5:$C$504,A652,'Libro Diario'!$F$5:$F$504)</f>
        <v>0</v>
      </c>
      <c r="E652" s="32" t="n">
        <f aca="false">SUMIF('Libro Diario'!$C$5:$C$504,A652,'Libro Diario'!$G$5:$G$504)</f>
        <v>0</v>
      </c>
      <c r="F652" s="32" t="n">
        <f aca="false">IF(D652&gt;=E652,D652-E652,0)</f>
        <v>0</v>
      </c>
      <c r="G652" s="32" t="n">
        <f aca="false">IF(E652&gt;D652,E652-D652,0)</f>
        <v>0</v>
      </c>
    </row>
    <row r="653" customFormat="false" ht="15" hidden="false" customHeight="true" outlineLevel="0" collapsed="false">
      <c r="A653" s="30" t="s">
        <v>875</v>
      </c>
      <c r="B653" s="31" t="s">
        <v>876</v>
      </c>
      <c r="C653" s="30" t="s">
        <v>817</v>
      </c>
      <c r="D653" s="32" t="n">
        <f aca="false">SUMIF('Libro Diario'!$C$5:$C$504,A653,'Libro Diario'!$F$5:$F$504)</f>
        <v>0</v>
      </c>
      <c r="E653" s="32" t="n">
        <f aca="false">SUMIF('Libro Diario'!$C$5:$C$504,A653,'Libro Diario'!$G$5:$G$504)</f>
        <v>0</v>
      </c>
      <c r="F653" s="32" t="n">
        <f aca="false">IF(D653&gt;=E653,D653-E653,0)</f>
        <v>0</v>
      </c>
      <c r="G653" s="32" t="n">
        <f aca="false">IF(E653&gt;D653,E653-D653,0)</f>
        <v>0</v>
      </c>
    </row>
    <row r="654" customFormat="false" ht="15" hidden="false" customHeight="true" outlineLevel="0" collapsed="false">
      <c r="A654" s="30" t="s">
        <v>877</v>
      </c>
      <c r="B654" s="31" t="s">
        <v>878</v>
      </c>
      <c r="C654" s="30" t="s">
        <v>817</v>
      </c>
      <c r="D654" s="32" t="n">
        <f aca="false">SUMIF('Libro Diario'!$C$5:$C$504,A654,'Libro Diario'!$F$5:$F$504)</f>
        <v>0</v>
      </c>
      <c r="E654" s="32" t="n">
        <f aca="false">SUMIF('Libro Diario'!$C$5:$C$504,A654,'Libro Diario'!$G$5:$G$504)</f>
        <v>0</v>
      </c>
      <c r="F654" s="32" t="n">
        <f aca="false">IF(D654&gt;=E654,D654-E654,0)</f>
        <v>0</v>
      </c>
      <c r="G654" s="32" t="n">
        <f aca="false">IF(E654&gt;D654,E654-D654,0)</f>
        <v>0</v>
      </c>
    </row>
    <row r="655" customFormat="false" ht="15" hidden="false" customHeight="true" outlineLevel="0" collapsed="false">
      <c r="A655" s="30" t="s">
        <v>879</v>
      </c>
      <c r="B655" s="31" t="s">
        <v>880</v>
      </c>
      <c r="C655" s="30" t="s">
        <v>817</v>
      </c>
      <c r="D655" s="32" t="n">
        <f aca="false">SUMIF('Libro Diario'!$C$5:$C$504,A655,'Libro Diario'!$F$5:$F$504)</f>
        <v>0</v>
      </c>
      <c r="E655" s="32" t="n">
        <f aca="false">SUMIF('Libro Diario'!$C$5:$C$504,A655,'Libro Diario'!$G$5:$G$504)</f>
        <v>0</v>
      </c>
      <c r="F655" s="32" t="n">
        <f aca="false">IF(D655&gt;=E655,D655-E655,0)</f>
        <v>0</v>
      </c>
      <c r="G655" s="32" t="n">
        <f aca="false">IF(E655&gt;D655,E655-D655,0)</f>
        <v>0</v>
      </c>
    </row>
    <row r="656" customFormat="false" ht="15" hidden="false" customHeight="true" outlineLevel="0" collapsed="false">
      <c r="A656" s="30" t="s">
        <v>881</v>
      </c>
      <c r="B656" s="31" t="s">
        <v>882</v>
      </c>
      <c r="C656" s="30" t="s">
        <v>817</v>
      </c>
      <c r="D656" s="32" t="n">
        <f aca="false">SUMIF('Libro Diario'!$C$5:$C$504,A656,'Libro Diario'!$F$5:$F$504)</f>
        <v>0</v>
      </c>
      <c r="E656" s="32" t="n">
        <f aca="false">SUMIF('Libro Diario'!$C$5:$C$504,A656,'Libro Diario'!$G$5:$G$504)</f>
        <v>0</v>
      </c>
      <c r="F656" s="32" t="n">
        <f aca="false">IF(D656&gt;=E656,D656-E656,0)</f>
        <v>0</v>
      </c>
      <c r="G656" s="32" t="n">
        <f aca="false">IF(E656&gt;D656,E656-D656,0)</f>
        <v>0</v>
      </c>
    </row>
    <row r="657" customFormat="false" ht="15" hidden="false" customHeight="true" outlineLevel="0" collapsed="false">
      <c r="A657" s="30" t="s">
        <v>883</v>
      </c>
      <c r="B657" s="31" t="s">
        <v>884</v>
      </c>
      <c r="C657" s="30" t="s">
        <v>817</v>
      </c>
      <c r="D657" s="32" t="n">
        <f aca="false">SUMIF('Libro Diario'!$C$5:$C$504,A657,'Libro Diario'!$F$5:$F$504)</f>
        <v>0</v>
      </c>
      <c r="E657" s="32" t="n">
        <f aca="false">SUMIF('Libro Diario'!$C$5:$C$504,A657,'Libro Diario'!$G$5:$G$504)</f>
        <v>0</v>
      </c>
      <c r="F657" s="32" t="n">
        <f aca="false">IF(D657&gt;=E657,D657-E657,0)</f>
        <v>0</v>
      </c>
      <c r="G657" s="32" t="n">
        <f aca="false">IF(E657&gt;D657,E657-D657,0)</f>
        <v>0</v>
      </c>
    </row>
    <row r="658" customFormat="false" ht="15" hidden="false" customHeight="true" outlineLevel="0" collapsed="false">
      <c r="A658" s="30" t="s">
        <v>885</v>
      </c>
      <c r="B658" s="31" t="s">
        <v>886</v>
      </c>
      <c r="C658" s="30" t="s">
        <v>817</v>
      </c>
      <c r="D658" s="32" t="n">
        <f aca="false">SUMIF('Libro Diario'!$C$5:$C$504,A658,'Libro Diario'!$F$5:$F$504)</f>
        <v>0</v>
      </c>
      <c r="E658" s="32" t="n">
        <f aca="false">SUMIF('Libro Diario'!$C$5:$C$504,A658,'Libro Diario'!$G$5:$G$504)</f>
        <v>0</v>
      </c>
      <c r="F658" s="32" t="n">
        <f aca="false">IF(D658&gt;=E658,D658-E658,0)</f>
        <v>0</v>
      </c>
      <c r="G658" s="32" t="n">
        <f aca="false">IF(E658&gt;D658,E658-D658,0)</f>
        <v>0</v>
      </c>
    </row>
    <row r="659" customFormat="false" ht="15" hidden="false" customHeight="true" outlineLevel="0" collapsed="false">
      <c r="A659" s="30" t="s">
        <v>887</v>
      </c>
      <c r="B659" s="31" t="s">
        <v>888</v>
      </c>
      <c r="C659" s="30" t="s">
        <v>817</v>
      </c>
      <c r="D659" s="32" t="n">
        <f aca="false">SUMIF('Libro Diario'!$C$5:$C$504,A659,'Libro Diario'!$F$5:$F$504)</f>
        <v>0</v>
      </c>
      <c r="E659" s="32" t="n">
        <f aca="false">SUMIF('Libro Diario'!$C$5:$C$504,A659,'Libro Diario'!$G$5:$G$504)</f>
        <v>0</v>
      </c>
      <c r="F659" s="32" t="n">
        <f aca="false">IF(D659&gt;=E659,D659-E659,0)</f>
        <v>0</v>
      </c>
      <c r="G659" s="32" t="n">
        <f aca="false">IF(E659&gt;D659,E659-D659,0)</f>
        <v>0</v>
      </c>
    </row>
    <row r="660" customFormat="false" ht="15" hidden="false" customHeight="true" outlineLevel="0" collapsed="false">
      <c r="A660" s="30" t="s">
        <v>889</v>
      </c>
      <c r="B660" s="31" t="s">
        <v>890</v>
      </c>
      <c r="C660" s="30" t="s">
        <v>817</v>
      </c>
      <c r="D660" s="32" t="n">
        <f aca="false">SUMIF('Libro Diario'!$C$5:$C$504,A660,'Libro Diario'!$F$5:$F$504)</f>
        <v>0</v>
      </c>
      <c r="E660" s="32" t="n">
        <f aca="false">SUMIF('Libro Diario'!$C$5:$C$504,A660,'Libro Diario'!$G$5:$G$504)</f>
        <v>0</v>
      </c>
      <c r="F660" s="32" t="n">
        <f aca="false">IF(D660&gt;=E660,D660-E660,0)</f>
        <v>0</v>
      </c>
      <c r="G660" s="32" t="n">
        <f aca="false">IF(E660&gt;D660,E660-D660,0)</f>
        <v>0</v>
      </c>
    </row>
    <row r="661" customFormat="false" ht="15" hidden="false" customHeight="true" outlineLevel="0" collapsed="false">
      <c r="A661" s="30" t="s">
        <v>891</v>
      </c>
      <c r="B661" s="31" t="s">
        <v>892</v>
      </c>
      <c r="C661" s="30" t="s">
        <v>817</v>
      </c>
      <c r="D661" s="32" t="n">
        <f aca="false">SUMIF('Libro Diario'!$C$5:$C$504,A661,'Libro Diario'!$F$5:$F$504)</f>
        <v>0</v>
      </c>
      <c r="E661" s="32" t="n">
        <f aca="false">SUMIF('Libro Diario'!$C$5:$C$504,A661,'Libro Diario'!$G$5:$G$504)</f>
        <v>0</v>
      </c>
      <c r="F661" s="32" t="n">
        <f aca="false">IF(D661&gt;=E661,D661-E661,0)</f>
        <v>0</v>
      </c>
      <c r="G661" s="32" t="n">
        <f aca="false">IF(E661&gt;D661,E661-D661,0)</f>
        <v>0</v>
      </c>
    </row>
    <row r="662" customFormat="false" ht="15" hidden="false" customHeight="true" outlineLevel="0" collapsed="false">
      <c r="A662" s="30" t="s">
        <v>893</v>
      </c>
      <c r="B662" s="31" t="s">
        <v>894</v>
      </c>
      <c r="C662" s="30" t="s">
        <v>817</v>
      </c>
      <c r="D662" s="32" t="n">
        <f aca="false">SUMIF('Libro Diario'!$C$5:$C$504,A662,'Libro Diario'!$F$5:$F$504)</f>
        <v>0</v>
      </c>
      <c r="E662" s="32" t="n">
        <f aca="false">SUMIF('Libro Diario'!$C$5:$C$504,A662,'Libro Diario'!$G$5:$G$504)</f>
        <v>0</v>
      </c>
      <c r="F662" s="32" t="n">
        <f aca="false">IF(D662&gt;=E662,D662-E662,0)</f>
        <v>0</v>
      </c>
      <c r="G662" s="32" t="n">
        <f aca="false">IF(E662&gt;D662,E662-D662,0)</f>
        <v>0</v>
      </c>
    </row>
    <row r="663" customFormat="false" ht="15" hidden="false" customHeight="true" outlineLevel="0" collapsed="false">
      <c r="A663" s="30" t="s">
        <v>895</v>
      </c>
      <c r="B663" s="31" t="s">
        <v>896</v>
      </c>
      <c r="C663" s="30" t="s">
        <v>817</v>
      </c>
      <c r="D663" s="32" t="n">
        <f aca="false">SUMIF('Libro Diario'!$C$5:$C$504,A663,'Libro Diario'!$F$5:$F$504)</f>
        <v>0</v>
      </c>
      <c r="E663" s="32" t="n">
        <f aca="false">SUMIF('Libro Diario'!$C$5:$C$504,A663,'Libro Diario'!$G$5:$G$504)</f>
        <v>0</v>
      </c>
      <c r="F663" s="32" t="n">
        <f aca="false">IF(D663&gt;=E663,D663-E663,0)</f>
        <v>0</v>
      </c>
      <c r="G663" s="32" t="n">
        <f aca="false">IF(E663&gt;D663,E663-D663,0)</f>
        <v>0</v>
      </c>
    </row>
    <row r="664" customFormat="false" ht="15" hidden="false" customHeight="true" outlineLevel="0" collapsed="false">
      <c r="A664" s="30" t="s">
        <v>897</v>
      </c>
      <c r="B664" s="31" t="s">
        <v>898</v>
      </c>
      <c r="C664" s="30" t="s">
        <v>817</v>
      </c>
      <c r="D664" s="32" t="n">
        <f aca="false">SUMIF('Libro Diario'!$C$5:$C$504,A664,'Libro Diario'!$F$5:$F$504)</f>
        <v>0</v>
      </c>
      <c r="E664" s="32" t="n">
        <f aca="false">SUMIF('Libro Diario'!$C$5:$C$504,A664,'Libro Diario'!$G$5:$G$504)</f>
        <v>0</v>
      </c>
      <c r="F664" s="32" t="n">
        <f aca="false">IF(D664&gt;=E664,D664-E664,0)</f>
        <v>0</v>
      </c>
      <c r="G664" s="32" t="n">
        <f aca="false">IF(E664&gt;D664,E664-D664,0)</f>
        <v>0</v>
      </c>
    </row>
    <row r="665" customFormat="false" ht="15" hidden="false" customHeight="true" outlineLevel="0" collapsed="false">
      <c r="A665" s="30" t="s">
        <v>899</v>
      </c>
      <c r="B665" s="31" t="s">
        <v>900</v>
      </c>
      <c r="C665" s="30" t="s">
        <v>817</v>
      </c>
      <c r="D665" s="32" t="n">
        <f aca="false">SUMIF('Libro Diario'!$C$5:$C$504,A665,'Libro Diario'!$F$5:$F$504)</f>
        <v>0</v>
      </c>
      <c r="E665" s="32" t="n">
        <f aca="false">SUMIF('Libro Diario'!$C$5:$C$504,A665,'Libro Diario'!$G$5:$G$504)</f>
        <v>0</v>
      </c>
      <c r="F665" s="32" t="n">
        <f aca="false">IF(D665&gt;=E665,D665-E665,0)</f>
        <v>0</v>
      </c>
      <c r="G665" s="32" t="n">
        <f aca="false">IF(E665&gt;D665,E665-D665,0)</f>
        <v>0</v>
      </c>
    </row>
    <row r="666" customFormat="false" ht="15" hidden="false" customHeight="true" outlineLevel="0" collapsed="false">
      <c r="A666" s="30" t="s">
        <v>901</v>
      </c>
      <c r="B666" s="31" t="s">
        <v>902</v>
      </c>
      <c r="C666" s="30" t="s">
        <v>817</v>
      </c>
      <c r="D666" s="32" t="n">
        <f aca="false">SUMIF('Libro Diario'!$C$5:$C$504,A666,'Libro Diario'!$F$5:$F$504)</f>
        <v>0</v>
      </c>
      <c r="E666" s="32" t="n">
        <f aca="false">SUMIF('Libro Diario'!$C$5:$C$504,A666,'Libro Diario'!$G$5:$G$504)</f>
        <v>0</v>
      </c>
      <c r="F666" s="32" t="n">
        <f aca="false">IF(D666&gt;=E666,D666-E666,0)</f>
        <v>0</v>
      </c>
      <c r="G666" s="32" t="n">
        <f aca="false">IF(E666&gt;D666,E666-D666,0)</f>
        <v>0</v>
      </c>
    </row>
    <row r="667" customFormat="false" ht="15" hidden="false" customHeight="true" outlineLevel="0" collapsed="false">
      <c r="A667" s="30" t="s">
        <v>903</v>
      </c>
      <c r="B667" s="31" t="s">
        <v>904</v>
      </c>
      <c r="C667" s="30" t="s">
        <v>817</v>
      </c>
      <c r="D667" s="32" t="n">
        <f aca="false">SUMIF('Libro Diario'!$C$5:$C$504,A667,'Libro Diario'!$F$5:$F$504)</f>
        <v>0</v>
      </c>
      <c r="E667" s="32" t="n">
        <f aca="false">SUMIF('Libro Diario'!$C$5:$C$504,A667,'Libro Diario'!$G$5:$G$504)</f>
        <v>0</v>
      </c>
      <c r="F667" s="32" t="n">
        <f aca="false">IF(D667&gt;=E667,D667-E667,0)</f>
        <v>0</v>
      </c>
      <c r="G667" s="32" t="n">
        <f aca="false">IF(E667&gt;D667,E667-D667,0)</f>
        <v>0</v>
      </c>
    </row>
    <row r="668" customFormat="false" ht="15" hidden="false" customHeight="true" outlineLevel="0" collapsed="false">
      <c r="A668" s="30" t="s">
        <v>905</v>
      </c>
      <c r="B668" s="31" t="s">
        <v>906</v>
      </c>
      <c r="C668" s="30" t="s">
        <v>817</v>
      </c>
      <c r="D668" s="32" t="n">
        <f aca="false">SUMIF('Libro Diario'!$C$5:$C$504,A668,'Libro Diario'!$F$5:$F$504)</f>
        <v>0</v>
      </c>
      <c r="E668" s="32" t="n">
        <f aca="false">SUMIF('Libro Diario'!$C$5:$C$504,A668,'Libro Diario'!$G$5:$G$504)</f>
        <v>0</v>
      </c>
      <c r="F668" s="32" t="n">
        <f aca="false">IF(D668&gt;=E668,D668-E668,0)</f>
        <v>0</v>
      </c>
      <c r="G668" s="32" t="n">
        <f aca="false">IF(E668&gt;D668,E668-D668,0)</f>
        <v>0</v>
      </c>
    </row>
    <row r="669" customFormat="false" ht="15" hidden="false" customHeight="true" outlineLevel="0" collapsed="false">
      <c r="A669" s="30" t="s">
        <v>907</v>
      </c>
      <c r="B669" s="31" t="s">
        <v>908</v>
      </c>
      <c r="C669" s="30" t="s">
        <v>817</v>
      </c>
      <c r="D669" s="32" t="n">
        <f aca="false">SUMIF('Libro Diario'!$C$5:$C$504,A669,'Libro Diario'!$F$5:$F$504)</f>
        <v>0</v>
      </c>
      <c r="E669" s="32" t="n">
        <f aca="false">SUMIF('Libro Diario'!$C$5:$C$504,A669,'Libro Diario'!$G$5:$G$504)</f>
        <v>0</v>
      </c>
      <c r="F669" s="32" t="n">
        <f aca="false">IF(D669&gt;=E669,D669-E669,0)</f>
        <v>0</v>
      </c>
      <c r="G669" s="32" t="n">
        <f aca="false">IF(E669&gt;D669,E669-D669,0)</f>
        <v>0</v>
      </c>
    </row>
    <row r="670" customFormat="false" ht="15" hidden="false" customHeight="true" outlineLevel="0" collapsed="false">
      <c r="A670" s="30" t="s">
        <v>909</v>
      </c>
      <c r="B670" s="31" t="s">
        <v>910</v>
      </c>
      <c r="C670" s="30" t="s">
        <v>817</v>
      </c>
      <c r="D670" s="32" t="n">
        <f aca="false">SUMIF('Libro Diario'!$C$5:$C$504,A670,'Libro Diario'!$F$5:$F$504)</f>
        <v>0</v>
      </c>
      <c r="E670" s="32" t="n">
        <f aca="false">SUMIF('Libro Diario'!$C$5:$C$504,A670,'Libro Diario'!$G$5:$G$504)</f>
        <v>0</v>
      </c>
      <c r="F670" s="32" t="n">
        <f aca="false">IF(D670&gt;=E670,D670-E670,0)</f>
        <v>0</v>
      </c>
      <c r="G670" s="32" t="n">
        <f aca="false">IF(E670&gt;D670,E670-D670,0)</f>
        <v>0</v>
      </c>
    </row>
    <row r="671" customFormat="false" ht="15" hidden="false" customHeight="true" outlineLevel="0" collapsed="false">
      <c r="A671" s="30" t="s">
        <v>911</v>
      </c>
      <c r="B671" s="31" t="s">
        <v>912</v>
      </c>
      <c r="C671" s="30" t="s">
        <v>817</v>
      </c>
      <c r="D671" s="32" t="n">
        <f aca="false">SUMIF('Libro Diario'!$C$5:$C$504,A671,'Libro Diario'!$F$5:$F$504)</f>
        <v>0</v>
      </c>
      <c r="E671" s="32" t="n">
        <f aca="false">SUMIF('Libro Diario'!$C$5:$C$504,A671,'Libro Diario'!$G$5:$G$504)</f>
        <v>0</v>
      </c>
      <c r="F671" s="32" t="n">
        <f aca="false">IF(D671&gt;=E671,D671-E671,0)</f>
        <v>0</v>
      </c>
      <c r="G671" s="32" t="n">
        <f aca="false">IF(E671&gt;D671,E671-D671,0)</f>
        <v>0</v>
      </c>
    </row>
    <row r="672" customFormat="false" ht="15" hidden="false" customHeight="true" outlineLevel="0" collapsed="false">
      <c r="A672" s="30" t="s">
        <v>913</v>
      </c>
      <c r="B672" s="31" t="s">
        <v>914</v>
      </c>
      <c r="C672" s="30" t="s">
        <v>817</v>
      </c>
      <c r="D672" s="32" t="n">
        <f aca="false">SUMIF('Libro Diario'!$C$5:$C$504,A672,'Libro Diario'!$F$5:$F$504)</f>
        <v>0</v>
      </c>
      <c r="E672" s="32" t="n">
        <f aca="false">SUMIF('Libro Diario'!$C$5:$C$504,A672,'Libro Diario'!$G$5:$G$504)</f>
        <v>0</v>
      </c>
      <c r="F672" s="32" t="n">
        <f aca="false">IF(D672&gt;=E672,D672-E672,0)</f>
        <v>0</v>
      </c>
      <c r="G672" s="32" t="n">
        <f aca="false">IF(E672&gt;D672,E672-D672,0)</f>
        <v>0</v>
      </c>
    </row>
    <row r="673" customFormat="false" ht="15" hidden="false" customHeight="true" outlineLevel="0" collapsed="false">
      <c r="A673" s="30" t="s">
        <v>915</v>
      </c>
      <c r="B673" s="31" t="s">
        <v>916</v>
      </c>
      <c r="C673" s="30" t="s">
        <v>817</v>
      </c>
      <c r="D673" s="32" t="n">
        <f aca="false">SUMIF('Libro Diario'!$C$5:$C$504,A673,'Libro Diario'!$F$5:$F$504)</f>
        <v>0</v>
      </c>
      <c r="E673" s="32" t="n">
        <f aca="false">SUMIF('Libro Diario'!$C$5:$C$504,A673,'Libro Diario'!$G$5:$G$504)</f>
        <v>0</v>
      </c>
      <c r="F673" s="32" t="n">
        <f aca="false">IF(D673&gt;=E673,D673-E673,0)</f>
        <v>0</v>
      </c>
      <c r="G673" s="32" t="n">
        <f aca="false">IF(E673&gt;D673,E673-D673,0)</f>
        <v>0</v>
      </c>
    </row>
    <row r="674" customFormat="false" ht="15" hidden="false" customHeight="true" outlineLevel="0" collapsed="false">
      <c r="A674" s="30" t="s">
        <v>917</v>
      </c>
      <c r="B674" s="31" t="s">
        <v>918</v>
      </c>
      <c r="C674" s="30" t="s">
        <v>817</v>
      </c>
      <c r="D674" s="32" t="n">
        <f aca="false">SUMIF('Libro Diario'!$C$5:$C$504,A674,'Libro Diario'!$F$5:$F$504)</f>
        <v>0</v>
      </c>
      <c r="E674" s="32" t="n">
        <f aca="false">SUMIF('Libro Diario'!$C$5:$C$504,A674,'Libro Diario'!$G$5:$G$504)</f>
        <v>0</v>
      </c>
      <c r="F674" s="32" t="n">
        <f aca="false">IF(D674&gt;=E674,D674-E674,0)</f>
        <v>0</v>
      </c>
      <c r="G674" s="32" t="n">
        <f aca="false">IF(E674&gt;D674,E674-D674,0)</f>
        <v>0</v>
      </c>
    </row>
    <row r="675" customFormat="false" ht="15" hidden="false" customHeight="true" outlineLevel="0" collapsed="false">
      <c r="A675" s="30" t="s">
        <v>919</v>
      </c>
      <c r="B675" s="31" t="s">
        <v>920</v>
      </c>
      <c r="C675" s="30" t="s">
        <v>817</v>
      </c>
      <c r="D675" s="32" t="n">
        <f aca="false">SUMIF('Libro Diario'!$C$5:$C$504,A675,'Libro Diario'!$F$5:$F$504)</f>
        <v>0</v>
      </c>
      <c r="E675" s="32" t="n">
        <f aca="false">SUMIF('Libro Diario'!$C$5:$C$504,A675,'Libro Diario'!$G$5:$G$504)</f>
        <v>0</v>
      </c>
      <c r="F675" s="32" t="n">
        <f aca="false">IF(D675&gt;=E675,D675-E675,0)</f>
        <v>0</v>
      </c>
      <c r="G675" s="32" t="n">
        <f aca="false">IF(E675&gt;D675,E675-D675,0)</f>
        <v>0</v>
      </c>
    </row>
    <row r="676" customFormat="false" ht="15" hidden="false" customHeight="true" outlineLevel="0" collapsed="false">
      <c r="A676" s="30" t="s">
        <v>921</v>
      </c>
      <c r="B676" s="31" t="s">
        <v>84</v>
      </c>
      <c r="C676" s="30" t="s">
        <v>817</v>
      </c>
      <c r="D676" s="32" t="n">
        <f aca="false">SUMIF('Libro Diario'!$C$5:$C$504,A676,'Libro Diario'!$F$5:$F$504)</f>
        <v>0</v>
      </c>
      <c r="E676" s="32" t="n">
        <f aca="false">SUMIF('Libro Diario'!$C$5:$C$504,A676,'Libro Diario'!$G$5:$G$504)</f>
        <v>0</v>
      </c>
      <c r="F676" s="32" t="n">
        <f aca="false">IF(D676&gt;=E676,D676-E676,0)</f>
        <v>0</v>
      </c>
      <c r="G676" s="32" t="n">
        <f aca="false">IF(E676&gt;D676,E676-D676,0)</f>
        <v>0</v>
      </c>
    </row>
    <row r="677" customFormat="false" ht="15" hidden="false" customHeight="true" outlineLevel="0" collapsed="false">
      <c r="A677" s="30" t="s">
        <v>922</v>
      </c>
      <c r="B677" s="31" t="s">
        <v>923</v>
      </c>
      <c r="C677" s="30" t="s">
        <v>817</v>
      </c>
      <c r="D677" s="32" t="n">
        <f aca="false">SUMIF('Libro Diario'!$C$5:$C$504,A677,'Libro Diario'!$F$5:$F$504)</f>
        <v>0</v>
      </c>
      <c r="E677" s="32" t="n">
        <f aca="false">SUMIF('Libro Diario'!$C$5:$C$504,A677,'Libro Diario'!$G$5:$G$504)</f>
        <v>0</v>
      </c>
      <c r="F677" s="32" t="n">
        <f aca="false">IF(D677&gt;=E677,D677-E677,0)</f>
        <v>0</v>
      </c>
      <c r="G677" s="32" t="n">
        <f aca="false">IF(E677&gt;D677,E677-D677,0)</f>
        <v>0</v>
      </c>
    </row>
    <row r="678" customFormat="false" ht="15" hidden="false" customHeight="true" outlineLevel="0" collapsed="false">
      <c r="A678" s="30" t="s">
        <v>924</v>
      </c>
      <c r="B678" s="31" t="s">
        <v>925</v>
      </c>
      <c r="C678" s="30" t="s">
        <v>817</v>
      </c>
      <c r="D678" s="32" t="n">
        <f aca="false">SUMIF('Libro Diario'!$C$5:$C$504,A678,'Libro Diario'!$F$5:$F$504)</f>
        <v>0</v>
      </c>
      <c r="E678" s="32" t="n">
        <f aca="false">SUMIF('Libro Diario'!$C$5:$C$504,A678,'Libro Diario'!$G$5:$G$504)</f>
        <v>0</v>
      </c>
      <c r="F678" s="32" t="n">
        <f aca="false">IF(D678&gt;=E678,D678-E678,0)</f>
        <v>0</v>
      </c>
      <c r="G678" s="32" t="n">
        <f aca="false">IF(E678&gt;D678,E678-D678,0)</f>
        <v>0</v>
      </c>
    </row>
    <row r="679" customFormat="false" ht="15" hidden="false" customHeight="true" outlineLevel="0" collapsed="false">
      <c r="A679" s="30" t="s">
        <v>926</v>
      </c>
      <c r="B679" s="31" t="s">
        <v>927</v>
      </c>
      <c r="C679" s="30" t="s">
        <v>817</v>
      </c>
      <c r="D679" s="32" t="n">
        <f aca="false">SUMIF('Libro Diario'!$C$5:$C$504,A679,'Libro Diario'!$F$5:$F$504)</f>
        <v>0</v>
      </c>
      <c r="E679" s="32" t="n">
        <f aca="false">SUMIF('Libro Diario'!$C$5:$C$504,A679,'Libro Diario'!$G$5:$G$504)</f>
        <v>0</v>
      </c>
      <c r="F679" s="32" t="n">
        <f aca="false">IF(D679&gt;=E679,D679-E679,0)</f>
        <v>0</v>
      </c>
      <c r="G679" s="32" t="n">
        <f aca="false">IF(E679&gt;D679,E679-D679,0)</f>
        <v>0</v>
      </c>
    </row>
    <row r="680" customFormat="false" ht="15" hidden="false" customHeight="true" outlineLevel="0" collapsed="false">
      <c r="A680" s="30" t="s">
        <v>928</v>
      </c>
      <c r="B680" s="31" t="s">
        <v>929</v>
      </c>
      <c r="C680" s="30" t="s">
        <v>817</v>
      </c>
      <c r="D680" s="32" t="n">
        <f aca="false">SUMIF('Libro Diario'!$C$5:$C$504,A680,'Libro Diario'!$F$5:$F$504)</f>
        <v>0</v>
      </c>
      <c r="E680" s="32" t="n">
        <f aca="false">SUMIF('Libro Diario'!$C$5:$C$504,A680,'Libro Diario'!$G$5:$G$504)</f>
        <v>0</v>
      </c>
      <c r="F680" s="32" t="n">
        <f aca="false">IF(D680&gt;=E680,D680-E680,0)</f>
        <v>0</v>
      </c>
      <c r="G680" s="32" t="n">
        <f aca="false">IF(E680&gt;D680,E680-D680,0)</f>
        <v>0</v>
      </c>
    </row>
    <row r="681" customFormat="false" ht="15" hidden="false" customHeight="true" outlineLevel="0" collapsed="false">
      <c r="A681" s="30" t="s">
        <v>930</v>
      </c>
      <c r="B681" s="31" t="s">
        <v>84</v>
      </c>
      <c r="C681" s="30" t="s">
        <v>817</v>
      </c>
      <c r="D681" s="32" t="n">
        <f aca="false">SUMIF('Libro Diario'!$C$5:$C$504,A681,'Libro Diario'!$F$5:$F$504)</f>
        <v>0</v>
      </c>
      <c r="E681" s="32" t="n">
        <f aca="false">SUMIF('Libro Diario'!$C$5:$C$504,A681,'Libro Diario'!$G$5:$G$504)</f>
        <v>0</v>
      </c>
      <c r="F681" s="32" t="n">
        <f aca="false">IF(D681&gt;=E681,D681-E681,0)</f>
        <v>0</v>
      </c>
      <c r="G681" s="32" t="n">
        <f aca="false">IF(E681&gt;D681,E681-D681,0)</f>
        <v>0</v>
      </c>
    </row>
    <row r="682" customFormat="false" ht="15" hidden="false" customHeight="true" outlineLevel="0" collapsed="false">
      <c r="A682" s="30" t="s">
        <v>931</v>
      </c>
      <c r="B682" s="31" t="s">
        <v>923</v>
      </c>
      <c r="C682" s="30" t="s">
        <v>817</v>
      </c>
      <c r="D682" s="32" t="n">
        <f aca="false">SUMIF('Libro Diario'!$C$5:$C$504,A682,'Libro Diario'!$F$5:$F$504)</f>
        <v>0</v>
      </c>
      <c r="E682" s="32" t="n">
        <f aca="false">SUMIF('Libro Diario'!$C$5:$C$504,A682,'Libro Diario'!$G$5:$G$504)</f>
        <v>0</v>
      </c>
      <c r="F682" s="32" t="n">
        <f aca="false">IF(D682&gt;=E682,D682-E682,0)</f>
        <v>0</v>
      </c>
      <c r="G682" s="32" t="n">
        <f aca="false">IF(E682&gt;D682,E682-D682,0)</f>
        <v>0</v>
      </c>
    </row>
    <row r="683" customFormat="false" ht="15" hidden="false" customHeight="true" outlineLevel="0" collapsed="false">
      <c r="A683" s="30" t="s">
        <v>932</v>
      </c>
      <c r="B683" s="31" t="s">
        <v>933</v>
      </c>
      <c r="C683" s="30" t="s">
        <v>817</v>
      </c>
      <c r="D683" s="32" t="n">
        <f aca="false">SUMIF('Libro Diario'!$C$5:$C$504,A683,'Libro Diario'!$F$5:$F$504)</f>
        <v>0</v>
      </c>
      <c r="E683" s="32" t="n">
        <f aca="false">SUMIF('Libro Diario'!$C$5:$C$504,A683,'Libro Diario'!$G$5:$G$504)</f>
        <v>0</v>
      </c>
      <c r="F683" s="32" t="n">
        <f aca="false">IF(D683&gt;=E683,D683-E683,0)</f>
        <v>0</v>
      </c>
      <c r="G683" s="32" t="n">
        <f aca="false">IF(E683&gt;D683,E683-D683,0)</f>
        <v>0</v>
      </c>
    </row>
    <row r="684" customFormat="false" ht="15" hidden="false" customHeight="true" outlineLevel="0" collapsed="false">
      <c r="A684" s="30" t="s">
        <v>934</v>
      </c>
      <c r="B684" s="31" t="s">
        <v>927</v>
      </c>
      <c r="C684" s="30" t="s">
        <v>817</v>
      </c>
      <c r="D684" s="32" t="n">
        <f aca="false">SUMIF('Libro Diario'!$C$5:$C$504,A684,'Libro Diario'!$F$5:$F$504)</f>
        <v>0</v>
      </c>
      <c r="E684" s="32" t="n">
        <f aca="false">SUMIF('Libro Diario'!$C$5:$C$504,A684,'Libro Diario'!$G$5:$G$504)</f>
        <v>0</v>
      </c>
      <c r="F684" s="32" t="n">
        <f aca="false">IF(D684&gt;=E684,D684-E684,0)</f>
        <v>0</v>
      </c>
      <c r="G684" s="32" t="n">
        <f aca="false">IF(E684&gt;D684,E684-D684,0)</f>
        <v>0</v>
      </c>
    </row>
    <row r="685" customFormat="false" ht="15" hidden="false" customHeight="true" outlineLevel="0" collapsed="false">
      <c r="A685" s="30" t="s">
        <v>935</v>
      </c>
      <c r="B685" s="31" t="s">
        <v>929</v>
      </c>
      <c r="C685" s="30" t="s">
        <v>817</v>
      </c>
      <c r="D685" s="32" t="n">
        <f aca="false">SUMIF('Libro Diario'!$C$5:$C$504,A685,'Libro Diario'!$F$5:$F$504)</f>
        <v>0</v>
      </c>
      <c r="E685" s="32" t="n">
        <f aca="false">SUMIF('Libro Diario'!$C$5:$C$504,A685,'Libro Diario'!$G$5:$G$504)</f>
        <v>0</v>
      </c>
      <c r="F685" s="32" t="n">
        <f aca="false">IF(D685&gt;=E685,D685-E685,0)</f>
        <v>0</v>
      </c>
      <c r="G685" s="32" t="n">
        <f aca="false">IF(E685&gt;D685,E685-D685,0)</f>
        <v>0</v>
      </c>
    </row>
    <row r="686" customFormat="false" ht="15" hidden="false" customHeight="true" outlineLevel="0" collapsed="false">
      <c r="A686" s="30" t="s">
        <v>936</v>
      </c>
      <c r="B686" s="31" t="s">
        <v>107</v>
      </c>
      <c r="C686" s="30" t="s">
        <v>817</v>
      </c>
      <c r="D686" s="32" t="n">
        <f aca="false">SUMIF('Libro Diario'!$C$5:$C$504,A686,'Libro Diario'!$F$5:$F$504)</f>
        <v>0</v>
      </c>
      <c r="E686" s="32" t="n">
        <f aca="false">SUMIF('Libro Diario'!$C$5:$C$504,A686,'Libro Diario'!$G$5:$G$504)</f>
        <v>0</v>
      </c>
      <c r="F686" s="32" t="n">
        <f aca="false">IF(D686&gt;=E686,D686-E686,0)</f>
        <v>0</v>
      </c>
      <c r="G686" s="32" t="n">
        <f aca="false">IF(E686&gt;D686,E686-D686,0)</f>
        <v>0</v>
      </c>
    </row>
    <row r="687" customFormat="false" ht="15" hidden="false" customHeight="true" outlineLevel="0" collapsed="false">
      <c r="A687" s="30" t="s">
        <v>937</v>
      </c>
      <c r="B687" s="31" t="s">
        <v>142</v>
      </c>
      <c r="C687" s="30" t="s">
        <v>817</v>
      </c>
      <c r="D687" s="32" t="n">
        <f aca="false">SUMIF('Libro Diario'!$C$5:$C$504,A687,'Libro Diario'!$F$5:$F$504)</f>
        <v>0</v>
      </c>
      <c r="E687" s="32" t="n">
        <f aca="false">SUMIF('Libro Diario'!$C$5:$C$504,A687,'Libro Diario'!$G$5:$G$504)</f>
        <v>0</v>
      </c>
      <c r="F687" s="32" t="n">
        <f aca="false">IF(D687&gt;=E687,D687-E687,0)</f>
        <v>0</v>
      </c>
      <c r="G687" s="32" t="n">
        <f aca="false">IF(E687&gt;D687,E687-D687,0)</f>
        <v>0</v>
      </c>
    </row>
    <row r="688" customFormat="false" ht="15" hidden="false" customHeight="true" outlineLevel="0" collapsed="false">
      <c r="A688" s="30" t="s">
        <v>938</v>
      </c>
      <c r="B688" s="31" t="s">
        <v>939</v>
      </c>
      <c r="C688" s="30" t="s">
        <v>817</v>
      </c>
      <c r="D688" s="32" t="n">
        <f aca="false">SUMIF('Libro Diario'!$C$5:$C$504,A688,'Libro Diario'!$F$5:$F$504)</f>
        <v>0</v>
      </c>
      <c r="E688" s="32" t="n">
        <f aca="false">SUMIF('Libro Diario'!$C$5:$C$504,A688,'Libro Diario'!$G$5:$G$504)</f>
        <v>0</v>
      </c>
      <c r="F688" s="32" t="n">
        <f aca="false">IF(D688&gt;=E688,D688-E688,0)</f>
        <v>0</v>
      </c>
      <c r="G688" s="32" t="n">
        <f aca="false">IF(E688&gt;D688,E688-D688,0)</f>
        <v>0</v>
      </c>
    </row>
    <row r="689" customFormat="false" ht="15" hidden="false" customHeight="true" outlineLevel="0" collapsed="false">
      <c r="A689" s="30" t="s">
        <v>940</v>
      </c>
      <c r="B689" s="31" t="s">
        <v>941</v>
      </c>
      <c r="C689" s="30" t="s">
        <v>817</v>
      </c>
      <c r="D689" s="32" t="n">
        <f aca="false">SUMIF('Libro Diario'!$C$5:$C$504,A689,'Libro Diario'!$F$5:$F$504)</f>
        <v>0</v>
      </c>
      <c r="E689" s="32" t="n">
        <f aca="false">SUMIF('Libro Diario'!$C$5:$C$504,A689,'Libro Diario'!$G$5:$G$504)</f>
        <v>0</v>
      </c>
      <c r="F689" s="32" t="n">
        <f aca="false">IF(D689&gt;=E689,D689-E689,0)</f>
        <v>0</v>
      </c>
      <c r="G689" s="32" t="n">
        <f aca="false">IF(E689&gt;D689,E689-D689,0)</f>
        <v>0</v>
      </c>
    </row>
    <row r="690" customFormat="false" ht="15" hidden="false" customHeight="true" outlineLevel="0" collapsed="false">
      <c r="A690" s="30" t="s">
        <v>942</v>
      </c>
      <c r="B690" s="31" t="s">
        <v>939</v>
      </c>
      <c r="C690" s="30" t="s">
        <v>817</v>
      </c>
      <c r="D690" s="32" t="n">
        <f aca="false">SUMIF('Libro Diario'!$C$5:$C$504,A690,'Libro Diario'!$F$5:$F$504)</f>
        <v>0</v>
      </c>
      <c r="E690" s="32" t="n">
        <f aca="false">SUMIF('Libro Diario'!$C$5:$C$504,A690,'Libro Diario'!$G$5:$G$504)</f>
        <v>0</v>
      </c>
      <c r="F690" s="32" t="n">
        <f aca="false">IF(D690&gt;=E690,D690-E690,0)</f>
        <v>0</v>
      </c>
      <c r="G690" s="32" t="n">
        <f aca="false">IF(E690&gt;D690,E690-D690,0)</f>
        <v>0</v>
      </c>
    </row>
    <row r="691" customFormat="false" ht="15" hidden="false" customHeight="true" outlineLevel="0" collapsed="false">
      <c r="A691" s="30" t="s">
        <v>943</v>
      </c>
      <c r="B691" s="31" t="s">
        <v>944</v>
      </c>
      <c r="C691" s="30" t="s">
        <v>817</v>
      </c>
      <c r="D691" s="32" t="n">
        <f aca="false">SUMIF('Libro Diario'!$C$5:$C$504,A691,'Libro Diario'!$F$5:$F$504)</f>
        <v>0</v>
      </c>
      <c r="E691" s="32" t="n">
        <f aca="false">SUMIF('Libro Diario'!$C$5:$C$504,A691,'Libro Diario'!$G$5:$G$504)</f>
        <v>0</v>
      </c>
      <c r="F691" s="32" t="n">
        <f aca="false">IF(D691&gt;=E691,D691-E691,0)</f>
        <v>0</v>
      </c>
      <c r="G691" s="32" t="n">
        <f aca="false">IF(E691&gt;D691,E691-D691,0)</f>
        <v>0</v>
      </c>
    </row>
    <row r="692" customFormat="false" ht="15" hidden="false" customHeight="true" outlineLevel="0" collapsed="false">
      <c r="A692" s="30" t="s">
        <v>945</v>
      </c>
      <c r="B692" s="31" t="s">
        <v>946</v>
      </c>
      <c r="C692" s="30" t="s">
        <v>817</v>
      </c>
      <c r="D692" s="32" t="n">
        <f aca="false">SUMIF('Libro Diario'!$C$5:$C$504,A692,'Libro Diario'!$F$5:$F$504)</f>
        <v>0</v>
      </c>
      <c r="E692" s="32" t="n">
        <f aca="false">SUMIF('Libro Diario'!$C$5:$C$504,A692,'Libro Diario'!$G$5:$G$504)</f>
        <v>0</v>
      </c>
      <c r="F692" s="32" t="n">
        <f aca="false">IF(D692&gt;=E692,D692-E692,0)</f>
        <v>0</v>
      </c>
      <c r="G692" s="32" t="n">
        <f aca="false">IF(E692&gt;D692,E692-D692,0)</f>
        <v>0</v>
      </c>
    </row>
    <row r="693" customFormat="false" ht="15" hidden="false" customHeight="true" outlineLevel="0" collapsed="false">
      <c r="A693" s="30" t="s">
        <v>947</v>
      </c>
      <c r="B693" s="31" t="s">
        <v>948</v>
      </c>
      <c r="C693" s="30" t="s">
        <v>817</v>
      </c>
      <c r="D693" s="32" t="n">
        <f aca="false">SUMIF('Libro Diario'!$C$5:$C$504,A693,'Libro Diario'!$F$5:$F$504)</f>
        <v>0</v>
      </c>
      <c r="E693" s="32" t="n">
        <f aca="false">SUMIF('Libro Diario'!$C$5:$C$504,A693,'Libro Diario'!$G$5:$G$504)</f>
        <v>0</v>
      </c>
      <c r="F693" s="32" t="n">
        <f aca="false">IF(D693&gt;=E693,D693-E693,0)</f>
        <v>0</v>
      </c>
      <c r="G693" s="32" t="n">
        <f aca="false">IF(E693&gt;D693,E693-D693,0)</f>
        <v>0</v>
      </c>
    </row>
    <row r="694" customFormat="false" ht="15" hidden="false" customHeight="true" outlineLevel="0" collapsed="false">
      <c r="A694" s="30" t="s">
        <v>949</v>
      </c>
      <c r="B694" s="31" t="s">
        <v>950</v>
      </c>
      <c r="C694" s="30" t="s">
        <v>817</v>
      </c>
      <c r="D694" s="32" t="n">
        <f aca="false">SUMIF('Libro Diario'!$C$5:$C$504,A694,'Libro Diario'!$F$5:$F$504)</f>
        <v>0</v>
      </c>
      <c r="E694" s="32" t="n">
        <f aca="false">SUMIF('Libro Diario'!$C$5:$C$504,A694,'Libro Diario'!$G$5:$G$504)</f>
        <v>0</v>
      </c>
      <c r="F694" s="32" t="n">
        <f aca="false">IF(D694&gt;=E694,D694-E694,0)</f>
        <v>0</v>
      </c>
      <c r="G694" s="32" t="n">
        <f aca="false">IF(E694&gt;D694,E694-D694,0)</f>
        <v>0</v>
      </c>
    </row>
    <row r="695" customFormat="false" ht="15" hidden="false" customHeight="true" outlineLevel="0" collapsed="false">
      <c r="A695" s="30" t="s">
        <v>951</v>
      </c>
      <c r="B695" s="31" t="s">
        <v>952</v>
      </c>
      <c r="C695" s="30" t="s">
        <v>817</v>
      </c>
      <c r="D695" s="32" t="n">
        <f aca="false">SUMIF('Libro Diario'!$C$5:$C$504,A695,'Libro Diario'!$F$5:$F$504)</f>
        <v>0</v>
      </c>
      <c r="E695" s="32" t="n">
        <f aca="false">SUMIF('Libro Diario'!$C$5:$C$504,A695,'Libro Diario'!$G$5:$G$504)</f>
        <v>0</v>
      </c>
      <c r="F695" s="32" t="n">
        <f aca="false">IF(D695&gt;=E695,D695-E695,0)</f>
        <v>0</v>
      </c>
      <c r="G695" s="32" t="n">
        <f aca="false">IF(E695&gt;D695,E695-D695,0)</f>
        <v>0</v>
      </c>
    </row>
    <row r="696" customFormat="false" ht="15" hidden="false" customHeight="true" outlineLevel="0" collapsed="false">
      <c r="A696" s="30" t="s">
        <v>953</v>
      </c>
      <c r="B696" s="31" t="s">
        <v>954</v>
      </c>
      <c r="C696" s="30" t="s">
        <v>817</v>
      </c>
      <c r="D696" s="32" t="n">
        <f aca="false">SUMIF('Libro Diario'!$C$5:$C$504,A696,'Libro Diario'!$F$5:$F$504)</f>
        <v>0</v>
      </c>
      <c r="E696" s="32" t="n">
        <f aca="false">SUMIF('Libro Diario'!$C$5:$C$504,A696,'Libro Diario'!$G$5:$G$504)</f>
        <v>0</v>
      </c>
      <c r="F696" s="32" t="n">
        <f aca="false">IF(D696&gt;=E696,D696-E696,0)</f>
        <v>0</v>
      </c>
      <c r="G696" s="32" t="n">
        <f aca="false">IF(E696&gt;D696,E696-D696,0)</f>
        <v>0</v>
      </c>
    </row>
    <row r="697" customFormat="false" ht="15" hidden="false" customHeight="true" outlineLevel="0" collapsed="false">
      <c r="A697" s="30" t="s">
        <v>955</v>
      </c>
      <c r="B697" s="31" t="s">
        <v>956</v>
      </c>
      <c r="C697" s="30" t="s">
        <v>817</v>
      </c>
      <c r="D697" s="32" t="n">
        <f aca="false">SUMIF('Libro Diario'!$C$5:$C$504,A697,'Libro Diario'!$F$5:$F$504)</f>
        <v>0</v>
      </c>
      <c r="E697" s="32" t="n">
        <f aca="false">SUMIF('Libro Diario'!$C$5:$C$504,A697,'Libro Diario'!$G$5:$G$504)</f>
        <v>0</v>
      </c>
      <c r="F697" s="32" t="n">
        <f aca="false">IF(D697&gt;=E697,D697-E697,0)</f>
        <v>0</v>
      </c>
      <c r="G697" s="32" t="n">
        <f aca="false">IF(E697&gt;D697,E697-D697,0)</f>
        <v>0</v>
      </c>
    </row>
    <row r="698" customFormat="false" ht="15" hidden="false" customHeight="true" outlineLevel="0" collapsed="false">
      <c r="A698" s="30" t="s">
        <v>957</v>
      </c>
      <c r="B698" s="31" t="s">
        <v>958</v>
      </c>
      <c r="C698" s="30" t="s">
        <v>817</v>
      </c>
      <c r="D698" s="32" t="n">
        <f aca="false">SUMIF('Libro Diario'!$C$5:$C$504,A698,'Libro Diario'!$F$5:$F$504)</f>
        <v>0</v>
      </c>
      <c r="E698" s="32" t="n">
        <f aca="false">SUMIF('Libro Diario'!$C$5:$C$504,A698,'Libro Diario'!$G$5:$G$504)</f>
        <v>0</v>
      </c>
      <c r="F698" s="32" t="n">
        <f aca="false">IF(D698&gt;=E698,D698-E698,0)</f>
        <v>0</v>
      </c>
      <c r="G698" s="32" t="n">
        <f aca="false">IF(E698&gt;D698,E698-D698,0)</f>
        <v>0</v>
      </c>
    </row>
    <row r="699" customFormat="false" ht="15" hidden="false" customHeight="true" outlineLevel="0" collapsed="false">
      <c r="A699" s="30" t="s">
        <v>959</v>
      </c>
      <c r="B699" s="31" t="s">
        <v>954</v>
      </c>
      <c r="C699" s="30" t="s">
        <v>817</v>
      </c>
      <c r="D699" s="32" t="n">
        <f aca="false">SUMIF('Libro Diario'!$C$5:$C$504,A699,'Libro Diario'!$F$5:$F$504)</f>
        <v>0</v>
      </c>
      <c r="E699" s="32" t="n">
        <f aca="false">SUMIF('Libro Diario'!$C$5:$C$504,A699,'Libro Diario'!$G$5:$G$504)</f>
        <v>0</v>
      </c>
      <c r="F699" s="32" t="n">
        <f aca="false">IF(D699&gt;=E699,D699-E699,0)</f>
        <v>0</v>
      </c>
      <c r="G699" s="32" t="n">
        <f aca="false">IF(E699&gt;D699,E699-D699,0)</f>
        <v>0</v>
      </c>
    </row>
    <row r="700" customFormat="false" ht="15" hidden="false" customHeight="true" outlineLevel="0" collapsed="false">
      <c r="A700" s="30" t="s">
        <v>960</v>
      </c>
      <c r="B700" s="31" t="s">
        <v>961</v>
      </c>
      <c r="C700" s="30" t="s">
        <v>817</v>
      </c>
      <c r="D700" s="32" t="n">
        <f aca="false">SUMIF('Libro Diario'!$C$5:$C$504,A700,'Libro Diario'!$F$5:$F$504)</f>
        <v>0</v>
      </c>
      <c r="E700" s="32" t="n">
        <f aca="false">SUMIF('Libro Diario'!$C$5:$C$504,A700,'Libro Diario'!$G$5:$G$504)</f>
        <v>0</v>
      </c>
      <c r="F700" s="32" t="n">
        <f aca="false">IF(D700&gt;=E700,D700-E700,0)</f>
        <v>0</v>
      </c>
      <c r="G700" s="32" t="n">
        <f aca="false">IF(E700&gt;D700,E700-D700,0)</f>
        <v>0</v>
      </c>
    </row>
    <row r="701" customFormat="false" ht="15" hidden="false" customHeight="true" outlineLevel="0" collapsed="false">
      <c r="A701" s="30" t="s">
        <v>962</v>
      </c>
      <c r="B701" s="31" t="s">
        <v>963</v>
      </c>
      <c r="C701" s="30" t="s">
        <v>817</v>
      </c>
      <c r="D701" s="32" t="n">
        <f aca="false">SUMIF('Libro Diario'!$C$5:$C$504,A701,'Libro Diario'!$F$5:$F$504)</f>
        <v>0</v>
      </c>
      <c r="E701" s="32" t="n">
        <f aca="false">SUMIF('Libro Diario'!$C$5:$C$504,A701,'Libro Diario'!$G$5:$G$504)</f>
        <v>0</v>
      </c>
      <c r="F701" s="32" t="n">
        <f aca="false">IF(D701&gt;=E701,D701-E701,0)</f>
        <v>0</v>
      </c>
      <c r="G701" s="32" t="n">
        <f aca="false">IF(E701&gt;D701,E701-D701,0)</f>
        <v>0</v>
      </c>
    </row>
    <row r="702" customFormat="false" ht="15" hidden="false" customHeight="true" outlineLevel="0" collapsed="false">
      <c r="A702" s="30" t="s">
        <v>964</v>
      </c>
      <c r="B702" s="31" t="s">
        <v>965</v>
      </c>
      <c r="C702" s="30" t="s">
        <v>817</v>
      </c>
      <c r="D702" s="32" t="n">
        <f aca="false">SUMIF('Libro Diario'!$C$5:$C$504,A702,'Libro Diario'!$F$5:$F$504)</f>
        <v>0</v>
      </c>
      <c r="E702" s="32" t="n">
        <f aca="false">SUMIF('Libro Diario'!$C$5:$C$504,A702,'Libro Diario'!$G$5:$G$504)</f>
        <v>0</v>
      </c>
      <c r="F702" s="32" t="n">
        <f aca="false">IF(D702&gt;=E702,D702-E702,0)</f>
        <v>0</v>
      </c>
      <c r="G702" s="32" t="n">
        <f aca="false">IF(E702&gt;D702,E702-D702,0)</f>
        <v>0</v>
      </c>
    </row>
    <row r="703" customFormat="false" ht="15" hidden="false" customHeight="true" outlineLevel="0" collapsed="false">
      <c r="A703" s="30" t="s">
        <v>966</v>
      </c>
      <c r="B703" s="31" t="s">
        <v>967</v>
      </c>
      <c r="C703" s="30" t="s">
        <v>817</v>
      </c>
      <c r="D703" s="32" t="n">
        <f aca="false">SUMIF('Libro Diario'!$C$5:$C$504,A703,'Libro Diario'!$F$5:$F$504)</f>
        <v>0</v>
      </c>
      <c r="E703" s="32" t="n">
        <f aca="false">SUMIF('Libro Diario'!$C$5:$C$504,A703,'Libro Diario'!$G$5:$G$504)</f>
        <v>0</v>
      </c>
      <c r="F703" s="32" t="n">
        <f aca="false">IF(D703&gt;=E703,D703-E703,0)</f>
        <v>0</v>
      </c>
      <c r="G703" s="32" t="n">
        <f aca="false">IF(E703&gt;D703,E703-D703,0)</f>
        <v>0</v>
      </c>
    </row>
    <row r="704" customFormat="false" ht="15" hidden="false" customHeight="true" outlineLevel="0" collapsed="false">
      <c r="A704" s="30" t="s">
        <v>968</v>
      </c>
      <c r="B704" s="31" t="s">
        <v>944</v>
      </c>
      <c r="C704" s="30" t="s">
        <v>817</v>
      </c>
      <c r="D704" s="32" t="n">
        <f aca="false">SUMIF('Libro Diario'!$C$5:$C$504,A704,'Libro Diario'!$F$5:$F$504)</f>
        <v>0</v>
      </c>
      <c r="E704" s="32" t="n">
        <f aca="false">SUMIF('Libro Diario'!$C$5:$C$504,A704,'Libro Diario'!$G$5:$G$504)</f>
        <v>0</v>
      </c>
      <c r="F704" s="32" t="n">
        <f aca="false">IF(D704&gt;=E704,D704-E704,0)</f>
        <v>0</v>
      </c>
      <c r="G704" s="32" t="n">
        <f aca="false">IF(E704&gt;D704,E704-D704,0)</f>
        <v>0</v>
      </c>
    </row>
    <row r="705" customFormat="false" ht="15" hidden="false" customHeight="true" outlineLevel="0" collapsed="false">
      <c r="A705" s="30" t="s">
        <v>969</v>
      </c>
      <c r="B705" s="31" t="s">
        <v>946</v>
      </c>
      <c r="C705" s="30" t="s">
        <v>817</v>
      </c>
      <c r="D705" s="32" t="n">
        <f aca="false">SUMIF('Libro Diario'!$C$5:$C$504,A705,'Libro Diario'!$F$5:$F$504)</f>
        <v>0</v>
      </c>
      <c r="E705" s="32" t="n">
        <f aca="false">SUMIF('Libro Diario'!$C$5:$C$504,A705,'Libro Diario'!$G$5:$G$504)</f>
        <v>0</v>
      </c>
      <c r="F705" s="32" t="n">
        <f aca="false">IF(D705&gt;=E705,D705-E705,0)</f>
        <v>0</v>
      </c>
      <c r="G705" s="32" t="n">
        <f aca="false">IF(E705&gt;D705,E705-D705,0)</f>
        <v>0</v>
      </c>
    </row>
    <row r="706" customFormat="false" ht="15" hidden="false" customHeight="true" outlineLevel="0" collapsed="false">
      <c r="A706" s="30" t="s">
        <v>970</v>
      </c>
      <c r="B706" s="31" t="s">
        <v>948</v>
      </c>
      <c r="C706" s="30" t="s">
        <v>817</v>
      </c>
      <c r="D706" s="32" t="n">
        <f aca="false">SUMIF('Libro Diario'!$C$5:$C$504,A706,'Libro Diario'!$F$5:$F$504)</f>
        <v>0</v>
      </c>
      <c r="E706" s="32" t="n">
        <f aca="false">SUMIF('Libro Diario'!$C$5:$C$504,A706,'Libro Diario'!$G$5:$G$504)</f>
        <v>0</v>
      </c>
      <c r="F706" s="32" t="n">
        <f aca="false">IF(D706&gt;=E706,D706-E706,0)</f>
        <v>0</v>
      </c>
      <c r="G706" s="32" t="n">
        <f aca="false">IF(E706&gt;D706,E706-D706,0)</f>
        <v>0</v>
      </c>
    </row>
    <row r="707" customFormat="false" ht="15" hidden="false" customHeight="true" outlineLevel="0" collapsed="false">
      <c r="A707" s="30" t="s">
        <v>971</v>
      </c>
      <c r="B707" s="31" t="s">
        <v>950</v>
      </c>
      <c r="C707" s="30" t="s">
        <v>817</v>
      </c>
      <c r="D707" s="32" t="n">
        <f aca="false">SUMIF('Libro Diario'!$C$5:$C$504,A707,'Libro Diario'!$F$5:$F$504)</f>
        <v>0</v>
      </c>
      <c r="E707" s="32" t="n">
        <f aca="false">SUMIF('Libro Diario'!$C$5:$C$504,A707,'Libro Diario'!$G$5:$G$504)</f>
        <v>0</v>
      </c>
      <c r="F707" s="32" t="n">
        <f aca="false">IF(D707&gt;=E707,D707-E707,0)</f>
        <v>0</v>
      </c>
      <c r="G707" s="32" t="n">
        <f aca="false">IF(E707&gt;D707,E707-D707,0)</f>
        <v>0</v>
      </c>
    </row>
    <row r="708" customFormat="false" ht="15" hidden="false" customHeight="true" outlineLevel="0" collapsed="false">
      <c r="A708" s="30" t="s">
        <v>972</v>
      </c>
      <c r="B708" s="31" t="s">
        <v>952</v>
      </c>
      <c r="C708" s="30" t="s">
        <v>817</v>
      </c>
      <c r="D708" s="32" t="n">
        <f aca="false">SUMIF('Libro Diario'!$C$5:$C$504,A708,'Libro Diario'!$F$5:$F$504)</f>
        <v>0</v>
      </c>
      <c r="E708" s="32" t="n">
        <f aca="false">SUMIF('Libro Diario'!$C$5:$C$504,A708,'Libro Diario'!$G$5:$G$504)</f>
        <v>0</v>
      </c>
      <c r="F708" s="32" t="n">
        <f aca="false">IF(D708&gt;=E708,D708-E708,0)</f>
        <v>0</v>
      </c>
      <c r="G708" s="32" t="n">
        <f aca="false">IF(E708&gt;D708,E708-D708,0)</f>
        <v>0</v>
      </c>
    </row>
    <row r="709" customFormat="false" ht="15" hidden="false" customHeight="true" outlineLevel="0" collapsed="false">
      <c r="A709" s="30" t="s">
        <v>973</v>
      </c>
      <c r="B709" s="31" t="s">
        <v>954</v>
      </c>
      <c r="C709" s="30" t="s">
        <v>817</v>
      </c>
      <c r="D709" s="32" t="n">
        <f aca="false">SUMIF('Libro Diario'!$C$5:$C$504,A709,'Libro Diario'!$F$5:$F$504)</f>
        <v>0</v>
      </c>
      <c r="E709" s="32" t="n">
        <f aca="false">SUMIF('Libro Diario'!$C$5:$C$504,A709,'Libro Diario'!$G$5:$G$504)</f>
        <v>0</v>
      </c>
      <c r="F709" s="32" t="n">
        <f aca="false">IF(D709&gt;=E709,D709-E709,0)</f>
        <v>0</v>
      </c>
      <c r="G709" s="32" t="n">
        <f aca="false">IF(E709&gt;D709,E709-D709,0)</f>
        <v>0</v>
      </c>
    </row>
    <row r="710" customFormat="false" ht="15" hidden="false" customHeight="true" outlineLevel="0" collapsed="false">
      <c r="A710" s="30" t="s">
        <v>974</v>
      </c>
      <c r="B710" s="31" t="s">
        <v>956</v>
      </c>
      <c r="C710" s="30" t="s">
        <v>817</v>
      </c>
      <c r="D710" s="32" t="n">
        <f aca="false">SUMIF('Libro Diario'!$C$5:$C$504,A710,'Libro Diario'!$F$5:$F$504)</f>
        <v>0</v>
      </c>
      <c r="E710" s="32" t="n">
        <f aca="false">SUMIF('Libro Diario'!$C$5:$C$504,A710,'Libro Diario'!$G$5:$G$504)</f>
        <v>0</v>
      </c>
      <c r="F710" s="32" t="n">
        <f aca="false">IF(D710&gt;=E710,D710-E710,0)</f>
        <v>0</v>
      </c>
      <c r="G710" s="32" t="n">
        <f aca="false">IF(E710&gt;D710,E710-D710,0)</f>
        <v>0</v>
      </c>
    </row>
    <row r="711" customFormat="false" ht="15" hidden="false" customHeight="true" outlineLevel="0" collapsed="false">
      <c r="A711" s="30" t="s">
        <v>975</v>
      </c>
      <c r="B711" s="31" t="s">
        <v>958</v>
      </c>
      <c r="C711" s="30" t="s">
        <v>817</v>
      </c>
      <c r="D711" s="32" t="n">
        <f aca="false">SUMIF('Libro Diario'!$C$5:$C$504,A711,'Libro Diario'!$F$5:$F$504)</f>
        <v>0</v>
      </c>
      <c r="E711" s="32" t="n">
        <f aca="false">SUMIF('Libro Diario'!$C$5:$C$504,A711,'Libro Diario'!$G$5:$G$504)</f>
        <v>0</v>
      </c>
      <c r="F711" s="32" t="n">
        <f aca="false">IF(D711&gt;=E711,D711-E711,0)</f>
        <v>0</v>
      </c>
      <c r="G711" s="32" t="n">
        <f aca="false">IF(E711&gt;D711,E711-D711,0)</f>
        <v>0</v>
      </c>
    </row>
    <row r="712" customFormat="false" ht="15" hidden="false" customHeight="true" outlineLevel="0" collapsed="false">
      <c r="A712" s="30" t="s">
        <v>976</v>
      </c>
      <c r="B712" s="31" t="s">
        <v>954</v>
      </c>
      <c r="C712" s="30" t="s">
        <v>817</v>
      </c>
      <c r="D712" s="32" t="n">
        <f aca="false">SUMIF('Libro Diario'!$C$5:$C$504,A712,'Libro Diario'!$F$5:$F$504)</f>
        <v>0</v>
      </c>
      <c r="E712" s="32" t="n">
        <f aca="false">SUMIF('Libro Diario'!$C$5:$C$504,A712,'Libro Diario'!$G$5:$G$504)</f>
        <v>0</v>
      </c>
      <c r="F712" s="32" t="n">
        <f aca="false">IF(D712&gt;=E712,D712-E712,0)</f>
        <v>0</v>
      </c>
      <c r="G712" s="32" t="n">
        <f aca="false">IF(E712&gt;D712,E712-D712,0)</f>
        <v>0</v>
      </c>
    </row>
    <row r="713" customFormat="false" ht="15" hidden="false" customHeight="true" outlineLevel="0" collapsed="false">
      <c r="A713" s="30" t="s">
        <v>977</v>
      </c>
      <c r="B713" s="31" t="s">
        <v>961</v>
      </c>
      <c r="C713" s="30" t="s">
        <v>817</v>
      </c>
      <c r="D713" s="32" t="n">
        <f aca="false">SUMIF('Libro Diario'!$C$5:$C$504,A713,'Libro Diario'!$F$5:$F$504)</f>
        <v>0</v>
      </c>
      <c r="E713" s="32" t="n">
        <f aca="false">SUMIF('Libro Diario'!$C$5:$C$504,A713,'Libro Diario'!$G$5:$G$504)</f>
        <v>0</v>
      </c>
      <c r="F713" s="32" t="n">
        <f aca="false">IF(D713&gt;=E713,D713-E713,0)</f>
        <v>0</v>
      </c>
      <c r="G713" s="32" t="n">
        <f aca="false">IF(E713&gt;D713,E713-D713,0)</f>
        <v>0</v>
      </c>
    </row>
    <row r="714" customFormat="false" ht="15" hidden="false" customHeight="true" outlineLevel="0" collapsed="false">
      <c r="A714" s="30" t="s">
        <v>978</v>
      </c>
      <c r="B714" s="31" t="s">
        <v>963</v>
      </c>
      <c r="C714" s="30" t="s">
        <v>817</v>
      </c>
      <c r="D714" s="32" t="n">
        <f aca="false">SUMIF('Libro Diario'!$C$5:$C$504,A714,'Libro Diario'!$F$5:$F$504)</f>
        <v>0</v>
      </c>
      <c r="E714" s="32" t="n">
        <f aca="false">SUMIF('Libro Diario'!$C$5:$C$504,A714,'Libro Diario'!$G$5:$G$504)</f>
        <v>0</v>
      </c>
      <c r="F714" s="32" t="n">
        <f aca="false">IF(D714&gt;=E714,D714-E714,0)</f>
        <v>0</v>
      </c>
      <c r="G714" s="32" t="n">
        <f aca="false">IF(E714&gt;D714,E714-D714,0)</f>
        <v>0</v>
      </c>
    </row>
    <row r="715" customFormat="false" ht="15" hidden="false" customHeight="true" outlineLevel="0" collapsed="false">
      <c r="A715" s="30" t="s">
        <v>979</v>
      </c>
      <c r="B715" s="31" t="s">
        <v>965</v>
      </c>
      <c r="C715" s="30" t="s">
        <v>817</v>
      </c>
      <c r="D715" s="32" t="n">
        <f aca="false">SUMIF('Libro Diario'!$C$5:$C$504,A715,'Libro Diario'!$F$5:$F$504)</f>
        <v>0</v>
      </c>
      <c r="E715" s="32" t="n">
        <f aca="false">SUMIF('Libro Diario'!$C$5:$C$504,A715,'Libro Diario'!$G$5:$G$504)</f>
        <v>0</v>
      </c>
      <c r="F715" s="32" t="n">
        <f aca="false">IF(D715&gt;=E715,D715-E715,0)</f>
        <v>0</v>
      </c>
      <c r="G715" s="32" t="n">
        <f aca="false">IF(E715&gt;D715,E715-D715,0)</f>
        <v>0</v>
      </c>
    </row>
    <row r="716" customFormat="false" ht="15" hidden="false" customHeight="true" outlineLevel="0" collapsed="false">
      <c r="A716" s="30" t="s">
        <v>980</v>
      </c>
      <c r="B716" s="31" t="s">
        <v>967</v>
      </c>
      <c r="C716" s="30" t="s">
        <v>817</v>
      </c>
      <c r="D716" s="32" t="n">
        <f aca="false">SUMIF('Libro Diario'!$C$5:$C$504,A716,'Libro Diario'!$F$5:$F$504)</f>
        <v>0</v>
      </c>
      <c r="E716" s="32" t="n">
        <f aca="false">SUMIF('Libro Diario'!$C$5:$C$504,A716,'Libro Diario'!$G$5:$G$504)</f>
        <v>0</v>
      </c>
      <c r="F716" s="32" t="n">
        <f aca="false">IF(D716&gt;=E716,D716-E716,0)</f>
        <v>0</v>
      </c>
      <c r="G716" s="32" t="n">
        <f aca="false">IF(E716&gt;D716,E716-D716,0)</f>
        <v>0</v>
      </c>
    </row>
    <row r="717" customFormat="false" ht="15" hidden="false" customHeight="true" outlineLevel="0" collapsed="false">
      <c r="A717" s="30" t="s">
        <v>981</v>
      </c>
      <c r="B717" s="31" t="s">
        <v>982</v>
      </c>
      <c r="C717" s="30" t="s">
        <v>817</v>
      </c>
      <c r="D717" s="32" t="n">
        <f aca="false">SUMIF('Libro Diario'!$C$5:$C$504,A717,'Libro Diario'!$F$5:$F$504)</f>
        <v>0</v>
      </c>
      <c r="E717" s="32" t="n">
        <f aca="false">SUMIF('Libro Diario'!$C$5:$C$504,A717,'Libro Diario'!$G$5:$G$504)</f>
        <v>0</v>
      </c>
      <c r="F717" s="32" t="n">
        <f aca="false">IF(D717&gt;=E717,D717-E717,0)</f>
        <v>0</v>
      </c>
      <c r="G717" s="32" t="n">
        <f aca="false">IF(E717&gt;D717,E717-D717,0)</f>
        <v>0</v>
      </c>
    </row>
    <row r="718" customFormat="false" ht="15" hidden="false" customHeight="true" outlineLevel="0" collapsed="false">
      <c r="A718" s="30" t="s">
        <v>983</v>
      </c>
      <c r="B718" s="31" t="s">
        <v>984</v>
      </c>
      <c r="C718" s="30" t="s">
        <v>817</v>
      </c>
      <c r="D718" s="32" t="n">
        <f aca="false">SUMIF('Libro Diario'!$C$5:$C$504,A718,'Libro Diario'!$F$5:$F$504)</f>
        <v>0</v>
      </c>
      <c r="E718" s="32" t="n">
        <f aca="false">SUMIF('Libro Diario'!$C$5:$C$504,A718,'Libro Diario'!$G$5:$G$504)</f>
        <v>0</v>
      </c>
      <c r="F718" s="32" t="n">
        <f aca="false">IF(D718&gt;=E718,D718-E718,0)</f>
        <v>0</v>
      </c>
      <c r="G718" s="32" t="n">
        <f aca="false">IF(E718&gt;D718,E718-D718,0)</f>
        <v>0</v>
      </c>
    </row>
    <row r="719" customFormat="false" ht="15" hidden="false" customHeight="true" outlineLevel="0" collapsed="false">
      <c r="A719" s="30" t="s">
        <v>985</v>
      </c>
      <c r="B719" s="31" t="s">
        <v>986</v>
      </c>
      <c r="C719" s="30" t="s">
        <v>817</v>
      </c>
      <c r="D719" s="32" t="n">
        <f aca="false">SUMIF('Libro Diario'!$C$5:$C$504,A719,'Libro Diario'!$F$5:$F$504)</f>
        <v>0</v>
      </c>
      <c r="E719" s="32" t="n">
        <f aca="false">SUMIF('Libro Diario'!$C$5:$C$504,A719,'Libro Diario'!$G$5:$G$504)</f>
        <v>0</v>
      </c>
      <c r="F719" s="32" t="n">
        <f aca="false">IF(D719&gt;=E719,D719-E719,0)</f>
        <v>0</v>
      </c>
      <c r="G719" s="32" t="n">
        <f aca="false">IF(E719&gt;D719,E719-D719,0)</f>
        <v>0</v>
      </c>
    </row>
    <row r="720" customFormat="false" ht="15" hidden="false" customHeight="true" outlineLevel="0" collapsed="false">
      <c r="A720" s="30" t="s">
        <v>987</v>
      </c>
      <c r="B720" s="31" t="s">
        <v>988</v>
      </c>
      <c r="C720" s="30" t="s">
        <v>817</v>
      </c>
      <c r="D720" s="32" t="n">
        <f aca="false">SUMIF('Libro Diario'!$C$5:$C$504,A720,'Libro Diario'!$F$5:$F$504)</f>
        <v>0</v>
      </c>
      <c r="E720" s="32" t="n">
        <f aca="false">SUMIF('Libro Diario'!$C$5:$C$504,A720,'Libro Diario'!$G$5:$G$504)</f>
        <v>0</v>
      </c>
      <c r="F720" s="32" t="n">
        <f aca="false">IF(D720&gt;=E720,D720-E720,0)</f>
        <v>0</v>
      </c>
      <c r="G720" s="32" t="n">
        <f aca="false">IF(E720&gt;D720,E720-D720,0)</f>
        <v>0</v>
      </c>
    </row>
    <row r="721" customFormat="false" ht="15" hidden="false" customHeight="true" outlineLevel="0" collapsed="false">
      <c r="A721" s="30" t="s">
        <v>989</v>
      </c>
      <c r="B721" s="31" t="s">
        <v>990</v>
      </c>
      <c r="C721" s="30" t="s">
        <v>817</v>
      </c>
      <c r="D721" s="32" t="n">
        <f aca="false">SUMIF('Libro Diario'!$C$5:$C$504,A721,'Libro Diario'!$F$5:$F$504)</f>
        <v>0</v>
      </c>
      <c r="E721" s="32" t="n">
        <f aca="false">SUMIF('Libro Diario'!$C$5:$C$504,A721,'Libro Diario'!$G$5:$G$504)</f>
        <v>0</v>
      </c>
      <c r="F721" s="32" t="n">
        <f aca="false">IF(D721&gt;=E721,D721-E721,0)</f>
        <v>0</v>
      </c>
      <c r="G721" s="32" t="n">
        <f aca="false">IF(E721&gt;D721,E721-D721,0)</f>
        <v>0</v>
      </c>
    </row>
    <row r="722" customFormat="false" ht="15" hidden="false" customHeight="true" outlineLevel="0" collapsed="false">
      <c r="A722" s="30" t="s">
        <v>991</v>
      </c>
      <c r="B722" s="31" t="s">
        <v>992</v>
      </c>
      <c r="C722" s="30" t="s">
        <v>817</v>
      </c>
      <c r="D722" s="32" t="n">
        <f aca="false">SUMIF('Libro Diario'!$C$5:$C$504,A722,'Libro Diario'!$F$5:$F$504)</f>
        <v>0</v>
      </c>
      <c r="E722" s="32" t="n">
        <f aca="false">SUMIF('Libro Diario'!$C$5:$C$504,A722,'Libro Diario'!$G$5:$G$504)</f>
        <v>0</v>
      </c>
      <c r="F722" s="32" t="n">
        <f aca="false">IF(D722&gt;=E722,D722-E722,0)</f>
        <v>0</v>
      </c>
      <c r="G722" s="32" t="n">
        <f aca="false">IF(E722&gt;D722,E722-D722,0)</f>
        <v>0</v>
      </c>
    </row>
    <row r="723" customFormat="false" ht="15" hidden="false" customHeight="true" outlineLevel="0" collapsed="false">
      <c r="A723" s="30" t="s">
        <v>993</v>
      </c>
      <c r="B723" s="31" t="s">
        <v>154</v>
      </c>
      <c r="C723" s="30" t="s">
        <v>817</v>
      </c>
      <c r="D723" s="32" t="n">
        <f aca="false">SUMIF('Libro Diario'!$C$5:$C$504,A723,'Libro Diario'!$F$5:$F$504)</f>
        <v>0</v>
      </c>
      <c r="E723" s="32" t="n">
        <f aca="false">SUMIF('Libro Diario'!$C$5:$C$504,A723,'Libro Diario'!$G$5:$G$504)</f>
        <v>0</v>
      </c>
      <c r="F723" s="32" t="n">
        <f aca="false">IF(D723&gt;=E723,D723-E723,0)</f>
        <v>0</v>
      </c>
      <c r="G723" s="32" t="n">
        <f aca="false">IF(E723&gt;D723,E723-D723,0)</f>
        <v>0</v>
      </c>
    </row>
    <row r="724" customFormat="false" ht="15" hidden="false" customHeight="true" outlineLevel="0" collapsed="false">
      <c r="A724" s="30" t="s">
        <v>994</v>
      </c>
      <c r="B724" s="31" t="s">
        <v>995</v>
      </c>
      <c r="C724" s="30" t="s">
        <v>817</v>
      </c>
      <c r="D724" s="32" t="n">
        <f aca="false">SUMIF('Libro Diario'!$C$5:$C$504,A724,'Libro Diario'!$F$5:$F$504)</f>
        <v>0</v>
      </c>
      <c r="E724" s="32" t="n">
        <f aca="false">SUMIF('Libro Diario'!$C$5:$C$504,A724,'Libro Diario'!$G$5:$G$504)</f>
        <v>0</v>
      </c>
      <c r="F724" s="32" t="n">
        <f aca="false">IF(D724&gt;=E724,D724-E724,0)</f>
        <v>0</v>
      </c>
      <c r="G724" s="32" t="n">
        <f aca="false">IF(E724&gt;D724,E724-D724,0)</f>
        <v>0</v>
      </c>
    </row>
    <row r="725" customFormat="false" ht="15" hidden="false" customHeight="true" outlineLevel="0" collapsed="false">
      <c r="A725" s="30" t="s">
        <v>996</v>
      </c>
      <c r="B725" s="31" t="s">
        <v>156</v>
      </c>
      <c r="C725" s="30" t="s">
        <v>817</v>
      </c>
      <c r="D725" s="32" t="n">
        <f aca="false">SUMIF('Libro Diario'!$C$5:$C$504,A725,'Libro Diario'!$F$5:$F$504)</f>
        <v>0</v>
      </c>
      <c r="E725" s="32" t="n">
        <f aca="false">SUMIF('Libro Diario'!$C$5:$C$504,A725,'Libro Diario'!$G$5:$G$504)</f>
        <v>0</v>
      </c>
      <c r="F725" s="32" t="n">
        <f aca="false">IF(D725&gt;=E725,D725-E725,0)</f>
        <v>0</v>
      </c>
      <c r="G725" s="32" t="n">
        <f aca="false">IF(E725&gt;D725,E725-D725,0)</f>
        <v>0</v>
      </c>
    </row>
    <row r="726" customFormat="false" ht="15" hidden="false" customHeight="true" outlineLevel="0" collapsed="false">
      <c r="A726" s="30" t="s">
        <v>997</v>
      </c>
      <c r="B726" s="31" t="s">
        <v>158</v>
      </c>
      <c r="C726" s="30" t="s">
        <v>817</v>
      </c>
      <c r="D726" s="32" t="n">
        <f aca="false">SUMIF('Libro Diario'!$C$5:$C$504,A726,'Libro Diario'!$F$5:$F$504)</f>
        <v>0</v>
      </c>
      <c r="E726" s="32" t="n">
        <f aca="false">SUMIF('Libro Diario'!$C$5:$C$504,A726,'Libro Diario'!$G$5:$G$504)</f>
        <v>0</v>
      </c>
      <c r="F726" s="32" t="n">
        <f aca="false">IF(D726&gt;=E726,D726-E726,0)</f>
        <v>0</v>
      </c>
      <c r="G726" s="32" t="n">
        <f aca="false">IF(E726&gt;D726,E726-D726,0)</f>
        <v>0</v>
      </c>
    </row>
    <row r="727" customFormat="false" ht="15" hidden="false" customHeight="true" outlineLevel="0" collapsed="false">
      <c r="A727" s="30" t="s">
        <v>998</v>
      </c>
      <c r="B727" s="31" t="s">
        <v>160</v>
      </c>
      <c r="C727" s="30" t="s">
        <v>817</v>
      </c>
      <c r="D727" s="32" t="n">
        <f aca="false">SUMIF('Libro Diario'!$C$5:$C$504,A727,'Libro Diario'!$F$5:$F$504)</f>
        <v>0</v>
      </c>
      <c r="E727" s="32" t="n">
        <f aca="false">SUMIF('Libro Diario'!$C$5:$C$504,A727,'Libro Diario'!$G$5:$G$504)</f>
        <v>0</v>
      </c>
      <c r="F727" s="32" t="n">
        <f aca="false">IF(D727&gt;=E727,D727-E727,0)</f>
        <v>0</v>
      </c>
      <c r="G727" s="32" t="n">
        <f aca="false">IF(E727&gt;D727,E727-D727,0)</f>
        <v>0</v>
      </c>
    </row>
    <row r="728" customFormat="false" ht="15" hidden="false" customHeight="true" outlineLevel="0" collapsed="false">
      <c r="A728" s="30" t="s">
        <v>999</v>
      </c>
      <c r="B728" s="31" t="s">
        <v>1000</v>
      </c>
      <c r="C728" s="30" t="s">
        <v>817</v>
      </c>
      <c r="D728" s="32" t="n">
        <f aca="false">SUMIF('Libro Diario'!$C$5:$C$504,A728,'Libro Diario'!$F$5:$F$504)</f>
        <v>0</v>
      </c>
      <c r="E728" s="32" t="n">
        <f aca="false">SUMIF('Libro Diario'!$C$5:$C$504,A728,'Libro Diario'!$G$5:$G$504)</f>
        <v>0</v>
      </c>
      <c r="F728" s="32" t="n">
        <f aca="false">IF(D728&gt;=E728,D728-E728,0)</f>
        <v>0</v>
      </c>
      <c r="G728" s="32" t="n">
        <f aca="false">IF(E728&gt;D728,E728-D728,0)</f>
        <v>0</v>
      </c>
    </row>
    <row r="729" customFormat="false" ht="15" hidden="false" customHeight="true" outlineLevel="0" collapsed="false">
      <c r="A729" s="30" t="s">
        <v>1001</v>
      </c>
      <c r="B729" s="31" t="s">
        <v>1002</v>
      </c>
      <c r="C729" s="30" t="s">
        <v>817</v>
      </c>
      <c r="D729" s="32" t="n">
        <f aca="false">SUMIF('Libro Diario'!$C$5:$C$504,A729,'Libro Diario'!$F$5:$F$504)</f>
        <v>0</v>
      </c>
      <c r="E729" s="32" t="n">
        <f aca="false">SUMIF('Libro Diario'!$C$5:$C$504,A729,'Libro Diario'!$G$5:$G$504)</f>
        <v>0</v>
      </c>
      <c r="F729" s="32" t="n">
        <f aca="false">IF(D729&gt;=E729,D729-E729,0)</f>
        <v>0</v>
      </c>
      <c r="G729" s="32" t="n">
        <f aca="false">IF(E729&gt;D729,E729-D729,0)</f>
        <v>0</v>
      </c>
    </row>
    <row r="730" customFormat="false" ht="15" hidden="false" customHeight="true" outlineLevel="0" collapsed="false">
      <c r="A730" s="30" t="s">
        <v>1003</v>
      </c>
      <c r="B730" s="31" t="s">
        <v>1004</v>
      </c>
      <c r="C730" s="30" t="s">
        <v>817</v>
      </c>
      <c r="D730" s="32" t="n">
        <f aca="false">SUMIF('Libro Diario'!$C$5:$C$504,A730,'Libro Diario'!$F$5:$F$504)</f>
        <v>0</v>
      </c>
      <c r="E730" s="32" t="n">
        <f aca="false">SUMIF('Libro Diario'!$C$5:$C$504,A730,'Libro Diario'!$G$5:$G$504)</f>
        <v>0</v>
      </c>
      <c r="F730" s="32" t="n">
        <f aca="false">IF(D730&gt;=E730,D730-E730,0)</f>
        <v>0</v>
      </c>
      <c r="G730" s="32" t="n">
        <f aca="false">IF(E730&gt;D730,E730-D730,0)</f>
        <v>0</v>
      </c>
    </row>
    <row r="731" customFormat="false" ht="15" hidden="false" customHeight="true" outlineLevel="0" collapsed="false">
      <c r="A731" s="30" t="s">
        <v>1005</v>
      </c>
      <c r="B731" s="31" t="s">
        <v>1006</v>
      </c>
      <c r="C731" s="30" t="s">
        <v>817</v>
      </c>
      <c r="D731" s="32" t="n">
        <f aca="false">SUMIF('Libro Diario'!$C$5:$C$504,A731,'Libro Diario'!$F$5:$F$504)</f>
        <v>0</v>
      </c>
      <c r="E731" s="32" t="n">
        <f aca="false">SUMIF('Libro Diario'!$C$5:$C$504,A731,'Libro Diario'!$G$5:$G$504)</f>
        <v>0</v>
      </c>
      <c r="F731" s="32" t="n">
        <f aca="false">IF(D731&gt;=E731,D731-E731,0)</f>
        <v>0</v>
      </c>
      <c r="G731" s="32" t="n">
        <f aca="false">IF(E731&gt;D731,E731-D731,0)</f>
        <v>0</v>
      </c>
    </row>
    <row r="732" customFormat="false" ht="15" hidden="false" customHeight="true" outlineLevel="0" collapsed="false">
      <c r="A732" s="30" t="s">
        <v>1007</v>
      </c>
      <c r="B732" s="31" t="s">
        <v>939</v>
      </c>
      <c r="C732" s="30" t="s">
        <v>817</v>
      </c>
      <c r="D732" s="32" t="n">
        <f aca="false">SUMIF('Libro Diario'!$C$5:$C$504,A732,'Libro Diario'!$F$5:$F$504)</f>
        <v>0</v>
      </c>
      <c r="E732" s="32" t="n">
        <f aca="false">SUMIF('Libro Diario'!$C$5:$C$504,A732,'Libro Diario'!$G$5:$G$504)</f>
        <v>0</v>
      </c>
      <c r="F732" s="32" t="n">
        <f aca="false">IF(D732&gt;=E732,D732-E732,0)</f>
        <v>0</v>
      </c>
      <c r="G732" s="32" t="n">
        <f aca="false">IF(E732&gt;D732,E732-D732,0)</f>
        <v>0</v>
      </c>
    </row>
    <row r="733" customFormat="false" ht="15" hidden="false" customHeight="true" outlineLevel="0" collapsed="false">
      <c r="A733" s="30" t="s">
        <v>1008</v>
      </c>
      <c r="B733" s="31" t="s">
        <v>107</v>
      </c>
      <c r="C733" s="30" t="s">
        <v>817</v>
      </c>
      <c r="D733" s="32" t="n">
        <f aca="false">SUMIF('Libro Diario'!$C$5:$C$504,A733,'Libro Diario'!$F$5:$F$504)</f>
        <v>0</v>
      </c>
      <c r="E733" s="32" t="n">
        <f aca="false">SUMIF('Libro Diario'!$C$5:$C$504,A733,'Libro Diario'!$G$5:$G$504)</f>
        <v>0</v>
      </c>
      <c r="F733" s="32" t="n">
        <f aca="false">IF(D733&gt;=E733,D733-E733,0)</f>
        <v>0</v>
      </c>
      <c r="G733" s="32" t="n">
        <f aca="false">IF(E733&gt;D733,E733-D733,0)</f>
        <v>0</v>
      </c>
    </row>
    <row r="734" customFormat="false" ht="15" hidden="false" customHeight="true" outlineLevel="0" collapsed="false">
      <c r="A734" s="30" t="s">
        <v>1009</v>
      </c>
      <c r="B734" s="31" t="s">
        <v>285</v>
      </c>
      <c r="C734" s="30" t="s">
        <v>817</v>
      </c>
      <c r="D734" s="32" t="n">
        <f aca="false">SUMIF('Libro Diario'!$C$5:$C$504,A734,'Libro Diario'!$F$5:$F$504)</f>
        <v>0</v>
      </c>
      <c r="E734" s="32" t="n">
        <f aca="false">SUMIF('Libro Diario'!$C$5:$C$504,A734,'Libro Diario'!$G$5:$G$504)</f>
        <v>0</v>
      </c>
      <c r="F734" s="32" t="n">
        <f aca="false">IF(D734&gt;=E734,D734-E734,0)</f>
        <v>0</v>
      </c>
      <c r="G734" s="32" t="n">
        <f aca="false">IF(E734&gt;D734,E734-D734,0)</f>
        <v>0</v>
      </c>
    </row>
    <row r="735" customFormat="false" ht="15" hidden="false" customHeight="true" outlineLevel="0" collapsed="false">
      <c r="A735" s="30" t="s">
        <v>1010</v>
      </c>
      <c r="B735" s="31" t="s">
        <v>102</v>
      </c>
      <c r="C735" s="30" t="s">
        <v>817</v>
      </c>
      <c r="D735" s="32" t="n">
        <f aca="false">SUMIF('Libro Diario'!$C$5:$C$504,A735,'Libro Diario'!$F$5:$F$504)</f>
        <v>0</v>
      </c>
      <c r="E735" s="32" t="n">
        <f aca="false">SUMIF('Libro Diario'!$C$5:$C$504,A735,'Libro Diario'!$G$5:$G$504)</f>
        <v>0</v>
      </c>
      <c r="F735" s="32" t="n">
        <f aca="false">IF(D735&gt;=E735,D735-E735,0)</f>
        <v>0</v>
      </c>
      <c r="G735" s="32" t="n">
        <f aca="false">IF(E735&gt;D735,E735-D735,0)</f>
        <v>0</v>
      </c>
    </row>
    <row r="736" customFormat="false" ht="15" hidden="false" customHeight="true" outlineLevel="0" collapsed="false">
      <c r="A736" s="30" t="s">
        <v>1011</v>
      </c>
      <c r="B736" s="31" t="s">
        <v>140</v>
      </c>
      <c r="C736" s="30" t="s">
        <v>817</v>
      </c>
      <c r="D736" s="32" t="n">
        <f aca="false">SUMIF('Libro Diario'!$C$5:$C$504,A736,'Libro Diario'!$F$5:$F$504)</f>
        <v>0</v>
      </c>
      <c r="E736" s="32" t="n">
        <f aca="false">SUMIF('Libro Diario'!$C$5:$C$504,A736,'Libro Diario'!$G$5:$G$504)</f>
        <v>0</v>
      </c>
      <c r="F736" s="32" t="n">
        <f aca="false">IF(D736&gt;=E736,D736-E736,0)</f>
        <v>0</v>
      </c>
      <c r="G736" s="32" t="n">
        <f aca="false">IF(E736&gt;D736,E736-D736,0)</f>
        <v>0</v>
      </c>
    </row>
    <row r="737" customFormat="false" ht="15" hidden="false" customHeight="true" outlineLevel="0" collapsed="false">
      <c r="A737" s="30" t="s">
        <v>1012</v>
      </c>
      <c r="B737" s="31" t="s">
        <v>142</v>
      </c>
      <c r="C737" s="30" t="s">
        <v>817</v>
      </c>
      <c r="D737" s="32" t="n">
        <f aca="false">SUMIF('Libro Diario'!$C$5:$C$504,A737,'Libro Diario'!$F$5:$F$504)</f>
        <v>0</v>
      </c>
      <c r="E737" s="32" t="n">
        <f aca="false">SUMIF('Libro Diario'!$C$5:$C$504,A737,'Libro Diario'!$G$5:$G$504)</f>
        <v>0</v>
      </c>
      <c r="F737" s="32" t="n">
        <f aca="false">IF(D737&gt;=E737,D737-E737,0)</f>
        <v>0</v>
      </c>
      <c r="G737" s="32" t="n">
        <f aca="false">IF(E737&gt;D737,E737-D737,0)</f>
        <v>0</v>
      </c>
    </row>
    <row r="738" customFormat="false" ht="15" hidden="false" customHeight="true" outlineLevel="0" collapsed="false">
      <c r="A738" s="30" t="s">
        <v>1013</v>
      </c>
      <c r="B738" s="31" t="s">
        <v>1002</v>
      </c>
      <c r="C738" s="30" t="s">
        <v>817</v>
      </c>
      <c r="D738" s="32" t="n">
        <f aca="false">SUMIF('Libro Diario'!$C$5:$C$504,A738,'Libro Diario'!$F$5:$F$504)</f>
        <v>0</v>
      </c>
      <c r="E738" s="32" t="n">
        <f aca="false">SUMIF('Libro Diario'!$C$5:$C$504,A738,'Libro Diario'!$G$5:$G$504)</f>
        <v>0</v>
      </c>
      <c r="F738" s="32" t="n">
        <f aca="false">IF(D738&gt;=E738,D738-E738,0)</f>
        <v>0</v>
      </c>
      <c r="G738" s="32" t="n">
        <f aca="false">IF(E738&gt;D738,E738-D738,0)</f>
        <v>0</v>
      </c>
    </row>
    <row r="739" customFormat="false" ht="15" hidden="false" customHeight="true" outlineLevel="0" collapsed="false">
      <c r="A739" s="30" t="s">
        <v>1014</v>
      </c>
      <c r="B739" s="31" t="s">
        <v>992</v>
      </c>
      <c r="C739" s="30" t="s">
        <v>817</v>
      </c>
      <c r="D739" s="32" t="n">
        <f aca="false">SUMIF('Libro Diario'!$C$5:$C$504,A739,'Libro Diario'!$F$5:$F$504)</f>
        <v>0</v>
      </c>
      <c r="E739" s="32" t="n">
        <f aca="false">SUMIF('Libro Diario'!$C$5:$C$504,A739,'Libro Diario'!$G$5:$G$504)</f>
        <v>0</v>
      </c>
      <c r="F739" s="32" t="n">
        <f aca="false">IF(D739&gt;=E739,D739-E739,0)</f>
        <v>0</v>
      </c>
      <c r="G739" s="32" t="n">
        <f aca="false">IF(E739&gt;D739,E739-D739,0)</f>
        <v>0</v>
      </c>
    </row>
    <row r="740" customFormat="false" ht="15" hidden="false" customHeight="true" outlineLevel="0" collapsed="false">
      <c r="A740" s="30" t="s">
        <v>1015</v>
      </c>
      <c r="B740" s="31" t="s">
        <v>1016</v>
      </c>
      <c r="C740" s="30" t="s">
        <v>817</v>
      </c>
      <c r="D740" s="32" t="n">
        <f aca="false">SUMIF('Libro Diario'!$C$5:$C$504,A740,'Libro Diario'!$F$5:$F$504)</f>
        <v>0</v>
      </c>
      <c r="E740" s="32" t="n">
        <f aca="false">SUMIF('Libro Diario'!$C$5:$C$504,A740,'Libro Diario'!$G$5:$G$504)</f>
        <v>0</v>
      </c>
      <c r="F740" s="32" t="n">
        <f aca="false">IF(D740&gt;=E740,D740-E740,0)</f>
        <v>0</v>
      </c>
      <c r="G740" s="32" t="n">
        <f aca="false">IF(E740&gt;D740,E740-D740,0)</f>
        <v>0</v>
      </c>
    </row>
    <row r="741" customFormat="false" ht="15" hidden="false" customHeight="true" outlineLevel="0" collapsed="false">
      <c r="A741" s="30" t="s">
        <v>1017</v>
      </c>
      <c r="B741" s="31" t="s">
        <v>995</v>
      </c>
      <c r="C741" s="30" t="s">
        <v>817</v>
      </c>
      <c r="D741" s="32" t="n">
        <f aca="false">SUMIF('Libro Diario'!$C$5:$C$504,A741,'Libro Diario'!$F$5:$F$504)</f>
        <v>0</v>
      </c>
      <c r="E741" s="32" t="n">
        <f aca="false">SUMIF('Libro Diario'!$C$5:$C$504,A741,'Libro Diario'!$G$5:$G$504)</f>
        <v>0</v>
      </c>
      <c r="F741" s="32" t="n">
        <f aca="false">IF(D741&gt;=E741,D741-E741,0)</f>
        <v>0</v>
      </c>
      <c r="G741" s="32" t="n">
        <f aca="false">IF(E741&gt;D741,E741-D741,0)</f>
        <v>0</v>
      </c>
    </row>
    <row r="742" customFormat="false" ht="15" hidden="false" customHeight="true" outlineLevel="0" collapsed="false">
      <c r="A742" s="30" t="s">
        <v>1018</v>
      </c>
      <c r="B742" s="31" t="s">
        <v>156</v>
      </c>
      <c r="C742" s="30" t="s">
        <v>817</v>
      </c>
      <c r="D742" s="32" t="n">
        <f aca="false">SUMIF('Libro Diario'!$C$5:$C$504,A742,'Libro Diario'!$F$5:$F$504)</f>
        <v>0</v>
      </c>
      <c r="E742" s="32" t="n">
        <f aca="false">SUMIF('Libro Diario'!$C$5:$C$504,A742,'Libro Diario'!$G$5:$G$504)</f>
        <v>0</v>
      </c>
      <c r="F742" s="32" t="n">
        <f aca="false">IF(D742&gt;=E742,D742-E742,0)</f>
        <v>0</v>
      </c>
      <c r="G742" s="32" t="n">
        <f aca="false">IF(E742&gt;D742,E742-D742,0)</f>
        <v>0</v>
      </c>
    </row>
    <row r="743" customFormat="false" ht="15" hidden="false" customHeight="true" outlineLevel="0" collapsed="false">
      <c r="A743" s="30" t="s">
        <v>1019</v>
      </c>
      <c r="B743" s="31" t="s">
        <v>158</v>
      </c>
      <c r="C743" s="30" t="s">
        <v>817</v>
      </c>
      <c r="D743" s="32" t="n">
        <f aca="false">SUMIF('Libro Diario'!$C$5:$C$504,A743,'Libro Diario'!$F$5:$F$504)</f>
        <v>0</v>
      </c>
      <c r="E743" s="32" t="n">
        <f aca="false">SUMIF('Libro Diario'!$C$5:$C$504,A743,'Libro Diario'!$G$5:$G$504)</f>
        <v>0</v>
      </c>
      <c r="F743" s="32" t="n">
        <f aca="false">IF(D743&gt;=E743,D743-E743,0)</f>
        <v>0</v>
      </c>
      <c r="G743" s="32" t="n">
        <f aca="false">IF(E743&gt;D743,E743-D743,0)</f>
        <v>0</v>
      </c>
    </row>
    <row r="744" customFormat="false" ht="15" hidden="false" customHeight="true" outlineLevel="0" collapsed="false">
      <c r="A744" s="30" t="s">
        <v>1020</v>
      </c>
      <c r="B744" s="31" t="s">
        <v>160</v>
      </c>
      <c r="C744" s="30" t="s">
        <v>817</v>
      </c>
      <c r="D744" s="32" t="n">
        <f aca="false">SUMIF('Libro Diario'!$C$5:$C$504,A744,'Libro Diario'!$F$5:$F$504)</f>
        <v>0</v>
      </c>
      <c r="E744" s="32" t="n">
        <f aca="false">SUMIF('Libro Diario'!$C$5:$C$504,A744,'Libro Diario'!$G$5:$G$504)</f>
        <v>0</v>
      </c>
      <c r="F744" s="32" t="n">
        <f aca="false">IF(D744&gt;=E744,D744-E744,0)</f>
        <v>0</v>
      </c>
      <c r="G744" s="32" t="n">
        <f aca="false">IF(E744&gt;D744,E744-D744,0)</f>
        <v>0</v>
      </c>
    </row>
    <row r="745" customFormat="false" ht="15" hidden="false" customHeight="true" outlineLevel="0" collapsed="false">
      <c r="A745" s="30" t="s">
        <v>1021</v>
      </c>
      <c r="B745" s="31" t="s">
        <v>1022</v>
      </c>
      <c r="C745" s="30" t="s">
        <v>817</v>
      </c>
      <c r="D745" s="32" t="n">
        <f aca="false">SUMIF('Libro Diario'!$C$5:$C$504,A745,'Libro Diario'!$F$5:$F$504)</f>
        <v>0</v>
      </c>
      <c r="E745" s="32" t="n">
        <f aca="false">SUMIF('Libro Diario'!$C$5:$C$504,A745,'Libro Diario'!$G$5:$G$504)</f>
        <v>0</v>
      </c>
      <c r="F745" s="32" t="n">
        <f aca="false">IF(D745&gt;=E745,D745-E745,0)</f>
        <v>0</v>
      </c>
      <c r="G745" s="32" t="n">
        <f aca="false">IF(E745&gt;D745,E745-D745,0)</f>
        <v>0</v>
      </c>
    </row>
    <row r="746" customFormat="false" ht="15" hidden="false" customHeight="true" outlineLevel="0" collapsed="false">
      <c r="A746" s="30" t="s">
        <v>1023</v>
      </c>
      <c r="B746" s="31" t="s">
        <v>1024</v>
      </c>
      <c r="C746" s="30" t="s">
        <v>817</v>
      </c>
      <c r="D746" s="32" t="n">
        <f aca="false">SUMIF('Libro Diario'!$C$5:$C$504,A746,'Libro Diario'!$F$5:$F$504)</f>
        <v>0</v>
      </c>
      <c r="E746" s="32" t="n">
        <f aca="false">SUMIF('Libro Diario'!$C$5:$C$504,A746,'Libro Diario'!$G$5:$G$504)</f>
        <v>0</v>
      </c>
      <c r="F746" s="32" t="n">
        <f aca="false">IF(D746&gt;=E746,D746-E746,0)</f>
        <v>0</v>
      </c>
      <c r="G746" s="32" t="n">
        <f aca="false">IF(E746&gt;D746,E746-D746,0)</f>
        <v>0</v>
      </c>
    </row>
    <row r="747" customFormat="false" ht="15" hidden="false" customHeight="true" outlineLevel="0" collapsed="false">
      <c r="A747" s="30" t="s">
        <v>1025</v>
      </c>
      <c r="B747" s="31" t="s">
        <v>1026</v>
      </c>
      <c r="C747" s="30" t="s">
        <v>817</v>
      </c>
      <c r="D747" s="32" t="n">
        <f aca="false">SUMIF('Libro Diario'!$C$5:$C$504,A747,'Libro Diario'!$F$5:$F$504)</f>
        <v>0</v>
      </c>
      <c r="E747" s="32" t="n">
        <f aca="false">SUMIF('Libro Diario'!$C$5:$C$504,A747,'Libro Diario'!$G$5:$G$504)</f>
        <v>0</v>
      </c>
      <c r="F747" s="32" t="n">
        <f aca="false">IF(D747&gt;=E747,D747-E747,0)</f>
        <v>0</v>
      </c>
      <c r="G747" s="32" t="n">
        <f aca="false">IF(E747&gt;D747,E747-D747,0)</f>
        <v>0</v>
      </c>
    </row>
    <row r="748" customFormat="false" ht="15" hidden="false" customHeight="true" outlineLevel="0" collapsed="false">
      <c r="A748" s="30" t="s">
        <v>1027</v>
      </c>
      <c r="B748" s="31" t="s">
        <v>1028</v>
      </c>
      <c r="C748" s="30" t="s">
        <v>817</v>
      </c>
      <c r="D748" s="32" t="n">
        <f aca="false">SUMIF('Libro Diario'!$C$5:$C$504,A748,'Libro Diario'!$F$5:$F$504)</f>
        <v>0</v>
      </c>
      <c r="E748" s="32" t="n">
        <f aca="false">SUMIF('Libro Diario'!$C$5:$C$504,A748,'Libro Diario'!$G$5:$G$504)</f>
        <v>0</v>
      </c>
      <c r="F748" s="32" t="n">
        <f aca="false">IF(D748&gt;=E748,D748-E748,0)</f>
        <v>0</v>
      </c>
      <c r="G748" s="32" t="n">
        <f aca="false">IF(E748&gt;D748,E748-D748,0)</f>
        <v>0</v>
      </c>
    </row>
    <row r="749" customFormat="false" ht="15" hidden="false" customHeight="true" outlineLevel="0" collapsed="false">
      <c r="A749" s="30" t="s">
        <v>1029</v>
      </c>
      <c r="B749" s="31" t="s">
        <v>1030</v>
      </c>
      <c r="C749" s="30" t="s">
        <v>817</v>
      </c>
      <c r="D749" s="32" t="n">
        <f aca="false">SUMIF('Libro Diario'!$C$5:$C$504,A749,'Libro Diario'!$F$5:$F$504)</f>
        <v>0</v>
      </c>
      <c r="E749" s="32" t="n">
        <f aca="false">SUMIF('Libro Diario'!$C$5:$C$504,A749,'Libro Diario'!$G$5:$G$504)</f>
        <v>0</v>
      </c>
      <c r="F749" s="32" t="n">
        <f aca="false">IF(D749&gt;=E749,D749-E749,0)</f>
        <v>0</v>
      </c>
      <c r="G749" s="32" t="n">
        <f aca="false">IF(E749&gt;D749,E749-D749,0)</f>
        <v>0</v>
      </c>
    </row>
    <row r="750" customFormat="false" ht="15" hidden="false" customHeight="true" outlineLevel="0" collapsed="false">
      <c r="A750" s="30" t="s">
        <v>1031</v>
      </c>
      <c r="B750" s="31" t="s">
        <v>1032</v>
      </c>
      <c r="C750" s="30" t="s">
        <v>817</v>
      </c>
      <c r="D750" s="32" t="n">
        <f aca="false">SUMIF('Libro Diario'!$C$5:$C$504,A750,'Libro Diario'!$F$5:$F$504)</f>
        <v>0</v>
      </c>
      <c r="E750" s="32" t="n">
        <f aca="false">SUMIF('Libro Diario'!$C$5:$C$504,A750,'Libro Diario'!$G$5:$G$504)</f>
        <v>0</v>
      </c>
      <c r="F750" s="32" t="n">
        <f aca="false">IF(D750&gt;=E750,D750-E750,0)</f>
        <v>0</v>
      </c>
      <c r="G750" s="32" t="n">
        <f aca="false">IF(E750&gt;D750,E750-D750,0)</f>
        <v>0</v>
      </c>
    </row>
    <row r="751" customFormat="false" ht="15" hidden="false" customHeight="true" outlineLevel="0" collapsed="false">
      <c r="A751" s="30" t="s">
        <v>1033</v>
      </c>
      <c r="B751" s="31" t="s">
        <v>1034</v>
      </c>
      <c r="C751" s="30" t="s">
        <v>817</v>
      </c>
      <c r="D751" s="32" t="n">
        <f aca="false">SUMIF('Libro Diario'!$C$5:$C$504,A751,'Libro Diario'!$F$5:$F$504)</f>
        <v>0</v>
      </c>
      <c r="E751" s="32" t="n">
        <f aca="false">SUMIF('Libro Diario'!$C$5:$C$504,A751,'Libro Diario'!$G$5:$G$504)</f>
        <v>0</v>
      </c>
      <c r="F751" s="32" t="n">
        <f aca="false">IF(D751&gt;=E751,D751-E751,0)</f>
        <v>0</v>
      </c>
      <c r="G751" s="32" t="n">
        <f aca="false">IF(E751&gt;D751,E751-D751,0)</f>
        <v>0</v>
      </c>
    </row>
    <row r="752" customFormat="false" ht="15" hidden="false" customHeight="true" outlineLevel="0" collapsed="false">
      <c r="A752" s="30" t="s">
        <v>1035</v>
      </c>
      <c r="B752" s="31" t="s">
        <v>1036</v>
      </c>
      <c r="C752" s="30" t="s">
        <v>817</v>
      </c>
      <c r="D752" s="32" t="n">
        <f aca="false">SUMIF('Libro Diario'!$C$5:$C$504,A752,'Libro Diario'!$F$5:$F$504)</f>
        <v>0</v>
      </c>
      <c r="E752" s="32" t="n">
        <f aca="false">SUMIF('Libro Diario'!$C$5:$C$504,A752,'Libro Diario'!$G$5:$G$504)</f>
        <v>0</v>
      </c>
      <c r="F752" s="32" t="n">
        <f aca="false">IF(D752&gt;=E752,D752-E752,0)</f>
        <v>0</v>
      </c>
      <c r="G752" s="32" t="n">
        <f aca="false">IF(E752&gt;D752,E752-D752,0)</f>
        <v>0</v>
      </c>
    </row>
    <row r="753" customFormat="false" ht="15" hidden="false" customHeight="true" outlineLevel="0" collapsed="false">
      <c r="A753" s="30" t="s">
        <v>1037</v>
      </c>
      <c r="B753" s="31" t="s">
        <v>1038</v>
      </c>
      <c r="C753" s="30" t="s">
        <v>817</v>
      </c>
      <c r="D753" s="32" t="n">
        <f aca="false">SUMIF('Libro Diario'!$C$5:$C$504,A753,'Libro Diario'!$F$5:$F$504)</f>
        <v>0</v>
      </c>
      <c r="E753" s="32" t="n">
        <f aca="false">SUMIF('Libro Diario'!$C$5:$C$504,A753,'Libro Diario'!$G$5:$G$504)</f>
        <v>0</v>
      </c>
      <c r="F753" s="32" t="n">
        <f aca="false">IF(D753&gt;=E753,D753-E753,0)</f>
        <v>0</v>
      </c>
      <c r="G753" s="32" t="n">
        <f aca="false">IF(E753&gt;D753,E753-D753,0)</f>
        <v>0</v>
      </c>
    </row>
    <row r="754" customFormat="false" ht="15" hidden="false" customHeight="true" outlineLevel="0" collapsed="false">
      <c r="A754" s="30" t="s">
        <v>1039</v>
      </c>
      <c r="B754" s="31" t="s">
        <v>720</v>
      </c>
      <c r="C754" s="30" t="s">
        <v>817</v>
      </c>
      <c r="D754" s="32" t="n">
        <f aca="false">SUMIF('Libro Diario'!$C$5:$C$504,A754,'Libro Diario'!$F$5:$F$504)</f>
        <v>0</v>
      </c>
      <c r="E754" s="32" t="n">
        <f aca="false">SUMIF('Libro Diario'!$C$5:$C$504,A754,'Libro Diario'!$G$5:$G$504)</f>
        <v>0</v>
      </c>
      <c r="F754" s="32" t="n">
        <f aca="false">IF(D754&gt;=E754,D754-E754,0)</f>
        <v>0</v>
      </c>
      <c r="G754" s="32" t="n">
        <f aca="false">IF(E754&gt;D754,E754-D754,0)</f>
        <v>0</v>
      </c>
    </row>
    <row r="755" customFormat="false" ht="15" hidden="false" customHeight="true" outlineLevel="0" collapsed="false">
      <c r="A755" s="30" t="s">
        <v>1040</v>
      </c>
      <c r="B755" s="31" t="s">
        <v>722</v>
      </c>
      <c r="C755" s="30" t="s">
        <v>817</v>
      </c>
      <c r="D755" s="32" t="n">
        <f aca="false">SUMIF('Libro Diario'!$C$5:$C$504,A755,'Libro Diario'!$F$5:$F$504)</f>
        <v>0</v>
      </c>
      <c r="E755" s="32" t="n">
        <f aca="false">SUMIF('Libro Diario'!$C$5:$C$504,A755,'Libro Diario'!$G$5:$G$504)</f>
        <v>0</v>
      </c>
      <c r="F755" s="32" t="n">
        <f aca="false">IF(D755&gt;=E755,D755-E755,0)</f>
        <v>0</v>
      </c>
      <c r="G755" s="32" t="n">
        <f aca="false">IF(E755&gt;D755,E755-D755,0)</f>
        <v>0</v>
      </c>
    </row>
    <row r="756" customFormat="false" ht="15" hidden="false" customHeight="true" outlineLevel="0" collapsed="false">
      <c r="A756" s="30" t="s">
        <v>1041</v>
      </c>
      <c r="B756" s="31" t="s">
        <v>724</v>
      </c>
      <c r="C756" s="30" t="s">
        <v>817</v>
      </c>
      <c r="D756" s="32" t="n">
        <f aca="false">SUMIF('Libro Diario'!$C$5:$C$504,A756,'Libro Diario'!$F$5:$F$504)</f>
        <v>0</v>
      </c>
      <c r="E756" s="32" t="n">
        <f aca="false">SUMIF('Libro Diario'!$C$5:$C$504,A756,'Libro Diario'!$G$5:$G$504)</f>
        <v>0</v>
      </c>
      <c r="F756" s="32" t="n">
        <f aca="false">IF(D756&gt;=E756,D756-E756,0)</f>
        <v>0</v>
      </c>
      <c r="G756" s="32" t="n">
        <f aca="false">IF(E756&gt;D756,E756-D756,0)</f>
        <v>0</v>
      </c>
    </row>
    <row r="757" customFormat="false" ht="15" hidden="false" customHeight="true" outlineLevel="0" collapsed="false">
      <c r="A757" s="30" t="s">
        <v>1042</v>
      </c>
      <c r="B757" s="31" t="s">
        <v>726</v>
      </c>
      <c r="C757" s="30" t="s">
        <v>817</v>
      </c>
      <c r="D757" s="32" t="n">
        <f aca="false">SUMIF('Libro Diario'!$C$5:$C$504,A757,'Libro Diario'!$F$5:$F$504)</f>
        <v>0</v>
      </c>
      <c r="E757" s="32" t="n">
        <f aca="false">SUMIF('Libro Diario'!$C$5:$C$504,A757,'Libro Diario'!$G$5:$G$504)</f>
        <v>0</v>
      </c>
      <c r="F757" s="32" t="n">
        <f aca="false">IF(D757&gt;=E757,D757-E757,0)</f>
        <v>0</v>
      </c>
      <c r="G757" s="32" t="n">
        <f aca="false">IF(E757&gt;D757,E757-D757,0)</f>
        <v>0</v>
      </c>
    </row>
    <row r="758" customFormat="false" ht="15" hidden="false" customHeight="true" outlineLevel="0" collapsed="false">
      <c r="A758" s="30" t="s">
        <v>1043</v>
      </c>
      <c r="B758" s="31" t="s">
        <v>728</v>
      </c>
      <c r="C758" s="30" t="s">
        <v>817</v>
      </c>
      <c r="D758" s="32" t="n">
        <f aca="false">SUMIF('Libro Diario'!$C$5:$C$504,A758,'Libro Diario'!$F$5:$F$504)</f>
        <v>0</v>
      </c>
      <c r="E758" s="32" t="n">
        <f aca="false">SUMIF('Libro Diario'!$C$5:$C$504,A758,'Libro Diario'!$G$5:$G$504)</f>
        <v>0</v>
      </c>
      <c r="F758" s="32" t="n">
        <f aca="false">IF(D758&gt;=E758,D758-E758,0)</f>
        <v>0</v>
      </c>
      <c r="G758" s="32" t="n">
        <f aca="false">IF(E758&gt;D758,E758-D758,0)</f>
        <v>0</v>
      </c>
    </row>
    <row r="759" customFormat="false" ht="15" hidden="false" customHeight="true" outlineLevel="0" collapsed="false">
      <c r="A759" s="30" t="s">
        <v>1044</v>
      </c>
      <c r="B759" s="31" t="s">
        <v>730</v>
      </c>
      <c r="C759" s="30" t="s">
        <v>817</v>
      </c>
      <c r="D759" s="32" t="n">
        <f aca="false">SUMIF('Libro Diario'!$C$5:$C$504,A759,'Libro Diario'!$F$5:$F$504)</f>
        <v>0</v>
      </c>
      <c r="E759" s="32" t="n">
        <f aca="false">SUMIF('Libro Diario'!$C$5:$C$504,A759,'Libro Diario'!$G$5:$G$504)</f>
        <v>0</v>
      </c>
      <c r="F759" s="32" t="n">
        <f aca="false">IF(D759&gt;=E759,D759-E759,0)</f>
        <v>0</v>
      </c>
      <c r="G759" s="32" t="n">
        <f aca="false">IF(E759&gt;D759,E759-D759,0)</f>
        <v>0</v>
      </c>
    </row>
    <row r="760" customFormat="false" ht="15" hidden="false" customHeight="true" outlineLevel="0" collapsed="false">
      <c r="A760" s="30" t="s">
        <v>1045</v>
      </c>
      <c r="B760" s="31" t="s">
        <v>1046</v>
      </c>
      <c r="C760" s="30" t="s">
        <v>817</v>
      </c>
      <c r="D760" s="32" t="n">
        <f aca="false">SUMIF('Libro Diario'!$C$5:$C$504,A760,'Libro Diario'!$F$5:$F$504)</f>
        <v>0</v>
      </c>
      <c r="E760" s="32" t="n">
        <f aca="false">SUMIF('Libro Diario'!$C$5:$C$504,A760,'Libro Diario'!$G$5:$G$504)</f>
        <v>0</v>
      </c>
      <c r="F760" s="32" t="n">
        <f aca="false">IF(D760&gt;=E760,D760-E760,0)</f>
        <v>0</v>
      </c>
      <c r="G760" s="32" t="n">
        <f aca="false">IF(E760&gt;D760,E760-D760,0)</f>
        <v>0</v>
      </c>
    </row>
    <row r="761" customFormat="false" ht="15" hidden="false" customHeight="true" outlineLevel="0" collapsed="false">
      <c r="A761" s="30" t="s">
        <v>1047</v>
      </c>
      <c r="B761" s="31" t="s">
        <v>1048</v>
      </c>
      <c r="C761" s="30" t="s">
        <v>817</v>
      </c>
      <c r="D761" s="32" t="n">
        <f aca="false">SUMIF('Libro Diario'!$C$5:$C$504,A761,'Libro Diario'!$F$5:$F$504)</f>
        <v>0</v>
      </c>
      <c r="E761" s="32" t="n">
        <f aca="false">SUMIF('Libro Diario'!$C$5:$C$504,A761,'Libro Diario'!$G$5:$G$504)</f>
        <v>0</v>
      </c>
      <c r="F761" s="32" t="n">
        <f aca="false">IF(D761&gt;=E761,D761-E761,0)</f>
        <v>0</v>
      </c>
      <c r="G761" s="32" t="n">
        <f aca="false">IF(E761&gt;D761,E761-D761,0)</f>
        <v>0</v>
      </c>
    </row>
    <row r="762" customFormat="false" ht="15" hidden="false" customHeight="true" outlineLevel="0" collapsed="false">
      <c r="A762" s="30" t="s">
        <v>1049</v>
      </c>
      <c r="B762" s="31" t="s">
        <v>1050</v>
      </c>
      <c r="C762" s="30" t="s">
        <v>817</v>
      </c>
      <c r="D762" s="32" t="n">
        <f aca="false">SUMIF('Libro Diario'!$C$5:$C$504,A762,'Libro Diario'!$F$5:$F$504)</f>
        <v>0</v>
      </c>
      <c r="E762" s="32" t="n">
        <f aca="false">SUMIF('Libro Diario'!$C$5:$C$504,A762,'Libro Diario'!$G$5:$G$504)</f>
        <v>0</v>
      </c>
      <c r="F762" s="32" t="n">
        <f aca="false">IF(D762&gt;=E762,D762-E762,0)</f>
        <v>0</v>
      </c>
      <c r="G762" s="32" t="n">
        <f aca="false">IF(E762&gt;D762,E762-D762,0)</f>
        <v>0</v>
      </c>
    </row>
    <row r="763" customFormat="false" ht="15" hidden="false" customHeight="true" outlineLevel="0" collapsed="false">
      <c r="A763" s="30" t="s">
        <v>1051</v>
      </c>
      <c r="B763" s="31" t="s">
        <v>1052</v>
      </c>
      <c r="C763" s="30" t="s">
        <v>817</v>
      </c>
      <c r="D763" s="32" t="n">
        <f aca="false">SUMIF('Libro Diario'!$C$5:$C$504,A763,'Libro Diario'!$F$5:$F$504)</f>
        <v>0</v>
      </c>
      <c r="E763" s="32" t="n">
        <f aca="false">SUMIF('Libro Diario'!$C$5:$C$504,A763,'Libro Diario'!$G$5:$G$504)</f>
        <v>0</v>
      </c>
      <c r="F763" s="32" t="n">
        <f aca="false">IF(D763&gt;=E763,D763-E763,0)</f>
        <v>0</v>
      </c>
      <c r="G763" s="32" t="n">
        <f aca="false">IF(E763&gt;D763,E763-D763,0)</f>
        <v>0</v>
      </c>
    </row>
    <row r="764" customFormat="false" ht="15" hidden="false" customHeight="true" outlineLevel="0" collapsed="false">
      <c r="A764" s="30" t="s">
        <v>22</v>
      </c>
      <c r="B764" s="31" t="s">
        <v>1053</v>
      </c>
      <c r="C764" s="30" t="s">
        <v>1054</v>
      </c>
      <c r="D764" s="32" t="n">
        <f aca="false">SUMIF('Libro Diario'!$C$5:$C$504,A764,'Libro Diario'!$F$5:$F$504)</f>
        <v>0</v>
      </c>
      <c r="E764" s="32" t="n">
        <f aca="false">SUMIF('Libro Diario'!$C$5:$C$504,A764,'Libro Diario'!$G$5:$G$504)</f>
        <v>10</v>
      </c>
      <c r="F764" s="32" t="n">
        <f aca="false">IF(D764&gt;=E764,D764-E764,0)</f>
        <v>0</v>
      </c>
      <c r="G764" s="32" t="n">
        <f aca="false">IF(E764&gt;D764,E764-D764,0)</f>
        <v>10</v>
      </c>
    </row>
    <row r="765" customFormat="false" ht="15" hidden="false" customHeight="true" outlineLevel="0" collapsed="false">
      <c r="A765" s="30" t="s">
        <v>1055</v>
      </c>
      <c r="B765" s="31" t="s">
        <v>1056</v>
      </c>
      <c r="C765" s="30" t="s">
        <v>1054</v>
      </c>
      <c r="D765" s="32" t="n">
        <f aca="false">SUMIF('Libro Diario'!$C$5:$C$504,A765,'Libro Diario'!$F$5:$F$504)</f>
        <v>0</v>
      </c>
      <c r="E765" s="32" t="n">
        <f aca="false">SUMIF('Libro Diario'!$C$5:$C$504,A765,'Libro Diario'!$G$5:$G$504)</f>
        <v>0</v>
      </c>
      <c r="F765" s="32" t="n">
        <f aca="false">IF(D765&gt;=E765,D765-E765,0)</f>
        <v>0</v>
      </c>
      <c r="G765" s="32" t="n">
        <f aca="false">IF(E765&gt;D765,E765-D765,0)</f>
        <v>0</v>
      </c>
    </row>
    <row r="766" customFormat="false" ht="15" hidden="false" customHeight="true" outlineLevel="0" collapsed="false">
      <c r="A766" s="30" t="s">
        <v>1057</v>
      </c>
      <c r="B766" s="31" t="s">
        <v>1058</v>
      </c>
      <c r="C766" s="30" t="s">
        <v>1054</v>
      </c>
      <c r="D766" s="32" t="n">
        <f aca="false">SUMIF('Libro Diario'!$C$5:$C$504,A766,'Libro Diario'!$F$5:$F$504)</f>
        <v>0</v>
      </c>
      <c r="E766" s="32" t="n">
        <f aca="false">SUMIF('Libro Diario'!$C$5:$C$504,A766,'Libro Diario'!$G$5:$G$504)</f>
        <v>0</v>
      </c>
      <c r="F766" s="32" t="n">
        <f aca="false">IF(D766&gt;=E766,D766-E766,0)</f>
        <v>0</v>
      </c>
      <c r="G766" s="32" t="n">
        <f aca="false">IF(E766&gt;D766,E766-D766,0)</f>
        <v>0</v>
      </c>
    </row>
    <row r="767" customFormat="false" ht="15" hidden="false" customHeight="true" outlineLevel="0" collapsed="false">
      <c r="A767" s="30" t="s">
        <v>1059</v>
      </c>
      <c r="B767" s="31" t="s">
        <v>1060</v>
      </c>
      <c r="C767" s="30" t="s">
        <v>1054</v>
      </c>
      <c r="D767" s="32" t="n">
        <f aca="false">SUMIF('Libro Diario'!$C$5:$C$504,A767,'Libro Diario'!$F$5:$F$504)</f>
        <v>0</v>
      </c>
      <c r="E767" s="32" t="n">
        <f aca="false">SUMIF('Libro Diario'!$C$5:$C$504,A767,'Libro Diario'!$G$5:$G$504)</f>
        <v>0</v>
      </c>
      <c r="F767" s="32" t="n">
        <f aca="false">IF(D767&gt;=E767,D767-E767,0)</f>
        <v>0</v>
      </c>
      <c r="G767" s="32" t="n">
        <f aca="false">IF(E767&gt;D767,E767-D767,0)</f>
        <v>0</v>
      </c>
    </row>
    <row r="768" customFormat="false" ht="15" hidden="false" customHeight="true" outlineLevel="0" collapsed="false">
      <c r="A768" s="30" t="s">
        <v>1061</v>
      </c>
      <c r="B768" s="31" t="s">
        <v>1062</v>
      </c>
      <c r="C768" s="30" t="s">
        <v>1054</v>
      </c>
      <c r="D768" s="32" t="n">
        <f aca="false">SUMIF('Libro Diario'!$C$5:$C$504,A768,'Libro Diario'!$F$5:$F$504)</f>
        <v>0</v>
      </c>
      <c r="E768" s="32" t="n">
        <f aca="false">SUMIF('Libro Diario'!$C$5:$C$504,A768,'Libro Diario'!$G$5:$G$504)</f>
        <v>0</v>
      </c>
      <c r="F768" s="32" t="n">
        <f aca="false">IF(D768&gt;=E768,D768-E768,0)</f>
        <v>0</v>
      </c>
      <c r="G768" s="32" t="n">
        <f aca="false">IF(E768&gt;D768,E768-D768,0)</f>
        <v>0</v>
      </c>
    </row>
    <row r="769" customFormat="false" ht="15" hidden="false" customHeight="true" outlineLevel="0" collapsed="false">
      <c r="A769" s="30" t="s">
        <v>1063</v>
      </c>
      <c r="B769" s="31" t="s">
        <v>1064</v>
      </c>
      <c r="C769" s="30" t="s">
        <v>1054</v>
      </c>
      <c r="D769" s="32" t="n">
        <f aca="false">SUMIF('Libro Diario'!$C$5:$C$504,A769,'Libro Diario'!$F$5:$F$504)</f>
        <v>0</v>
      </c>
      <c r="E769" s="32" t="n">
        <f aca="false">SUMIF('Libro Diario'!$C$5:$C$504,A769,'Libro Diario'!$G$5:$G$504)</f>
        <v>0</v>
      </c>
      <c r="F769" s="32" t="n">
        <f aca="false">IF(D769&gt;=E769,D769-E769,0)</f>
        <v>0</v>
      </c>
      <c r="G769" s="32" t="n">
        <f aca="false">IF(E769&gt;D769,E769-D769,0)</f>
        <v>0</v>
      </c>
    </row>
    <row r="770" customFormat="false" ht="15" hidden="false" customHeight="true" outlineLevel="0" collapsed="false">
      <c r="A770" s="30" t="s">
        <v>1065</v>
      </c>
      <c r="B770" s="31" t="s">
        <v>1066</v>
      </c>
      <c r="C770" s="30" t="s">
        <v>1054</v>
      </c>
      <c r="D770" s="32" t="n">
        <f aca="false">SUMIF('Libro Diario'!$C$5:$C$504,A770,'Libro Diario'!$F$5:$F$504)</f>
        <v>0</v>
      </c>
      <c r="E770" s="32" t="n">
        <f aca="false">SUMIF('Libro Diario'!$C$5:$C$504,A770,'Libro Diario'!$G$5:$G$504)</f>
        <v>0</v>
      </c>
      <c r="F770" s="32" t="n">
        <f aca="false">IF(D770&gt;=E770,D770-E770,0)</f>
        <v>0</v>
      </c>
      <c r="G770" s="32" t="n">
        <f aca="false">IF(E770&gt;D770,E770-D770,0)</f>
        <v>0</v>
      </c>
    </row>
    <row r="771" customFormat="false" ht="15" hidden="false" customHeight="true" outlineLevel="0" collapsed="false">
      <c r="A771" s="30" t="s">
        <v>1067</v>
      </c>
      <c r="B771" s="31" t="s">
        <v>1068</v>
      </c>
      <c r="C771" s="30" t="s">
        <v>1054</v>
      </c>
      <c r="D771" s="32" t="n">
        <f aca="false">SUMIF('Libro Diario'!$C$5:$C$504,A771,'Libro Diario'!$F$5:$F$504)</f>
        <v>0</v>
      </c>
      <c r="E771" s="32" t="n">
        <f aca="false">SUMIF('Libro Diario'!$C$5:$C$504,A771,'Libro Diario'!$G$5:$G$504)</f>
        <v>0</v>
      </c>
      <c r="F771" s="32" t="n">
        <f aca="false">IF(D771&gt;=E771,D771-E771,0)</f>
        <v>0</v>
      </c>
      <c r="G771" s="32" t="n">
        <f aca="false">IF(E771&gt;D771,E771-D771,0)</f>
        <v>0</v>
      </c>
    </row>
    <row r="772" customFormat="false" ht="15" hidden="false" customHeight="true" outlineLevel="0" collapsed="false">
      <c r="A772" s="30" t="s">
        <v>1069</v>
      </c>
      <c r="B772" s="31" t="s">
        <v>1070</v>
      </c>
      <c r="C772" s="30" t="s">
        <v>1054</v>
      </c>
      <c r="D772" s="32" t="n">
        <f aca="false">SUMIF('Libro Diario'!$C$5:$C$504,A772,'Libro Diario'!$F$5:$F$504)</f>
        <v>0</v>
      </c>
      <c r="E772" s="32" t="n">
        <f aca="false">SUMIF('Libro Diario'!$C$5:$C$504,A772,'Libro Diario'!$G$5:$G$504)</f>
        <v>0</v>
      </c>
      <c r="F772" s="32" t="n">
        <f aca="false">IF(D772&gt;=E772,D772-E772,0)</f>
        <v>0</v>
      </c>
      <c r="G772" s="32" t="n">
        <f aca="false">IF(E772&gt;D772,E772-D772,0)</f>
        <v>0</v>
      </c>
    </row>
    <row r="773" customFormat="false" ht="15" hidden="false" customHeight="true" outlineLevel="0" collapsed="false">
      <c r="A773" s="30" t="s">
        <v>1071</v>
      </c>
      <c r="B773" s="31" t="s">
        <v>1072</v>
      </c>
      <c r="C773" s="30" t="s">
        <v>1054</v>
      </c>
      <c r="D773" s="32" t="n">
        <f aca="false">SUMIF('Libro Diario'!$C$5:$C$504,A773,'Libro Diario'!$F$5:$F$504)</f>
        <v>0</v>
      </c>
      <c r="E773" s="32" t="n">
        <f aca="false">SUMIF('Libro Diario'!$C$5:$C$504,A773,'Libro Diario'!$G$5:$G$504)</f>
        <v>0</v>
      </c>
      <c r="F773" s="32" t="n">
        <f aca="false">IF(D773&gt;=E773,D773-E773,0)</f>
        <v>0</v>
      </c>
      <c r="G773" s="32" t="n">
        <f aca="false">IF(E773&gt;D773,E773-D773,0)</f>
        <v>0</v>
      </c>
    </row>
    <row r="774" customFormat="false" ht="15" hidden="false" customHeight="true" outlineLevel="0" collapsed="false">
      <c r="A774" s="30" t="s">
        <v>1073</v>
      </c>
      <c r="B774" s="31" t="s">
        <v>1074</v>
      </c>
      <c r="C774" s="30" t="s">
        <v>1054</v>
      </c>
      <c r="D774" s="32" t="n">
        <f aca="false">SUMIF('Libro Diario'!$C$5:$C$504,A774,'Libro Diario'!$F$5:$F$504)</f>
        <v>0</v>
      </c>
      <c r="E774" s="32" t="n">
        <f aca="false">SUMIF('Libro Diario'!$C$5:$C$504,A774,'Libro Diario'!$G$5:$G$504)</f>
        <v>0</v>
      </c>
      <c r="F774" s="32" t="n">
        <f aca="false">IF(D774&gt;=E774,D774-E774,0)</f>
        <v>0</v>
      </c>
      <c r="G774" s="32" t="n">
        <f aca="false">IF(E774&gt;D774,E774-D774,0)</f>
        <v>0</v>
      </c>
    </row>
    <row r="775" customFormat="false" ht="15" hidden="false" customHeight="true" outlineLevel="0" collapsed="false">
      <c r="A775" s="30" t="s">
        <v>1075</v>
      </c>
      <c r="B775" s="31" t="s">
        <v>1076</v>
      </c>
      <c r="C775" s="30" t="s">
        <v>1054</v>
      </c>
      <c r="D775" s="32" t="n">
        <f aca="false">SUMIF('Libro Diario'!$C$5:$C$504,A775,'Libro Diario'!$F$5:$F$504)</f>
        <v>0</v>
      </c>
      <c r="E775" s="32" t="n">
        <f aca="false">SUMIF('Libro Diario'!$C$5:$C$504,A775,'Libro Diario'!$G$5:$G$504)</f>
        <v>0</v>
      </c>
      <c r="F775" s="32" t="n">
        <f aca="false">IF(D775&gt;=E775,D775-E775,0)</f>
        <v>0</v>
      </c>
      <c r="G775" s="32" t="n">
        <f aca="false">IF(E775&gt;D775,E775-D775,0)</f>
        <v>0</v>
      </c>
    </row>
    <row r="776" customFormat="false" ht="15" hidden="false" customHeight="true" outlineLevel="0" collapsed="false">
      <c r="A776" s="30" t="s">
        <v>1077</v>
      </c>
      <c r="B776" s="31" t="s">
        <v>1078</v>
      </c>
      <c r="C776" s="30" t="s">
        <v>1054</v>
      </c>
      <c r="D776" s="32" t="n">
        <f aca="false">SUMIF('Libro Diario'!$C$5:$C$504,A776,'Libro Diario'!$F$5:$F$504)</f>
        <v>0</v>
      </c>
      <c r="E776" s="32" t="n">
        <f aca="false">SUMIF('Libro Diario'!$C$5:$C$504,A776,'Libro Diario'!$G$5:$G$504)</f>
        <v>0</v>
      </c>
      <c r="F776" s="32" t="n">
        <f aca="false">IF(D776&gt;=E776,D776-E776,0)</f>
        <v>0</v>
      </c>
      <c r="G776" s="32" t="n">
        <f aca="false">IF(E776&gt;D776,E776-D776,0)</f>
        <v>0</v>
      </c>
    </row>
    <row r="777" customFormat="false" ht="15" hidden="false" customHeight="true" outlineLevel="0" collapsed="false">
      <c r="A777" s="30" t="s">
        <v>1079</v>
      </c>
      <c r="B777" s="31" t="s">
        <v>1080</v>
      </c>
      <c r="C777" s="30" t="s">
        <v>1054</v>
      </c>
      <c r="D777" s="32" t="n">
        <f aca="false">SUMIF('Libro Diario'!$C$5:$C$504,A777,'Libro Diario'!$F$5:$F$504)</f>
        <v>0</v>
      </c>
      <c r="E777" s="32" t="n">
        <f aca="false">SUMIF('Libro Diario'!$C$5:$C$504,A777,'Libro Diario'!$G$5:$G$504)</f>
        <v>0</v>
      </c>
      <c r="F777" s="32" t="n">
        <f aca="false">IF(D777&gt;=E777,D777-E777,0)</f>
        <v>0</v>
      </c>
      <c r="G777" s="32" t="n">
        <f aca="false">IF(E777&gt;D777,E777-D777,0)</f>
        <v>0</v>
      </c>
    </row>
    <row r="778" customFormat="false" ht="15" hidden="false" customHeight="true" outlineLevel="0" collapsed="false">
      <c r="A778" s="30" t="s">
        <v>1081</v>
      </c>
      <c r="B778" s="31" t="s">
        <v>1082</v>
      </c>
      <c r="C778" s="30" t="s">
        <v>1054</v>
      </c>
      <c r="D778" s="32" t="n">
        <f aca="false">SUMIF('Libro Diario'!$C$5:$C$504,A778,'Libro Diario'!$F$5:$F$504)</f>
        <v>0</v>
      </c>
      <c r="E778" s="32" t="n">
        <f aca="false">SUMIF('Libro Diario'!$C$5:$C$504,A778,'Libro Diario'!$G$5:$G$504)</f>
        <v>0</v>
      </c>
      <c r="F778" s="32" t="n">
        <f aca="false">IF(D778&gt;=E778,D778-E778,0)</f>
        <v>0</v>
      </c>
      <c r="G778" s="32" t="n">
        <f aca="false">IF(E778&gt;D778,E778-D778,0)</f>
        <v>0</v>
      </c>
    </row>
    <row r="779" customFormat="false" ht="15" hidden="false" customHeight="true" outlineLevel="0" collapsed="false">
      <c r="A779" s="30" t="s">
        <v>1083</v>
      </c>
      <c r="B779" s="31" t="s">
        <v>1080</v>
      </c>
      <c r="C779" s="30" t="s">
        <v>1054</v>
      </c>
      <c r="D779" s="32" t="n">
        <f aca="false">SUMIF('Libro Diario'!$C$5:$C$504,A779,'Libro Diario'!$F$5:$F$504)</f>
        <v>0</v>
      </c>
      <c r="E779" s="32" t="n">
        <f aca="false">SUMIF('Libro Diario'!$C$5:$C$504,A779,'Libro Diario'!$G$5:$G$504)</f>
        <v>0</v>
      </c>
      <c r="F779" s="32" t="n">
        <f aca="false">IF(D779&gt;=E779,D779-E779,0)</f>
        <v>0</v>
      </c>
      <c r="G779" s="32" t="n">
        <f aca="false">IF(E779&gt;D779,E779-D779,0)</f>
        <v>0</v>
      </c>
    </row>
    <row r="780" customFormat="false" ht="15" hidden="false" customHeight="true" outlineLevel="0" collapsed="false">
      <c r="A780" s="30" t="s">
        <v>1084</v>
      </c>
      <c r="B780" s="31" t="s">
        <v>1082</v>
      </c>
      <c r="C780" s="30" t="s">
        <v>1054</v>
      </c>
      <c r="D780" s="32" t="n">
        <f aca="false">SUMIF('Libro Diario'!$C$5:$C$504,A780,'Libro Diario'!$F$5:$F$504)</f>
        <v>0</v>
      </c>
      <c r="E780" s="32" t="n">
        <f aca="false">SUMIF('Libro Diario'!$C$5:$C$504,A780,'Libro Diario'!$G$5:$G$504)</f>
        <v>0</v>
      </c>
      <c r="F780" s="32" t="n">
        <f aca="false">IF(D780&gt;=E780,D780-E780,0)</f>
        <v>0</v>
      </c>
      <c r="G780" s="32" t="n">
        <f aca="false">IF(E780&gt;D780,E780-D780,0)</f>
        <v>0</v>
      </c>
    </row>
    <row r="781" customFormat="false" ht="15" hidden="false" customHeight="true" outlineLevel="0" collapsed="false">
      <c r="A781" s="30" t="s">
        <v>1085</v>
      </c>
      <c r="B781" s="31" t="s">
        <v>1080</v>
      </c>
      <c r="C781" s="30" t="s">
        <v>1054</v>
      </c>
      <c r="D781" s="32" t="n">
        <f aca="false">SUMIF('Libro Diario'!$C$5:$C$504,A781,'Libro Diario'!$F$5:$F$504)</f>
        <v>0</v>
      </c>
      <c r="E781" s="32" t="n">
        <f aca="false">SUMIF('Libro Diario'!$C$5:$C$504,A781,'Libro Diario'!$G$5:$G$504)</f>
        <v>0</v>
      </c>
      <c r="F781" s="32" t="n">
        <f aca="false">IF(D781&gt;=E781,D781-E781,0)</f>
        <v>0</v>
      </c>
      <c r="G781" s="32" t="n">
        <f aca="false">IF(E781&gt;D781,E781-D781,0)</f>
        <v>0</v>
      </c>
    </row>
    <row r="782" customFormat="false" ht="15" hidden="false" customHeight="true" outlineLevel="0" collapsed="false">
      <c r="A782" s="30" t="s">
        <v>1086</v>
      </c>
      <c r="B782" s="31" t="s">
        <v>1082</v>
      </c>
      <c r="C782" s="30" t="s">
        <v>1054</v>
      </c>
      <c r="D782" s="32" t="n">
        <f aca="false">SUMIF('Libro Diario'!$C$5:$C$504,A782,'Libro Diario'!$F$5:$F$504)</f>
        <v>0</v>
      </c>
      <c r="E782" s="32" t="n">
        <f aca="false">SUMIF('Libro Diario'!$C$5:$C$504,A782,'Libro Diario'!$G$5:$G$504)</f>
        <v>0</v>
      </c>
      <c r="F782" s="32" t="n">
        <f aca="false">IF(D782&gt;=E782,D782-E782,0)</f>
        <v>0</v>
      </c>
      <c r="G782" s="32" t="n">
        <f aca="false">IF(E782&gt;D782,E782-D782,0)</f>
        <v>0</v>
      </c>
    </row>
    <row r="783" customFormat="false" ht="15" hidden="false" customHeight="true" outlineLevel="0" collapsed="false">
      <c r="A783" s="30" t="s">
        <v>1087</v>
      </c>
      <c r="B783" s="31" t="s">
        <v>1088</v>
      </c>
      <c r="C783" s="30" t="s">
        <v>1054</v>
      </c>
      <c r="D783" s="32" t="n">
        <f aca="false">SUMIF('Libro Diario'!$C$5:$C$504,A783,'Libro Diario'!$F$5:$F$504)</f>
        <v>0</v>
      </c>
      <c r="E783" s="32" t="n">
        <f aca="false">SUMIF('Libro Diario'!$C$5:$C$504,A783,'Libro Diario'!$G$5:$G$504)</f>
        <v>0</v>
      </c>
      <c r="F783" s="32" t="n">
        <f aca="false">IF(D783&gt;=E783,D783-E783,0)</f>
        <v>0</v>
      </c>
      <c r="G783" s="32" t="n">
        <f aca="false">IF(E783&gt;D783,E783-D783,0)</f>
        <v>0</v>
      </c>
    </row>
    <row r="784" customFormat="false" ht="15" hidden="false" customHeight="true" outlineLevel="0" collapsed="false">
      <c r="A784" s="30" t="s">
        <v>1089</v>
      </c>
      <c r="B784" s="31" t="s">
        <v>1090</v>
      </c>
      <c r="C784" s="30" t="s">
        <v>1054</v>
      </c>
      <c r="D784" s="32" t="n">
        <f aca="false">SUMIF('Libro Diario'!$C$5:$C$504,A784,'Libro Diario'!$F$5:$F$504)</f>
        <v>0</v>
      </c>
      <c r="E784" s="32" t="n">
        <f aca="false">SUMIF('Libro Diario'!$C$5:$C$504,A784,'Libro Diario'!$G$5:$G$504)</f>
        <v>0</v>
      </c>
      <c r="F784" s="32" t="n">
        <f aca="false">IF(D784&gt;=E784,D784-E784,0)</f>
        <v>0</v>
      </c>
      <c r="G784" s="32" t="n">
        <f aca="false">IF(E784&gt;D784,E784-D784,0)</f>
        <v>0</v>
      </c>
    </row>
    <row r="785" customFormat="false" ht="15" hidden="false" customHeight="true" outlineLevel="0" collapsed="false">
      <c r="A785" s="30" t="s">
        <v>1091</v>
      </c>
      <c r="B785" s="31" t="s">
        <v>1088</v>
      </c>
      <c r="C785" s="30" t="s">
        <v>1054</v>
      </c>
      <c r="D785" s="32" t="n">
        <f aca="false">SUMIF('Libro Diario'!$C$5:$C$504,A785,'Libro Diario'!$F$5:$F$504)</f>
        <v>0</v>
      </c>
      <c r="E785" s="32" t="n">
        <f aca="false">SUMIF('Libro Diario'!$C$5:$C$504,A785,'Libro Diario'!$G$5:$G$504)</f>
        <v>0</v>
      </c>
      <c r="F785" s="32" t="n">
        <f aca="false">IF(D785&gt;=E785,D785-E785,0)</f>
        <v>0</v>
      </c>
      <c r="G785" s="32" t="n">
        <f aca="false">IF(E785&gt;D785,E785-D785,0)</f>
        <v>0</v>
      </c>
    </row>
    <row r="786" customFormat="false" ht="15" hidden="false" customHeight="true" outlineLevel="0" collapsed="false">
      <c r="A786" s="30" t="s">
        <v>1092</v>
      </c>
      <c r="B786" s="31" t="s">
        <v>1090</v>
      </c>
      <c r="C786" s="30" t="s">
        <v>1054</v>
      </c>
      <c r="D786" s="32" t="n">
        <f aca="false">SUMIF('Libro Diario'!$C$5:$C$504,A786,'Libro Diario'!$F$5:$F$504)</f>
        <v>0</v>
      </c>
      <c r="E786" s="32" t="n">
        <f aca="false">SUMIF('Libro Diario'!$C$5:$C$504,A786,'Libro Diario'!$G$5:$G$504)</f>
        <v>0</v>
      </c>
      <c r="F786" s="32" t="n">
        <f aca="false">IF(D786&gt;=E786,D786-E786,0)</f>
        <v>0</v>
      </c>
      <c r="G786" s="32" t="n">
        <f aca="false">IF(E786&gt;D786,E786-D786,0)</f>
        <v>0</v>
      </c>
    </row>
    <row r="787" customFormat="false" ht="15" hidden="false" customHeight="true" outlineLevel="0" collapsed="false">
      <c r="A787" s="30" t="s">
        <v>1093</v>
      </c>
      <c r="B787" s="31" t="s">
        <v>158</v>
      </c>
      <c r="C787" s="30" t="s">
        <v>1054</v>
      </c>
      <c r="D787" s="32" t="n">
        <f aca="false">SUMIF('Libro Diario'!$C$5:$C$504,A787,'Libro Diario'!$F$5:$F$504)</f>
        <v>0</v>
      </c>
      <c r="E787" s="32" t="n">
        <f aca="false">SUMIF('Libro Diario'!$C$5:$C$504,A787,'Libro Diario'!$G$5:$G$504)</f>
        <v>0</v>
      </c>
      <c r="F787" s="32" t="n">
        <f aca="false">IF(D787&gt;=E787,D787-E787,0)</f>
        <v>0</v>
      </c>
      <c r="G787" s="32" t="n">
        <f aca="false">IF(E787&gt;D787,E787-D787,0)</f>
        <v>0</v>
      </c>
    </row>
    <row r="788" customFormat="false" ht="15" hidden="false" customHeight="true" outlineLevel="0" collapsed="false">
      <c r="A788" s="30" t="s">
        <v>1094</v>
      </c>
      <c r="B788" s="31" t="s">
        <v>1095</v>
      </c>
      <c r="C788" s="30" t="s">
        <v>1054</v>
      </c>
      <c r="D788" s="32" t="n">
        <f aca="false">SUMIF('Libro Diario'!$C$5:$C$504,A788,'Libro Diario'!$F$5:$F$504)</f>
        <v>0</v>
      </c>
      <c r="E788" s="32" t="n">
        <f aca="false">SUMIF('Libro Diario'!$C$5:$C$504,A788,'Libro Diario'!$G$5:$G$504)</f>
        <v>0</v>
      </c>
      <c r="F788" s="32" t="n">
        <f aca="false">IF(D788&gt;=E788,D788-E788,0)</f>
        <v>0</v>
      </c>
      <c r="G788" s="32" t="n">
        <f aca="false">IF(E788&gt;D788,E788-D788,0)</f>
        <v>0</v>
      </c>
    </row>
    <row r="789" customFormat="false" ht="15" hidden="false" customHeight="true" outlineLevel="0" collapsed="false">
      <c r="A789" s="30" t="s">
        <v>1096</v>
      </c>
      <c r="B789" s="31" t="s">
        <v>1097</v>
      </c>
      <c r="C789" s="30" t="s">
        <v>1054</v>
      </c>
      <c r="D789" s="32" t="n">
        <f aca="false">SUMIF('Libro Diario'!$C$5:$C$504,A789,'Libro Diario'!$F$5:$F$504)</f>
        <v>0</v>
      </c>
      <c r="E789" s="32" t="n">
        <f aca="false">SUMIF('Libro Diario'!$C$5:$C$504,A789,'Libro Diario'!$G$5:$G$504)</f>
        <v>0</v>
      </c>
      <c r="F789" s="32" t="n">
        <f aca="false">IF(D789&gt;=E789,D789-E789,0)</f>
        <v>0</v>
      </c>
      <c r="G789" s="32" t="n">
        <f aca="false">IF(E789&gt;D789,E789-D789,0)</f>
        <v>0</v>
      </c>
    </row>
    <row r="790" customFormat="false" ht="15" hidden="false" customHeight="true" outlineLevel="0" collapsed="false">
      <c r="A790" s="30" t="s">
        <v>1098</v>
      </c>
      <c r="B790" s="31" t="s">
        <v>1099</v>
      </c>
      <c r="C790" s="30" t="s">
        <v>1054</v>
      </c>
      <c r="D790" s="32" t="n">
        <f aca="false">SUMIF('Libro Diario'!$C$5:$C$504,A790,'Libro Diario'!$F$5:$F$504)</f>
        <v>0</v>
      </c>
      <c r="E790" s="32" t="n">
        <f aca="false">SUMIF('Libro Diario'!$C$5:$C$504,A790,'Libro Diario'!$G$5:$G$504)</f>
        <v>0</v>
      </c>
      <c r="F790" s="32" t="n">
        <f aca="false">IF(D790&gt;=E790,D790-E790,0)</f>
        <v>0</v>
      </c>
      <c r="G790" s="32" t="n">
        <f aca="false">IF(E790&gt;D790,E790-D790,0)</f>
        <v>0</v>
      </c>
    </row>
    <row r="791" customFormat="false" ht="15" hidden="false" customHeight="true" outlineLevel="0" collapsed="false">
      <c r="A791" s="30" t="s">
        <v>1100</v>
      </c>
      <c r="B791" s="31" t="s">
        <v>1101</v>
      </c>
      <c r="C791" s="30" t="s">
        <v>1054</v>
      </c>
      <c r="D791" s="32" t="n">
        <f aca="false">SUMIF('Libro Diario'!$C$5:$C$504,A791,'Libro Diario'!$F$5:$F$504)</f>
        <v>0</v>
      </c>
      <c r="E791" s="32" t="n">
        <f aca="false">SUMIF('Libro Diario'!$C$5:$C$504,A791,'Libro Diario'!$G$5:$G$504)</f>
        <v>0</v>
      </c>
      <c r="F791" s="32" t="n">
        <f aca="false">IF(D791&gt;=E791,D791-E791,0)</f>
        <v>0</v>
      </c>
      <c r="G791" s="32" t="n">
        <f aca="false">IF(E791&gt;D791,E791-D791,0)</f>
        <v>0</v>
      </c>
    </row>
    <row r="792" customFormat="false" ht="15" hidden="false" customHeight="true" outlineLevel="0" collapsed="false">
      <c r="A792" s="30" t="s">
        <v>1102</v>
      </c>
      <c r="B792" s="31" t="s">
        <v>1103</v>
      </c>
      <c r="C792" s="30" t="s">
        <v>1054</v>
      </c>
      <c r="D792" s="32" t="n">
        <f aca="false">SUMIF('Libro Diario'!$C$5:$C$504,A792,'Libro Diario'!$F$5:$F$504)</f>
        <v>0</v>
      </c>
      <c r="E792" s="32" t="n">
        <f aca="false">SUMIF('Libro Diario'!$C$5:$C$504,A792,'Libro Diario'!$G$5:$G$504)</f>
        <v>0</v>
      </c>
      <c r="F792" s="32" t="n">
        <f aca="false">IF(D792&gt;=E792,D792-E792,0)</f>
        <v>0</v>
      </c>
      <c r="G792" s="32" t="n">
        <f aca="false">IF(E792&gt;D792,E792-D792,0)</f>
        <v>0</v>
      </c>
    </row>
    <row r="793" customFormat="false" ht="15" hidden="false" customHeight="true" outlineLevel="0" collapsed="false">
      <c r="A793" s="30" t="s">
        <v>1104</v>
      </c>
      <c r="B793" s="31" t="s">
        <v>1105</v>
      </c>
      <c r="C793" s="30" t="s">
        <v>1054</v>
      </c>
      <c r="D793" s="32" t="n">
        <f aca="false">SUMIF('Libro Diario'!$C$5:$C$504,A793,'Libro Diario'!$F$5:$F$504)</f>
        <v>0</v>
      </c>
      <c r="E793" s="32" t="n">
        <f aca="false">SUMIF('Libro Diario'!$C$5:$C$504,A793,'Libro Diario'!$G$5:$G$504)</f>
        <v>0</v>
      </c>
      <c r="F793" s="32" t="n">
        <f aca="false">IF(D793&gt;=E793,D793-E793,0)</f>
        <v>0</v>
      </c>
      <c r="G793" s="32" t="n">
        <f aca="false">IF(E793&gt;D793,E793-D793,0)</f>
        <v>0</v>
      </c>
    </row>
    <row r="794" customFormat="false" ht="15" hidden="false" customHeight="true" outlineLevel="0" collapsed="false">
      <c r="A794" s="30" t="s">
        <v>1106</v>
      </c>
      <c r="B794" s="31" t="s">
        <v>1107</v>
      </c>
      <c r="C794" s="30" t="s">
        <v>1054</v>
      </c>
      <c r="D794" s="32" t="n">
        <f aca="false">SUMIF('Libro Diario'!$C$5:$C$504,A794,'Libro Diario'!$F$5:$F$504)</f>
        <v>0</v>
      </c>
      <c r="E794" s="32" t="n">
        <f aca="false">SUMIF('Libro Diario'!$C$5:$C$504,A794,'Libro Diario'!$G$5:$G$504)</f>
        <v>0</v>
      </c>
      <c r="F794" s="32" t="n">
        <f aca="false">IF(D794&gt;=E794,D794-E794,0)</f>
        <v>0</v>
      </c>
      <c r="G794" s="32" t="n">
        <f aca="false">IF(E794&gt;D794,E794-D794,0)</f>
        <v>0</v>
      </c>
    </row>
    <row r="795" customFormat="false" ht="15" hidden="false" customHeight="true" outlineLevel="0" collapsed="false">
      <c r="A795" s="30" t="s">
        <v>1108</v>
      </c>
      <c r="B795" s="31" t="s">
        <v>1109</v>
      </c>
      <c r="C795" s="30" t="s">
        <v>1054</v>
      </c>
      <c r="D795" s="32" t="n">
        <f aca="false">SUMIF('Libro Diario'!$C$5:$C$504,A795,'Libro Diario'!$F$5:$F$504)</f>
        <v>0</v>
      </c>
      <c r="E795" s="32" t="n">
        <f aca="false">SUMIF('Libro Diario'!$C$5:$C$504,A795,'Libro Diario'!$G$5:$G$504)</f>
        <v>0</v>
      </c>
      <c r="F795" s="32" t="n">
        <f aca="false">IF(D795&gt;=E795,D795-E795,0)</f>
        <v>0</v>
      </c>
      <c r="G795" s="32" t="n">
        <f aca="false">IF(E795&gt;D795,E795-D795,0)</f>
        <v>0</v>
      </c>
    </row>
    <row r="796" customFormat="false" ht="15" hidden="false" customHeight="true" outlineLevel="0" collapsed="false">
      <c r="A796" s="30" t="s">
        <v>1110</v>
      </c>
      <c r="B796" s="31" t="s">
        <v>1111</v>
      </c>
      <c r="C796" s="30" t="s">
        <v>1054</v>
      </c>
      <c r="D796" s="32" t="n">
        <f aca="false">SUMIF('Libro Diario'!$C$5:$C$504,A796,'Libro Diario'!$F$5:$F$504)</f>
        <v>0</v>
      </c>
      <c r="E796" s="32" t="n">
        <f aca="false">SUMIF('Libro Diario'!$C$5:$C$504,A796,'Libro Diario'!$G$5:$G$504)</f>
        <v>0</v>
      </c>
      <c r="F796" s="32" t="n">
        <f aca="false">IF(D796&gt;=E796,D796-E796,0)</f>
        <v>0</v>
      </c>
      <c r="G796" s="32" t="n">
        <f aca="false">IF(E796&gt;D796,E796-D796,0)</f>
        <v>0</v>
      </c>
    </row>
    <row r="797" customFormat="false" ht="15" hidden="false" customHeight="true" outlineLevel="0" collapsed="false">
      <c r="A797" s="30" t="s">
        <v>1112</v>
      </c>
      <c r="B797" s="31" t="s">
        <v>1113</v>
      </c>
      <c r="C797" s="30" t="s">
        <v>1054</v>
      </c>
      <c r="D797" s="32" t="n">
        <f aca="false">SUMIF('Libro Diario'!$C$5:$C$504,A797,'Libro Diario'!$F$5:$F$504)</f>
        <v>0</v>
      </c>
      <c r="E797" s="32" t="n">
        <f aca="false">SUMIF('Libro Diario'!$C$5:$C$504,A797,'Libro Diario'!$G$5:$G$504)</f>
        <v>0</v>
      </c>
      <c r="F797" s="32" t="n">
        <f aca="false">IF(D797&gt;=E797,D797-E797,0)</f>
        <v>0</v>
      </c>
      <c r="G797" s="32" t="n">
        <f aca="false">IF(E797&gt;D797,E797-D797,0)</f>
        <v>0</v>
      </c>
    </row>
    <row r="798" customFormat="false" ht="15" hidden="false" customHeight="true" outlineLevel="0" collapsed="false">
      <c r="A798" s="30" t="s">
        <v>1114</v>
      </c>
      <c r="B798" s="31" t="s">
        <v>1115</v>
      </c>
      <c r="C798" s="30" t="s">
        <v>1054</v>
      </c>
      <c r="D798" s="32" t="n">
        <f aca="false">SUMIF('Libro Diario'!$C$5:$C$504,A798,'Libro Diario'!$F$5:$F$504)</f>
        <v>0</v>
      </c>
      <c r="E798" s="32" t="n">
        <f aca="false">SUMIF('Libro Diario'!$C$5:$C$504,A798,'Libro Diario'!$G$5:$G$504)</f>
        <v>0</v>
      </c>
      <c r="F798" s="32" t="n">
        <f aca="false">IF(D798&gt;=E798,D798-E798,0)</f>
        <v>0</v>
      </c>
      <c r="G798" s="32" t="n">
        <f aca="false">IF(E798&gt;D798,E798-D798,0)</f>
        <v>0</v>
      </c>
    </row>
    <row r="799" customFormat="false" ht="15" hidden="false" customHeight="true" outlineLevel="0" collapsed="false">
      <c r="A799" s="30" t="s">
        <v>1116</v>
      </c>
      <c r="B799" s="31" t="s">
        <v>1117</v>
      </c>
      <c r="C799" s="30" t="s">
        <v>1054</v>
      </c>
      <c r="D799" s="32" t="n">
        <f aca="false">SUMIF('Libro Diario'!$C$5:$C$504,A799,'Libro Diario'!$F$5:$F$504)</f>
        <v>0</v>
      </c>
      <c r="E799" s="32" t="n">
        <f aca="false">SUMIF('Libro Diario'!$C$5:$C$504,A799,'Libro Diario'!$G$5:$G$504)</f>
        <v>0</v>
      </c>
      <c r="F799" s="32" t="n">
        <f aca="false">IF(D799&gt;=E799,D799-E799,0)</f>
        <v>0</v>
      </c>
      <c r="G799" s="32" t="n">
        <f aca="false">IF(E799&gt;D799,E799-D799,0)</f>
        <v>0</v>
      </c>
    </row>
    <row r="800" customFormat="false" ht="15" hidden="false" customHeight="true" outlineLevel="0" collapsed="false">
      <c r="A800" s="30" t="s">
        <v>1118</v>
      </c>
      <c r="B800" s="31" t="s">
        <v>1119</v>
      </c>
      <c r="C800" s="30" t="s">
        <v>1054</v>
      </c>
      <c r="D800" s="32" t="n">
        <f aca="false">SUMIF('Libro Diario'!$C$5:$C$504,A800,'Libro Diario'!$F$5:$F$504)</f>
        <v>0</v>
      </c>
      <c r="E800" s="32" t="n">
        <f aca="false">SUMIF('Libro Diario'!$C$5:$C$504,A800,'Libro Diario'!$G$5:$G$504)</f>
        <v>0</v>
      </c>
      <c r="F800" s="32" t="n">
        <f aca="false">IF(D800&gt;=E800,D800-E800,0)</f>
        <v>0</v>
      </c>
      <c r="G800" s="32" t="n">
        <f aca="false">IF(E800&gt;D800,E800-D800,0)</f>
        <v>0</v>
      </c>
    </row>
    <row r="801" customFormat="false" ht="15" hidden="false" customHeight="true" outlineLevel="0" collapsed="false">
      <c r="A801" s="30" t="s">
        <v>1120</v>
      </c>
      <c r="B801" s="31" t="s">
        <v>407</v>
      </c>
      <c r="C801" s="30" t="s">
        <v>1121</v>
      </c>
      <c r="D801" s="32" t="n">
        <f aca="false">SUMIF('Libro Diario'!$C$5:$C$504,A801,'Libro Diario'!$F$5:$F$504)</f>
        <v>0</v>
      </c>
      <c r="E801" s="32" t="n">
        <f aca="false">SUMIF('Libro Diario'!$C$5:$C$504,A801,'Libro Diario'!$G$5:$G$504)</f>
        <v>0</v>
      </c>
      <c r="F801" s="32" t="n">
        <f aca="false">IF(D801&gt;=E801,D801-E801,0)</f>
        <v>0</v>
      </c>
      <c r="G801" s="32" t="n">
        <f aca="false">IF(E801&gt;D801,E801-D801,0)</f>
        <v>0</v>
      </c>
    </row>
    <row r="802" customFormat="false" ht="15" hidden="false" customHeight="true" outlineLevel="0" collapsed="false">
      <c r="A802" s="30" t="s">
        <v>1122</v>
      </c>
      <c r="B802" s="31" t="s">
        <v>409</v>
      </c>
      <c r="C802" s="30" t="s">
        <v>1121</v>
      </c>
      <c r="D802" s="32" t="n">
        <f aca="false">SUMIF('Libro Diario'!$C$5:$C$504,A802,'Libro Diario'!$F$5:$F$504)</f>
        <v>0</v>
      </c>
      <c r="E802" s="32" t="n">
        <f aca="false">SUMIF('Libro Diario'!$C$5:$C$504,A802,'Libro Diario'!$G$5:$G$504)</f>
        <v>0</v>
      </c>
      <c r="F802" s="32" t="n">
        <f aca="false">IF(D802&gt;=E802,D802-E802,0)</f>
        <v>0</v>
      </c>
      <c r="G802" s="32" t="n">
        <f aca="false">IF(E802&gt;D802,E802-D802,0)</f>
        <v>0</v>
      </c>
    </row>
    <row r="803" customFormat="false" ht="15" hidden="false" customHeight="true" outlineLevel="0" collapsed="false">
      <c r="A803" s="30" t="s">
        <v>1123</v>
      </c>
      <c r="B803" s="31" t="s">
        <v>263</v>
      </c>
      <c r="C803" s="30" t="s">
        <v>1121</v>
      </c>
      <c r="D803" s="32" t="n">
        <f aca="false">SUMIF('Libro Diario'!$C$5:$C$504,A803,'Libro Diario'!$F$5:$F$504)</f>
        <v>0</v>
      </c>
      <c r="E803" s="32" t="n">
        <f aca="false">SUMIF('Libro Diario'!$C$5:$C$504,A803,'Libro Diario'!$G$5:$G$504)</f>
        <v>0</v>
      </c>
      <c r="F803" s="32" t="n">
        <f aca="false">IF(D803&gt;=E803,D803-E803,0)</f>
        <v>0</v>
      </c>
      <c r="G803" s="32" t="n">
        <f aca="false">IF(E803&gt;D803,E803-D803,0)</f>
        <v>0</v>
      </c>
    </row>
    <row r="804" customFormat="false" ht="15" hidden="false" customHeight="true" outlineLevel="0" collapsed="false">
      <c r="A804" s="30" t="s">
        <v>1124</v>
      </c>
      <c r="B804" s="31" t="s">
        <v>427</v>
      </c>
      <c r="C804" s="30" t="s">
        <v>1121</v>
      </c>
      <c r="D804" s="32" t="n">
        <f aca="false">SUMIF('Libro Diario'!$C$5:$C$504,A804,'Libro Diario'!$F$5:$F$504)</f>
        <v>0</v>
      </c>
      <c r="E804" s="32" t="n">
        <f aca="false">SUMIF('Libro Diario'!$C$5:$C$504,A804,'Libro Diario'!$G$5:$G$504)</f>
        <v>0</v>
      </c>
      <c r="F804" s="32" t="n">
        <f aca="false">IF(D804&gt;=E804,D804-E804,0)</f>
        <v>0</v>
      </c>
      <c r="G804" s="32" t="n">
        <f aca="false">IF(E804&gt;D804,E804-D804,0)</f>
        <v>0</v>
      </c>
    </row>
    <row r="805" customFormat="false" ht="15" hidden="false" customHeight="true" outlineLevel="0" collapsed="false">
      <c r="A805" s="30" t="s">
        <v>1125</v>
      </c>
      <c r="B805" s="31" t="s">
        <v>273</v>
      </c>
      <c r="C805" s="30" t="s">
        <v>1121</v>
      </c>
      <c r="D805" s="32" t="n">
        <f aca="false">SUMIF('Libro Diario'!$C$5:$C$504,A805,'Libro Diario'!$F$5:$F$504)</f>
        <v>0</v>
      </c>
      <c r="E805" s="32" t="n">
        <f aca="false">SUMIF('Libro Diario'!$C$5:$C$504,A805,'Libro Diario'!$G$5:$G$504)</f>
        <v>0</v>
      </c>
      <c r="F805" s="32" t="n">
        <f aca="false">IF(D805&gt;=E805,D805-E805,0)</f>
        <v>0</v>
      </c>
      <c r="G805" s="32" t="n">
        <f aca="false">IF(E805&gt;D805,E805-D805,0)</f>
        <v>0</v>
      </c>
    </row>
    <row r="806" customFormat="false" ht="15" hidden="false" customHeight="true" outlineLevel="0" collapsed="false">
      <c r="A806" s="30" t="s">
        <v>1126</v>
      </c>
      <c r="B806" s="31" t="s">
        <v>275</v>
      </c>
      <c r="C806" s="30" t="s">
        <v>1121</v>
      </c>
      <c r="D806" s="32" t="n">
        <f aca="false">SUMIF('Libro Diario'!$C$5:$C$504,A806,'Libro Diario'!$F$5:$F$504)</f>
        <v>0</v>
      </c>
      <c r="E806" s="32" t="n">
        <f aca="false">SUMIF('Libro Diario'!$C$5:$C$504,A806,'Libro Diario'!$G$5:$G$504)</f>
        <v>0</v>
      </c>
      <c r="F806" s="32" t="n">
        <f aca="false">IF(D806&gt;=E806,D806-E806,0)</f>
        <v>0</v>
      </c>
      <c r="G806" s="32" t="n">
        <f aca="false">IF(E806&gt;D806,E806-D806,0)</f>
        <v>0</v>
      </c>
    </row>
    <row r="807" customFormat="false" ht="15" hidden="false" customHeight="true" outlineLevel="0" collapsed="false">
      <c r="A807" s="30" t="s">
        <v>1127</v>
      </c>
      <c r="B807" s="31" t="s">
        <v>277</v>
      </c>
      <c r="C807" s="30" t="s">
        <v>1121</v>
      </c>
      <c r="D807" s="32" t="n">
        <f aca="false">SUMIF('Libro Diario'!$C$5:$C$504,A807,'Libro Diario'!$F$5:$F$504)</f>
        <v>0</v>
      </c>
      <c r="E807" s="32" t="n">
        <f aca="false">SUMIF('Libro Diario'!$C$5:$C$504,A807,'Libro Diario'!$G$5:$G$504)</f>
        <v>0</v>
      </c>
      <c r="F807" s="32" t="n">
        <f aca="false">IF(D807&gt;=E807,D807-E807,0)</f>
        <v>0</v>
      </c>
      <c r="G807" s="32" t="n">
        <f aca="false">IF(E807&gt;D807,E807-D807,0)</f>
        <v>0</v>
      </c>
    </row>
    <row r="808" customFormat="false" ht="15" hidden="false" customHeight="true" outlineLevel="0" collapsed="false">
      <c r="A808" s="30" t="s">
        <v>1128</v>
      </c>
      <c r="B808" s="31" t="s">
        <v>1129</v>
      </c>
      <c r="C808" s="30" t="s">
        <v>1121</v>
      </c>
      <c r="D808" s="32" t="n">
        <f aca="false">SUMIF('Libro Diario'!$C$5:$C$504,A808,'Libro Diario'!$F$5:$F$504)</f>
        <v>0</v>
      </c>
      <c r="E808" s="32" t="n">
        <f aca="false">SUMIF('Libro Diario'!$C$5:$C$504,A808,'Libro Diario'!$G$5:$G$504)</f>
        <v>0</v>
      </c>
      <c r="F808" s="32" t="n">
        <f aca="false">IF(D808&gt;=E808,D808-E808,0)</f>
        <v>0</v>
      </c>
      <c r="G808" s="32" t="n">
        <f aca="false">IF(E808&gt;D808,E808-D808,0)</f>
        <v>0</v>
      </c>
    </row>
    <row r="809" customFormat="false" ht="15" hidden="false" customHeight="true" outlineLevel="0" collapsed="false">
      <c r="A809" s="30" t="s">
        <v>1130</v>
      </c>
      <c r="B809" s="31" t="s">
        <v>205</v>
      </c>
      <c r="C809" s="30" t="s">
        <v>1121</v>
      </c>
      <c r="D809" s="32" t="n">
        <f aca="false">SUMIF('Libro Diario'!$C$5:$C$504,A809,'Libro Diario'!$F$5:$F$504)</f>
        <v>0</v>
      </c>
      <c r="E809" s="32" t="n">
        <f aca="false">SUMIF('Libro Diario'!$C$5:$C$504,A809,'Libro Diario'!$G$5:$G$504)</f>
        <v>0</v>
      </c>
      <c r="F809" s="32" t="n">
        <f aca="false">IF(D809&gt;=E809,D809-E809,0)</f>
        <v>0</v>
      </c>
      <c r="G809" s="32" t="n">
        <f aca="false">IF(E809&gt;D809,E809-D809,0)</f>
        <v>0</v>
      </c>
    </row>
    <row r="810" customFormat="false" ht="15" hidden="false" customHeight="true" outlineLevel="0" collapsed="false">
      <c r="A810" s="30" t="s">
        <v>1131</v>
      </c>
      <c r="B810" s="31" t="s">
        <v>1132</v>
      </c>
      <c r="C810" s="30" t="s">
        <v>1121</v>
      </c>
      <c r="D810" s="32" t="n">
        <f aca="false">SUMIF('Libro Diario'!$C$5:$C$504,A810,'Libro Diario'!$F$5:$F$504)</f>
        <v>0</v>
      </c>
      <c r="E810" s="32" t="n">
        <f aca="false">SUMIF('Libro Diario'!$C$5:$C$504,A810,'Libro Diario'!$G$5:$G$504)</f>
        <v>0</v>
      </c>
      <c r="F810" s="32" t="n">
        <f aca="false">IF(D810&gt;=E810,D810-E810,0)</f>
        <v>0</v>
      </c>
      <c r="G810" s="32" t="n">
        <f aca="false">IF(E810&gt;D810,E810-D810,0)</f>
        <v>0</v>
      </c>
    </row>
    <row r="811" customFormat="false" ht="15" hidden="false" customHeight="true" outlineLevel="0" collapsed="false">
      <c r="A811" s="30" t="s">
        <v>1133</v>
      </c>
      <c r="B811" s="31" t="s">
        <v>1134</v>
      </c>
      <c r="C811" s="30" t="s">
        <v>1121</v>
      </c>
      <c r="D811" s="32" t="n">
        <f aca="false">SUMIF('Libro Diario'!$C$5:$C$504,A811,'Libro Diario'!$F$5:$F$504)</f>
        <v>0</v>
      </c>
      <c r="E811" s="32" t="n">
        <f aca="false">SUMIF('Libro Diario'!$C$5:$C$504,A811,'Libro Diario'!$G$5:$G$504)</f>
        <v>0</v>
      </c>
      <c r="F811" s="32" t="n">
        <f aca="false">IF(D811&gt;=E811,D811-E811,0)</f>
        <v>0</v>
      </c>
      <c r="G811" s="32" t="n">
        <f aca="false">IF(E811&gt;D811,E811-D811,0)</f>
        <v>0</v>
      </c>
    </row>
    <row r="812" customFormat="false" ht="15" hidden="false" customHeight="true" outlineLevel="0" collapsed="false">
      <c r="A812" s="30" t="s">
        <v>1135</v>
      </c>
      <c r="B812" s="31" t="s">
        <v>1136</v>
      </c>
      <c r="C812" s="30" t="s">
        <v>1121</v>
      </c>
      <c r="D812" s="32" t="n">
        <f aca="false">SUMIF('Libro Diario'!$C$5:$C$504,A812,'Libro Diario'!$F$5:$F$504)</f>
        <v>0</v>
      </c>
      <c r="E812" s="32" t="n">
        <f aca="false">SUMIF('Libro Diario'!$C$5:$C$504,A812,'Libro Diario'!$G$5:$G$504)</f>
        <v>0</v>
      </c>
      <c r="F812" s="32" t="n">
        <f aca="false">IF(D812&gt;=E812,D812-E812,0)</f>
        <v>0</v>
      </c>
      <c r="G812" s="32" t="n">
        <f aca="false">IF(E812&gt;D812,E812-D812,0)</f>
        <v>0</v>
      </c>
    </row>
    <row r="813" customFormat="false" ht="15" hidden="false" customHeight="true" outlineLevel="0" collapsed="false">
      <c r="A813" s="30" t="s">
        <v>1137</v>
      </c>
      <c r="B813" s="31" t="s">
        <v>1129</v>
      </c>
      <c r="C813" s="30" t="s">
        <v>1121</v>
      </c>
      <c r="D813" s="32" t="n">
        <f aca="false">SUMIF('Libro Diario'!$C$5:$C$504,A813,'Libro Diario'!$F$5:$F$504)</f>
        <v>0</v>
      </c>
      <c r="E813" s="32" t="n">
        <f aca="false">SUMIF('Libro Diario'!$C$5:$C$504,A813,'Libro Diario'!$G$5:$G$504)</f>
        <v>0</v>
      </c>
      <c r="F813" s="32" t="n">
        <f aca="false">IF(D813&gt;=E813,D813-E813,0)</f>
        <v>0</v>
      </c>
      <c r="G813" s="32" t="n">
        <f aca="false">IF(E813&gt;D813,E813-D813,0)</f>
        <v>0</v>
      </c>
    </row>
    <row r="814" customFormat="false" ht="15" hidden="false" customHeight="true" outlineLevel="0" collapsed="false">
      <c r="A814" s="30" t="s">
        <v>1138</v>
      </c>
      <c r="B814" s="31" t="s">
        <v>205</v>
      </c>
      <c r="C814" s="30" t="s">
        <v>1121</v>
      </c>
      <c r="D814" s="32" t="n">
        <f aca="false">SUMIF('Libro Diario'!$C$5:$C$504,A814,'Libro Diario'!$F$5:$F$504)</f>
        <v>0</v>
      </c>
      <c r="E814" s="32" t="n">
        <f aca="false">SUMIF('Libro Diario'!$C$5:$C$504,A814,'Libro Diario'!$G$5:$G$504)</f>
        <v>0</v>
      </c>
      <c r="F814" s="32" t="n">
        <f aca="false">IF(D814&gt;=E814,D814-E814,0)</f>
        <v>0</v>
      </c>
      <c r="G814" s="32" t="n">
        <f aca="false">IF(E814&gt;D814,E814-D814,0)</f>
        <v>0</v>
      </c>
    </row>
    <row r="815" customFormat="false" ht="15" hidden="false" customHeight="true" outlineLevel="0" collapsed="false">
      <c r="A815" s="30" t="s">
        <v>1139</v>
      </c>
      <c r="B815" s="31" t="s">
        <v>1132</v>
      </c>
      <c r="C815" s="30" t="s">
        <v>1121</v>
      </c>
      <c r="D815" s="32" t="n">
        <f aca="false">SUMIF('Libro Diario'!$C$5:$C$504,A815,'Libro Diario'!$F$5:$F$504)</f>
        <v>0</v>
      </c>
      <c r="E815" s="32" t="n">
        <f aca="false">SUMIF('Libro Diario'!$C$5:$C$504,A815,'Libro Diario'!$G$5:$G$504)</f>
        <v>0</v>
      </c>
      <c r="F815" s="32" t="n">
        <f aca="false">IF(D815&gt;=E815,D815-E815,0)</f>
        <v>0</v>
      </c>
      <c r="G815" s="32" t="n">
        <f aca="false">IF(E815&gt;D815,E815-D815,0)</f>
        <v>0</v>
      </c>
    </row>
    <row r="816" customFormat="false" ht="15" hidden="false" customHeight="true" outlineLevel="0" collapsed="false">
      <c r="A816" s="30" t="s">
        <v>1140</v>
      </c>
      <c r="B816" s="31" t="s">
        <v>1134</v>
      </c>
      <c r="C816" s="30" t="s">
        <v>1121</v>
      </c>
      <c r="D816" s="32" t="n">
        <f aca="false">SUMIF('Libro Diario'!$C$5:$C$504,A816,'Libro Diario'!$F$5:$F$504)</f>
        <v>0</v>
      </c>
      <c r="E816" s="32" t="n">
        <f aca="false">SUMIF('Libro Diario'!$C$5:$C$504,A816,'Libro Diario'!$G$5:$G$504)</f>
        <v>0</v>
      </c>
      <c r="F816" s="32" t="n">
        <f aca="false">IF(D816&gt;=E816,D816-E816,0)</f>
        <v>0</v>
      </c>
      <c r="G816" s="32" t="n">
        <f aca="false">IF(E816&gt;D816,E816-D816,0)</f>
        <v>0</v>
      </c>
    </row>
    <row r="817" customFormat="false" ht="15" hidden="false" customHeight="true" outlineLevel="0" collapsed="false">
      <c r="A817" s="30" t="s">
        <v>1141</v>
      </c>
      <c r="B817" s="31" t="s">
        <v>1136</v>
      </c>
      <c r="C817" s="30" t="s">
        <v>1121</v>
      </c>
      <c r="D817" s="32" t="n">
        <f aca="false">SUMIF('Libro Diario'!$C$5:$C$504,A817,'Libro Diario'!$F$5:$F$504)</f>
        <v>0</v>
      </c>
      <c r="E817" s="32" t="n">
        <f aca="false">SUMIF('Libro Diario'!$C$5:$C$504,A817,'Libro Diario'!$G$5:$G$504)</f>
        <v>0</v>
      </c>
      <c r="F817" s="32" t="n">
        <f aca="false">IF(D817&gt;=E817,D817-E817,0)</f>
        <v>0</v>
      </c>
      <c r="G817" s="32" t="n">
        <f aca="false">IF(E817&gt;D817,E817-D817,0)</f>
        <v>0</v>
      </c>
    </row>
    <row r="818" customFormat="false" ht="15" hidden="false" customHeight="true" outlineLevel="0" collapsed="false">
      <c r="A818" s="30" t="s">
        <v>1142</v>
      </c>
      <c r="B818" s="31" t="s">
        <v>1129</v>
      </c>
      <c r="C818" s="30" t="s">
        <v>1121</v>
      </c>
      <c r="D818" s="32" t="n">
        <f aca="false">SUMIF('Libro Diario'!$C$5:$C$504,A818,'Libro Diario'!$F$5:$F$504)</f>
        <v>0</v>
      </c>
      <c r="E818" s="32" t="n">
        <f aca="false">SUMIF('Libro Diario'!$C$5:$C$504,A818,'Libro Diario'!$G$5:$G$504)</f>
        <v>0</v>
      </c>
      <c r="F818" s="32" t="n">
        <f aca="false">IF(D818&gt;=E818,D818-E818,0)</f>
        <v>0</v>
      </c>
      <c r="G818" s="32" t="n">
        <f aca="false">IF(E818&gt;D818,E818-D818,0)</f>
        <v>0</v>
      </c>
    </row>
    <row r="819" customFormat="false" ht="15" hidden="false" customHeight="true" outlineLevel="0" collapsed="false">
      <c r="A819" s="30" t="s">
        <v>1143</v>
      </c>
      <c r="B819" s="31" t="s">
        <v>205</v>
      </c>
      <c r="C819" s="30" t="s">
        <v>1121</v>
      </c>
      <c r="D819" s="32" t="n">
        <f aca="false">SUMIF('Libro Diario'!$C$5:$C$504,A819,'Libro Diario'!$F$5:$F$504)</f>
        <v>0</v>
      </c>
      <c r="E819" s="32" t="n">
        <f aca="false">SUMIF('Libro Diario'!$C$5:$C$504,A819,'Libro Diario'!$G$5:$G$504)</f>
        <v>0</v>
      </c>
      <c r="F819" s="32" t="n">
        <f aca="false">IF(D819&gt;=E819,D819-E819,0)</f>
        <v>0</v>
      </c>
      <c r="G819" s="32" t="n">
        <f aca="false">IF(E819&gt;D819,E819-D819,0)</f>
        <v>0</v>
      </c>
    </row>
    <row r="820" customFormat="false" ht="15" hidden="false" customHeight="true" outlineLevel="0" collapsed="false">
      <c r="A820" s="30" t="s">
        <v>1144</v>
      </c>
      <c r="B820" s="31" t="s">
        <v>1132</v>
      </c>
      <c r="C820" s="30" t="s">
        <v>1121</v>
      </c>
      <c r="D820" s="32" t="n">
        <f aca="false">SUMIF('Libro Diario'!$C$5:$C$504,A820,'Libro Diario'!$F$5:$F$504)</f>
        <v>0</v>
      </c>
      <c r="E820" s="32" t="n">
        <f aca="false">SUMIF('Libro Diario'!$C$5:$C$504,A820,'Libro Diario'!$G$5:$G$504)</f>
        <v>0</v>
      </c>
      <c r="F820" s="32" t="n">
        <f aca="false">IF(D820&gt;=E820,D820-E820,0)</f>
        <v>0</v>
      </c>
      <c r="G820" s="32" t="n">
        <f aca="false">IF(E820&gt;D820,E820-D820,0)</f>
        <v>0</v>
      </c>
    </row>
    <row r="821" customFormat="false" ht="15" hidden="false" customHeight="true" outlineLevel="0" collapsed="false">
      <c r="A821" s="30" t="s">
        <v>1145</v>
      </c>
      <c r="B821" s="31" t="s">
        <v>1134</v>
      </c>
      <c r="C821" s="30" t="s">
        <v>1121</v>
      </c>
      <c r="D821" s="32" t="n">
        <f aca="false">SUMIF('Libro Diario'!$C$5:$C$504,A821,'Libro Diario'!$F$5:$F$504)</f>
        <v>0</v>
      </c>
      <c r="E821" s="32" t="n">
        <f aca="false">SUMIF('Libro Diario'!$C$5:$C$504,A821,'Libro Diario'!$G$5:$G$504)</f>
        <v>0</v>
      </c>
      <c r="F821" s="32" t="n">
        <f aca="false">IF(D821&gt;=E821,D821-E821,0)</f>
        <v>0</v>
      </c>
      <c r="G821" s="32" t="n">
        <f aca="false">IF(E821&gt;D821,E821-D821,0)</f>
        <v>0</v>
      </c>
    </row>
    <row r="822" customFormat="false" ht="15" hidden="false" customHeight="true" outlineLevel="0" collapsed="false">
      <c r="A822" s="30" t="s">
        <v>1146</v>
      </c>
      <c r="B822" s="31" t="s">
        <v>1136</v>
      </c>
      <c r="C822" s="30" t="s">
        <v>1121</v>
      </c>
      <c r="D822" s="32" t="n">
        <f aca="false">SUMIF('Libro Diario'!$C$5:$C$504,A822,'Libro Diario'!$F$5:$F$504)</f>
        <v>0</v>
      </c>
      <c r="E822" s="32" t="n">
        <f aca="false">SUMIF('Libro Diario'!$C$5:$C$504,A822,'Libro Diario'!$G$5:$G$504)</f>
        <v>0</v>
      </c>
      <c r="F822" s="32" t="n">
        <f aca="false">IF(D822&gt;=E822,D822-E822,0)</f>
        <v>0</v>
      </c>
      <c r="G822" s="32" t="n">
        <f aca="false">IF(E822&gt;D822,E822-D822,0)</f>
        <v>0</v>
      </c>
    </row>
    <row r="823" customFormat="false" ht="15" hidden="false" customHeight="true" outlineLevel="0" collapsed="false">
      <c r="A823" s="30" t="s">
        <v>1147</v>
      </c>
      <c r="B823" s="31" t="s">
        <v>1129</v>
      </c>
      <c r="C823" s="30" t="s">
        <v>1121</v>
      </c>
      <c r="D823" s="32" t="n">
        <f aca="false">SUMIF('Libro Diario'!$C$5:$C$504,A823,'Libro Diario'!$F$5:$F$504)</f>
        <v>0</v>
      </c>
      <c r="E823" s="32" t="n">
        <f aca="false">SUMIF('Libro Diario'!$C$5:$C$504,A823,'Libro Diario'!$G$5:$G$504)</f>
        <v>0</v>
      </c>
      <c r="F823" s="32" t="n">
        <f aca="false">IF(D823&gt;=E823,D823-E823,0)</f>
        <v>0</v>
      </c>
      <c r="G823" s="32" t="n">
        <f aca="false">IF(E823&gt;D823,E823-D823,0)</f>
        <v>0</v>
      </c>
    </row>
    <row r="824" customFormat="false" ht="15" hidden="false" customHeight="true" outlineLevel="0" collapsed="false">
      <c r="A824" s="30" t="s">
        <v>1148</v>
      </c>
      <c r="B824" s="31" t="s">
        <v>205</v>
      </c>
      <c r="C824" s="30" t="s">
        <v>1121</v>
      </c>
      <c r="D824" s="32" t="n">
        <f aca="false">SUMIF('Libro Diario'!$C$5:$C$504,A824,'Libro Diario'!$F$5:$F$504)</f>
        <v>0</v>
      </c>
      <c r="E824" s="32" t="n">
        <f aca="false">SUMIF('Libro Diario'!$C$5:$C$504,A824,'Libro Diario'!$G$5:$G$504)</f>
        <v>0</v>
      </c>
      <c r="F824" s="32" t="n">
        <f aca="false">IF(D824&gt;=E824,D824-E824,0)</f>
        <v>0</v>
      </c>
      <c r="G824" s="32" t="n">
        <f aca="false">IF(E824&gt;D824,E824-D824,0)</f>
        <v>0</v>
      </c>
    </row>
    <row r="825" customFormat="false" ht="15" hidden="false" customHeight="true" outlineLevel="0" collapsed="false">
      <c r="A825" s="30" t="s">
        <v>1149</v>
      </c>
      <c r="B825" s="31" t="s">
        <v>1132</v>
      </c>
      <c r="C825" s="30" t="s">
        <v>1121</v>
      </c>
      <c r="D825" s="32" t="n">
        <f aca="false">SUMIF('Libro Diario'!$C$5:$C$504,A825,'Libro Diario'!$F$5:$F$504)</f>
        <v>0</v>
      </c>
      <c r="E825" s="32" t="n">
        <f aca="false">SUMIF('Libro Diario'!$C$5:$C$504,A825,'Libro Diario'!$G$5:$G$504)</f>
        <v>0</v>
      </c>
      <c r="F825" s="32" t="n">
        <f aca="false">IF(D825&gt;=E825,D825-E825,0)</f>
        <v>0</v>
      </c>
      <c r="G825" s="32" t="n">
        <f aca="false">IF(E825&gt;D825,E825-D825,0)</f>
        <v>0</v>
      </c>
    </row>
    <row r="826" customFormat="false" ht="15" hidden="false" customHeight="true" outlineLevel="0" collapsed="false">
      <c r="A826" s="30" t="s">
        <v>1150</v>
      </c>
      <c r="B826" s="31" t="s">
        <v>1134</v>
      </c>
      <c r="C826" s="30" t="s">
        <v>1121</v>
      </c>
      <c r="D826" s="32" t="n">
        <f aca="false">SUMIF('Libro Diario'!$C$5:$C$504,A826,'Libro Diario'!$F$5:$F$504)</f>
        <v>0</v>
      </c>
      <c r="E826" s="32" t="n">
        <f aca="false">SUMIF('Libro Diario'!$C$5:$C$504,A826,'Libro Diario'!$G$5:$G$504)</f>
        <v>0</v>
      </c>
      <c r="F826" s="32" t="n">
        <f aca="false">IF(D826&gt;=E826,D826-E826,0)</f>
        <v>0</v>
      </c>
      <c r="G826" s="32" t="n">
        <f aca="false">IF(E826&gt;D826,E826-D826,0)</f>
        <v>0</v>
      </c>
    </row>
    <row r="827" customFormat="false" ht="15" hidden="false" customHeight="true" outlineLevel="0" collapsed="false">
      <c r="A827" s="30" t="s">
        <v>1151</v>
      </c>
      <c r="B827" s="31" t="s">
        <v>1136</v>
      </c>
      <c r="C827" s="30" t="s">
        <v>1121</v>
      </c>
      <c r="D827" s="32" t="n">
        <f aca="false">SUMIF('Libro Diario'!$C$5:$C$504,A827,'Libro Diario'!$F$5:$F$504)</f>
        <v>0</v>
      </c>
      <c r="E827" s="32" t="n">
        <f aca="false">SUMIF('Libro Diario'!$C$5:$C$504,A827,'Libro Diario'!$G$5:$G$504)</f>
        <v>0</v>
      </c>
      <c r="F827" s="32" t="n">
        <f aca="false">IF(D827&gt;=E827,D827-E827,0)</f>
        <v>0</v>
      </c>
      <c r="G827" s="32" t="n">
        <f aca="false">IF(E827&gt;D827,E827-D827,0)</f>
        <v>0</v>
      </c>
    </row>
    <row r="828" customFormat="false" ht="15" hidden="false" customHeight="true" outlineLevel="0" collapsed="false">
      <c r="A828" s="30" t="s">
        <v>1152</v>
      </c>
      <c r="B828" s="31" t="s">
        <v>407</v>
      </c>
      <c r="C828" s="30" t="s">
        <v>1121</v>
      </c>
      <c r="D828" s="32" t="n">
        <f aca="false">SUMIF('Libro Diario'!$C$5:$C$504,A828,'Libro Diario'!$F$5:$F$504)</f>
        <v>0</v>
      </c>
      <c r="E828" s="32" t="n">
        <f aca="false">SUMIF('Libro Diario'!$C$5:$C$504,A828,'Libro Diario'!$G$5:$G$504)</f>
        <v>0</v>
      </c>
      <c r="F828" s="32" t="n">
        <f aca="false">IF(D828&gt;=E828,D828-E828,0)</f>
        <v>0</v>
      </c>
      <c r="G828" s="32" t="n">
        <f aca="false">IF(E828&gt;D828,E828-D828,0)</f>
        <v>0</v>
      </c>
    </row>
    <row r="829" customFormat="false" ht="15" hidden="false" customHeight="true" outlineLevel="0" collapsed="false">
      <c r="A829" s="30" t="s">
        <v>1153</v>
      </c>
      <c r="B829" s="31" t="s">
        <v>409</v>
      </c>
      <c r="C829" s="30" t="s">
        <v>1121</v>
      </c>
      <c r="D829" s="32" t="n">
        <f aca="false">SUMIF('Libro Diario'!$C$5:$C$504,A829,'Libro Diario'!$F$5:$F$504)</f>
        <v>0</v>
      </c>
      <c r="E829" s="32" t="n">
        <f aca="false">SUMIF('Libro Diario'!$C$5:$C$504,A829,'Libro Diario'!$G$5:$G$504)</f>
        <v>0</v>
      </c>
      <c r="F829" s="32" t="n">
        <f aca="false">IF(D829&gt;=E829,D829-E829,0)</f>
        <v>0</v>
      </c>
      <c r="G829" s="32" t="n">
        <f aca="false">IF(E829&gt;D829,E829-D829,0)</f>
        <v>0</v>
      </c>
    </row>
    <row r="830" customFormat="false" ht="15" hidden="false" customHeight="true" outlineLevel="0" collapsed="false">
      <c r="A830" s="30" t="s">
        <v>1154</v>
      </c>
      <c r="B830" s="31" t="s">
        <v>263</v>
      </c>
      <c r="C830" s="30" t="s">
        <v>1121</v>
      </c>
      <c r="D830" s="32" t="n">
        <f aca="false">SUMIF('Libro Diario'!$C$5:$C$504,A830,'Libro Diario'!$F$5:$F$504)</f>
        <v>0</v>
      </c>
      <c r="E830" s="32" t="n">
        <f aca="false">SUMIF('Libro Diario'!$C$5:$C$504,A830,'Libro Diario'!$G$5:$G$504)</f>
        <v>0</v>
      </c>
      <c r="F830" s="32" t="n">
        <f aca="false">IF(D830&gt;=E830,D830-E830,0)</f>
        <v>0</v>
      </c>
      <c r="G830" s="32" t="n">
        <f aca="false">IF(E830&gt;D830,E830-D830,0)</f>
        <v>0</v>
      </c>
    </row>
    <row r="831" customFormat="false" ht="15" hidden="false" customHeight="true" outlineLevel="0" collapsed="false">
      <c r="A831" s="30" t="s">
        <v>1155</v>
      </c>
      <c r="B831" s="31" t="s">
        <v>427</v>
      </c>
      <c r="C831" s="30" t="s">
        <v>1121</v>
      </c>
      <c r="D831" s="32" t="n">
        <f aca="false">SUMIF('Libro Diario'!$C$5:$C$504,A831,'Libro Diario'!$F$5:$F$504)</f>
        <v>0</v>
      </c>
      <c r="E831" s="32" t="n">
        <f aca="false">SUMIF('Libro Diario'!$C$5:$C$504,A831,'Libro Diario'!$G$5:$G$504)</f>
        <v>0</v>
      </c>
      <c r="F831" s="32" t="n">
        <f aca="false">IF(D831&gt;=E831,D831-E831,0)</f>
        <v>0</v>
      </c>
      <c r="G831" s="32" t="n">
        <f aca="false">IF(E831&gt;D831,E831-D831,0)</f>
        <v>0</v>
      </c>
    </row>
    <row r="832" customFormat="false" ht="15" hidden="false" customHeight="true" outlineLevel="0" collapsed="false">
      <c r="A832" s="30" t="s">
        <v>1156</v>
      </c>
      <c r="B832" s="31" t="s">
        <v>273</v>
      </c>
      <c r="C832" s="30" t="s">
        <v>1121</v>
      </c>
      <c r="D832" s="32" t="n">
        <f aca="false">SUMIF('Libro Diario'!$C$5:$C$504,A832,'Libro Diario'!$F$5:$F$504)</f>
        <v>0</v>
      </c>
      <c r="E832" s="32" t="n">
        <f aca="false">SUMIF('Libro Diario'!$C$5:$C$504,A832,'Libro Diario'!$G$5:$G$504)</f>
        <v>0</v>
      </c>
      <c r="F832" s="32" t="n">
        <f aca="false">IF(D832&gt;=E832,D832-E832,0)</f>
        <v>0</v>
      </c>
      <c r="G832" s="32" t="n">
        <f aca="false">IF(E832&gt;D832,E832-D832,0)</f>
        <v>0</v>
      </c>
    </row>
    <row r="833" customFormat="false" ht="15" hidden="false" customHeight="true" outlineLevel="0" collapsed="false">
      <c r="A833" s="30" t="s">
        <v>1157</v>
      </c>
      <c r="B833" s="31" t="s">
        <v>275</v>
      </c>
      <c r="C833" s="30" t="s">
        <v>1121</v>
      </c>
      <c r="D833" s="32" t="n">
        <f aca="false">SUMIF('Libro Diario'!$C$5:$C$504,A833,'Libro Diario'!$F$5:$F$504)</f>
        <v>0</v>
      </c>
      <c r="E833" s="32" t="n">
        <f aca="false">SUMIF('Libro Diario'!$C$5:$C$504,A833,'Libro Diario'!$G$5:$G$504)</f>
        <v>0</v>
      </c>
      <c r="F833" s="32" t="n">
        <f aca="false">IF(D833&gt;=E833,D833-E833,0)</f>
        <v>0</v>
      </c>
      <c r="G833" s="32" t="n">
        <f aca="false">IF(E833&gt;D833,E833-D833,0)</f>
        <v>0</v>
      </c>
    </row>
    <row r="834" customFormat="false" ht="15" hidden="false" customHeight="true" outlineLevel="0" collapsed="false">
      <c r="A834" s="30" t="s">
        <v>1158</v>
      </c>
      <c r="B834" s="31" t="s">
        <v>277</v>
      </c>
      <c r="C834" s="30" t="s">
        <v>1121</v>
      </c>
      <c r="D834" s="32" t="n">
        <f aca="false">SUMIF('Libro Diario'!$C$5:$C$504,A834,'Libro Diario'!$F$5:$F$504)</f>
        <v>0</v>
      </c>
      <c r="E834" s="32" t="n">
        <f aca="false">SUMIF('Libro Diario'!$C$5:$C$504,A834,'Libro Diario'!$G$5:$G$504)</f>
        <v>0</v>
      </c>
      <c r="F834" s="32" t="n">
        <f aca="false">IF(D834&gt;=E834,D834-E834,0)</f>
        <v>0</v>
      </c>
      <c r="G834" s="32" t="n">
        <f aca="false">IF(E834&gt;D834,E834-D834,0)</f>
        <v>0</v>
      </c>
    </row>
    <row r="835" customFormat="false" ht="15" hidden="false" customHeight="true" outlineLevel="0" collapsed="false">
      <c r="A835" s="30" t="s">
        <v>1159</v>
      </c>
      <c r="B835" s="31" t="s">
        <v>1160</v>
      </c>
      <c r="C835" s="30" t="s">
        <v>1121</v>
      </c>
      <c r="D835" s="32" t="n">
        <f aca="false">SUMIF('Libro Diario'!$C$5:$C$504,A835,'Libro Diario'!$F$5:$F$504)</f>
        <v>0</v>
      </c>
      <c r="E835" s="32" t="n">
        <f aca="false">SUMIF('Libro Diario'!$C$5:$C$504,A835,'Libro Diario'!$G$5:$G$504)</f>
        <v>0</v>
      </c>
      <c r="F835" s="32" t="n">
        <f aca="false">IF(D835&gt;=E835,D835-E835,0)</f>
        <v>0</v>
      </c>
      <c r="G835" s="32" t="n">
        <f aca="false">IF(E835&gt;D835,E835-D835,0)</f>
        <v>0</v>
      </c>
    </row>
    <row r="836" customFormat="false" ht="15" hidden="false" customHeight="true" outlineLevel="0" collapsed="false">
      <c r="A836" s="30" t="s">
        <v>1161</v>
      </c>
      <c r="B836" s="31" t="s">
        <v>1134</v>
      </c>
      <c r="C836" s="30" t="s">
        <v>1121</v>
      </c>
      <c r="D836" s="32" t="n">
        <f aca="false">SUMIF('Libro Diario'!$C$5:$C$504,A836,'Libro Diario'!$F$5:$F$504)</f>
        <v>0</v>
      </c>
      <c r="E836" s="32" t="n">
        <f aca="false">SUMIF('Libro Diario'!$C$5:$C$504,A836,'Libro Diario'!$G$5:$G$504)</f>
        <v>0</v>
      </c>
      <c r="F836" s="32" t="n">
        <f aca="false">IF(D836&gt;=E836,D836-E836,0)</f>
        <v>0</v>
      </c>
      <c r="G836" s="32" t="n">
        <f aca="false">IF(E836&gt;D836,E836-D836,0)</f>
        <v>0</v>
      </c>
    </row>
    <row r="837" customFormat="false" ht="15" hidden="false" customHeight="true" outlineLevel="0" collapsed="false">
      <c r="A837" s="30" t="s">
        <v>1162</v>
      </c>
      <c r="B837" s="31" t="s">
        <v>1163</v>
      </c>
      <c r="C837" s="30" t="s">
        <v>1121</v>
      </c>
      <c r="D837" s="32" t="n">
        <f aca="false">SUMIF('Libro Diario'!$C$5:$C$504,A837,'Libro Diario'!$F$5:$F$504)</f>
        <v>0</v>
      </c>
      <c r="E837" s="32" t="n">
        <f aca="false">SUMIF('Libro Diario'!$C$5:$C$504,A837,'Libro Diario'!$G$5:$G$504)</f>
        <v>0</v>
      </c>
      <c r="F837" s="32" t="n">
        <f aca="false">IF(D837&gt;=E837,D837-E837,0)</f>
        <v>0</v>
      </c>
      <c r="G837" s="32" t="n">
        <f aca="false">IF(E837&gt;D837,E837-D837,0)</f>
        <v>0</v>
      </c>
    </row>
    <row r="838" customFormat="false" ht="15" hidden="false" customHeight="true" outlineLevel="0" collapsed="false">
      <c r="A838" s="30" t="s">
        <v>1164</v>
      </c>
      <c r="B838" s="31" t="s">
        <v>1165</v>
      </c>
      <c r="C838" s="30" t="s">
        <v>1121</v>
      </c>
      <c r="D838" s="32" t="n">
        <f aca="false">SUMIF('Libro Diario'!$C$5:$C$504,A838,'Libro Diario'!$F$5:$F$504)</f>
        <v>0</v>
      </c>
      <c r="E838" s="32" t="n">
        <f aca="false">SUMIF('Libro Diario'!$C$5:$C$504,A838,'Libro Diario'!$G$5:$G$504)</f>
        <v>0</v>
      </c>
      <c r="F838" s="32" t="n">
        <f aca="false">IF(D838&gt;=E838,D838-E838,0)</f>
        <v>0</v>
      </c>
      <c r="G838" s="32" t="n">
        <f aca="false">IF(E838&gt;D838,E838-D838,0)</f>
        <v>0</v>
      </c>
    </row>
    <row r="839" customFormat="false" ht="15" hidden="false" customHeight="true" outlineLevel="0" collapsed="false">
      <c r="A839" s="30" t="s">
        <v>1166</v>
      </c>
      <c r="B839" s="31" t="s">
        <v>1167</v>
      </c>
      <c r="C839" s="30" t="s">
        <v>1121</v>
      </c>
      <c r="D839" s="32" t="n">
        <f aca="false">SUMIF('Libro Diario'!$C$5:$C$504,A839,'Libro Diario'!$F$5:$F$504)</f>
        <v>0</v>
      </c>
      <c r="E839" s="32" t="n">
        <f aca="false">SUMIF('Libro Diario'!$C$5:$C$504,A839,'Libro Diario'!$G$5:$G$504)</f>
        <v>0</v>
      </c>
      <c r="F839" s="32" t="n">
        <f aca="false">IF(D839&gt;=E839,D839-E839,0)</f>
        <v>0</v>
      </c>
      <c r="G839" s="32" t="n">
        <f aca="false">IF(E839&gt;D839,E839-D839,0)</f>
        <v>0</v>
      </c>
    </row>
    <row r="840" customFormat="false" ht="15" hidden="false" customHeight="true" outlineLevel="0" collapsed="false">
      <c r="A840" s="30" t="s">
        <v>1168</v>
      </c>
      <c r="B840" s="31" t="s">
        <v>1169</v>
      </c>
      <c r="C840" s="30" t="s">
        <v>1121</v>
      </c>
      <c r="D840" s="32" t="n">
        <f aca="false">SUMIF('Libro Diario'!$C$5:$C$504,A840,'Libro Diario'!$F$5:$F$504)</f>
        <v>0</v>
      </c>
      <c r="E840" s="32" t="n">
        <f aca="false">SUMIF('Libro Diario'!$C$5:$C$504,A840,'Libro Diario'!$G$5:$G$504)</f>
        <v>0</v>
      </c>
      <c r="F840" s="32" t="n">
        <f aca="false">IF(D840&gt;=E840,D840-E840,0)</f>
        <v>0</v>
      </c>
      <c r="G840" s="32" t="n">
        <f aca="false">IF(E840&gt;D840,E840-D840,0)</f>
        <v>0</v>
      </c>
    </row>
    <row r="841" customFormat="false" ht="15" hidden="false" customHeight="true" outlineLevel="0" collapsed="false">
      <c r="A841" s="30" t="s">
        <v>1170</v>
      </c>
      <c r="B841" s="31" t="s">
        <v>1171</v>
      </c>
      <c r="C841" s="30" t="s">
        <v>1121</v>
      </c>
      <c r="D841" s="32" t="n">
        <f aca="false">SUMIF('Libro Diario'!$C$5:$C$504,A841,'Libro Diario'!$F$5:$F$504)</f>
        <v>0</v>
      </c>
      <c r="E841" s="32" t="n">
        <f aca="false">SUMIF('Libro Diario'!$C$5:$C$504,A841,'Libro Diario'!$G$5:$G$504)</f>
        <v>0</v>
      </c>
      <c r="F841" s="32" t="n">
        <f aca="false">IF(D841&gt;=E841,D841-E841,0)</f>
        <v>0</v>
      </c>
      <c r="G841" s="32" t="n">
        <f aca="false">IF(E841&gt;D841,E841-D841,0)</f>
        <v>0</v>
      </c>
    </row>
    <row r="842" customFormat="false" ht="15" hidden="false" customHeight="true" outlineLevel="0" collapsed="false">
      <c r="A842" s="30" t="s">
        <v>1172</v>
      </c>
      <c r="B842" s="31" t="s">
        <v>1173</v>
      </c>
      <c r="C842" s="30" t="s">
        <v>1121</v>
      </c>
      <c r="D842" s="32" t="n">
        <f aca="false">SUMIF('Libro Diario'!$C$5:$C$504,A842,'Libro Diario'!$F$5:$F$504)</f>
        <v>0</v>
      </c>
      <c r="E842" s="32" t="n">
        <f aca="false">SUMIF('Libro Diario'!$C$5:$C$504,A842,'Libro Diario'!$G$5:$G$504)</f>
        <v>0</v>
      </c>
      <c r="F842" s="32" t="n">
        <f aca="false">IF(D842&gt;=E842,D842-E842,0)</f>
        <v>0</v>
      </c>
      <c r="G842" s="32" t="n">
        <f aca="false">IF(E842&gt;D842,E842-D842,0)</f>
        <v>0</v>
      </c>
    </row>
    <row r="843" customFormat="false" ht="15" hidden="false" customHeight="true" outlineLevel="0" collapsed="false">
      <c r="A843" s="30" t="s">
        <v>1174</v>
      </c>
      <c r="B843" s="31" t="s">
        <v>1175</v>
      </c>
      <c r="C843" s="30" t="s">
        <v>1121</v>
      </c>
      <c r="D843" s="32" t="n">
        <f aca="false">SUMIF('Libro Diario'!$C$5:$C$504,A843,'Libro Diario'!$F$5:$F$504)</f>
        <v>0</v>
      </c>
      <c r="E843" s="32" t="n">
        <f aca="false">SUMIF('Libro Diario'!$C$5:$C$504,A843,'Libro Diario'!$G$5:$G$504)</f>
        <v>0</v>
      </c>
      <c r="F843" s="32" t="n">
        <f aca="false">IF(D843&gt;=E843,D843-E843,0)</f>
        <v>0</v>
      </c>
      <c r="G843" s="32" t="n">
        <f aca="false">IF(E843&gt;D843,E843-D843,0)</f>
        <v>0</v>
      </c>
    </row>
    <row r="844" customFormat="false" ht="15" hidden="false" customHeight="true" outlineLevel="0" collapsed="false">
      <c r="A844" s="30" t="s">
        <v>1176</v>
      </c>
      <c r="B844" s="31" t="s">
        <v>1177</v>
      </c>
      <c r="C844" s="30" t="s">
        <v>1121</v>
      </c>
      <c r="D844" s="32" t="n">
        <f aca="false">SUMIF('Libro Diario'!$C$5:$C$504,A844,'Libro Diario'!$F$5:$F$504)</f>
        <v>0</v>
      </c>
      <c r="E844" s="32" t="n">
        <f aca="false">SUMIF('Libro Diario'!$C$5:$C$504,A844,'Libro Diario'!$G$5:$G$504)</f>
        <v>0</v>
      </c>
      <c r="F844" s="32" t="n">
        <f aca="false">IF(D844&gt;=E844,D844-E844,0)</f>
        <v>0</v>
      </c>
      <c r="G844" s="32" t="n">
        <f aca="false">IF(E844&gt;D844,E844-D844,0)</f>
        <v>0</v>
      </c>
    </row>
    <row r="845" customFormat="false" ht="15" hidden="false" customHeight="true" outlineLevel="0" collapsed="false">
      <c r="A845" s="30" t="s">
        <v>1178</v>
      </c>
      <c r="B845" s="31" t="s">
        <v>1179</v>
      </c>
      <c r="C845" s="30" t="s">
        <v>1121</v>
      </c>
      <c r="D845" s="32" t="n">
        <f aca="false">SUMIF('Libro Diario'!$C$5:$C$504,A845,'Libro Diario'!$F$5:$F$504)</f>
        <v>0</v>
      </c>
      <c r="E845" s="32" t="n">
        <f aca="false">SUMIF('Libro Diario'!$C$5:$C$504,A845,'Libro Diario'!$G$5:$G$504)</f>
        <v>0</v>
      </c>
      <c r="F845" s="32" t="n">
        <f aca="false">IF(D845&gt;=E845,D845-E845,0)</f>
        <v>0</v>
      </c>
      <c r="G845" s="32" t="n">
        <f aca="false">IF(E845&gt;D845,E845-D845,0)</f>
        <v>0</v>
      </c>
    </row>
    <row r="846" customFormat="false" ht="15" hidden="false" customHeight="true" outlineLevel="0" collapsed="false">
      <c r="A846" s="30" t="s">
        <v>1180</v>
      </c>
      <c r="B846" s="31" t="s">
        <v>1181</v>
      </c>
      <c r="C846" s="30" t="s">
        <v>1121</v>
      </c>
      <c r="D846" s="32" t="n">
        <f aca="false">SUMIF('Libro Diario'!$C$5:$C$504,A846,'Libro Diario'!$F$5:$F$504)</f>
        <v>0</v>
      </c>
      <c r="E846" s="32" t="n">
        <f aca="false">SUMIF('Libro Diario'!$C$5:$C$504,A846,'Libro Diario'!$G$5:$G$504)</f>
        <v>0</v>
      </c>
      <c r="F846" s="32" t="n">
        <f aca="false">IF(D846&gt;=E846,D846-E846,0)</f>
        <v>0</v>
      </c>
      <c r="G846" s="32" t="n">
        <f aca="false">IF(E846&gt;D846,E846-D846,0)</f>
        <v>0</v>
      </c>
    </row>
    <row r="847" customFormat="false" ht="15" hidden="false" customHeight="true" outlineLevel="0" collapsed="false">
      <c r="A847" s="30" t="s">
        <v>1182</v>
      </c>
      <c r="B847" s="31" t="s">
        <v>1183</v>
      </c>
      <c r="C847" s="30" t="s">
        <v>1121</v>
      </c>
      <c r="D847" s="32" t="n">
        <f aca="false">SUMIF('Libro Diario'!$C$5:$C$504,A847,'Libro Diario'!$F$5:$F$504)</f>
        <v>0</v>
      </c>
      <c r="E847" s="32" t="n">
        <f aca="false">SUMIF('Libro Diario'!$C$5:$C$504,A847,'Libro Diario'!$G$5:$G$504)</f>
        <v>0</v>
      </c>
      <c r="F847" s="32" t="n">
        <f aca="false">IF(D847&gt;=E847,D847-E847,0)</f>
        <v>0</v>
      </c>
      <c r="G847" s="32" t="n">
        <f aca="false">IF(E847&gt;D847,E847-D847,0)</f>
        <v>0</v>
      </c>
    </row>
    <row r="848" customFormat="false" ht="15" hidden="false" customHeight="true" outlineLevel="0" collapsed="false">
      <c r="A848" s="30" t="s">
        <v>1184</v>
      </c>
      <c r="B848" s="31" t="s">
        <v>1185</v>
      </c>
      <c r="C848" s="30" t="s">
        <v>1121</v>
      </c>
      <c r="D848" s="32" t="n">
        <f aca="false">SUMIF('Libro Diario'!$C$5:$C$504,A848,'Libro Diario'!$F$5:$F$504)</f>
        <v>0</v>
      </c>
      <c r="E848" s="32" t="n">
        <f aca="false">SUMIF('Libro Diario'!$C$5:$C$504,A848,'Libro Diario'!$G$5:$G$504)</f>
        <v>0</v>
      </c>
      <c r="F848" s="32" t="n">
        <f aca="false">IF(D848&gt;=E848,D848-E848,0)</f>
        <v>0</v>
      </c>
      <c r="G848" s="32" t="n">
        <f aca="false">IF(E848&gt;D848,E848-D848,0)</f>
        <v>0</v>
      </c>
    </row>
    <row r="849" customFormat="false" ht="15" hidden="false" customHeight="true" outlineLevel="0" collapsed="false">
      <c r="A849" s="30" t="s">
        <v>1186</v>
      </c>
      <c r="B849" s="31" t="s">
        <v>1187</v>
      </c>
      <c r="C849" s="30" t="s">
        <v>1121</v>
      </c>
      <c r="D849" s="32" t="n">
        <f aca="false">SUMIF('Libro Diario'!$C$5:$C$504,A849,'Libro Diario'!$F$5:$F$504)</f>
        <v>0</v>
      </c>
      <c r="E849" s="32" t="n">
        <f aca="false">SUMIF('Libro Diario'!$C$5:$C$504,A849,'Libro Diario'!$G$5:$G$504)</f>
        <v>0</v>
      </c>
      <c r="F849" s="32" t="n">
        <f aca="false">IF(D849&gt;=E849,D849-E849,0)</f>
        <v>0</v>
      </c>
      <c r="G849" s="32" t="n">
        <f aca="false">IF(E849&gt;D849,E849-D849,0)</f>
        <v>0</v>
      </c>
    </row>
    <row r="850" customFormat="false" ht="15" hidden="false" customHeight="true" outlineLevel="0" collapsed="false">
      <c r="A850" s="30" t="s">
        <v>1188</v>
      </c>
      <c r="B850" s="31" t="s">
        <v>1189</v>
      </c>
      <c r="C850" s="30" t="s">
        <v>1121</v>
      </c>
      <c r="D850" s="32" t="n">
        <f aca="false">SUMIF('Libro Diario'!$C$5:$C$504,A850,'Libro Diario'!$F$5:$F$504)</f>
        <v>0</v>
      </c>
      <c r="E850" s="32" t="n">
        <f aca="false">SUMIF('Libro Diario'!$C$5:$C$504,A850,'Libro Diario'!$G$5:$G$504)</f>
        <v>0</v>
      </c>
      <c r="F850" s="32" t="n">
        <f aca="false">IF(D850&gt;=E850,D850-E850,0)</f>
        <v>0</v>
      </c>
      <c r="G850" s="32" t="n">
        <f aca="false">IF(E850&gt;D850,E850-D850,0)</f>
        <v>0</v>
      </c>
    </row>
    <row r="851" customFormat="false" ht="15" hidden="false" customHeight="true" outlineLevel="0" collapsed="false">
      <c r="A851" s="30" t="s">
        <v>1190</v>
      </c>
      <c r="B851" s="31" t="s">
        <v>1191</v>
      </c>
      <c r="C851" s="30" t="s">
        <v>1121</v>
      </c>
      <c r="D851" s="32" t="n">
        <f aca="false">SUMIF('Libro Diario'!$C$5:$C$504,A851,'Libro Diario'!$F$5:$F$504)</f>
        <v>0</v>
      </c>
      <c r="E851" s="32" t="n">
        <f aca="false">SUMIF('Libro Diario'!$C$5:$C$504,A851,'Libro Diario'!$G$5:$G$504)</f>
        <v>0</v>
      </c>
      <c r="F851" s="32" t="n">
        <f aca="false">IF(D851&gt;=E851,D851-E851,0)</f>
        <v>0</v>
      </c>
      <c r="G851" s="32" t="n">
        <f aca="false">IF(E851&gt;D851,E851-D851,0)</f>
        <v>0</v>
      </c>
    </row>
    <row r="852" customFormat="false" ht="15" hidden="false" customHeight="true" outlineLevel="0" collapsed="false">
      <c r="A852" s="30" t="s">
        <v>1192</v>
      </c>
      <c r="B852" s="31" t="s">
        <v>1193</v>
      </c>
      <c r="C852" s="30" t="s">
        <v>1121</v>
      </c>
      <c r="D852" s="32" t="n">
        <f aca="false">SUMIF('Libro Diario'!$C$5:$C$504,A852,'Libro Diario'!$F$5:$F$504)</f>
        <v>0</v>
      </c>
      <c r="E852" s="32" t="n">
        <f aca="false">SUMIF('Libro Diario'!$C$5:$C$504,A852,'Libro Diario'!$G$5:$G$504)</f>
        <v>0</v>
      </c>
      <c r="F852" s="32" t="n">
        <f aca="false">IF(D852&gt;=E852,D852-E852,0)</f>
        <v>0</v>
      </c>
      <c r="G852" s="32" t="n">
        <f aca="false">IF(E852&gt;D852,E852-D852,0)</f>
        <v>0</v>
      </c>
    </row>
    <row r="853" customFormat="false" ht="15" hidden="false" customHeight="true" outlineLevel="0" collapsed="false">
      <c r="A853" s="30" t="s">
        <v>1194</v>
      </c>
      <c r="B853" s="31" t="s">
        <v>916</v>
      </c>
      <c r="C853" s="30" t="s">
        <v>1121</v>
      </c>
      <c r="D853" s="32" t="n">
        <f aca="false">SUMIF('Libro Diario'!$C$5:$C$504,A853,'Libro Diario'!$F$5:$F$504)</f>
        <v>0</v>
      </c>
      <c r="E853" s="32" t="n">
        <f aca="false">SUMIF('Libro Diario'!$C$5:$C$504,A853,'Libro Diario'!$G$5:$G$504)</f>
        <v>0</v>
      </c>
      <c r="F853" s="32" t="n">
        <f aca="false">IF(D853&gt;=E853,D853-E853,0)</f>
        <v>0</v>
      </c>
      <c r="G853" s="32" t="n">
        <f aca="false">IF(E853&gt;D853,E853-D853,0)</f>
        <v>0</v>
      </c>
    </row>
    <row r="854" customFormat="false" ht="15" hidden="false" customHeight="true" outlineLevel="0" collapsed="false">
      <c r="A854" s="30" t="s">
        <v>1195</v>
      </c>
      <c r="B854" s="31" t="s">
        <v>1196</v>
      </c>
      <c r="C854" s="30" t="s">
        <v>1121</v>
      </c>
      <c r="D854" s="32" t="n">
        <f aca="false">SUMIF('Libro Diario'!$C$5:$C$504,A854,'Libro Diario'!$F$5:$F$504)</f>
        <v>0</v>
      </c>
      <c r="E854" s="32" t="n">
        <f aca="false">SUMIF('Libro Diario'!$C$5:$C$504,A854,'Libro Diario'!$G$5:$G$504)</f>
        <v>0</v>
      </c>
      <c r="F854" s="32" t="n">
        <f aca="false">IF(D854&gt;=E854,D854-E854,0)</f>
        <v>0</v>
      </c>
      <c r="G854" s="32" t="n">
        <f aca="false">IF(E854&gt;D854,E854-D854,0)</f>
        <v>0</v>
      </c>
    </row>
    <row r="855" customFormat="false" ht="15" hidden="false" customHeight="true" outlineLevel="0" collapsed="false">
      <c r="A855" s="30" t="s">
        <v>1197</v>
      </c>
      <c r="B855" s="31" t="s">
        <v>1198</v>
      </c>
      <c r="C855" s="30" t="s">
        <v>1121</v>
      </c>
      <c r="D855" s="32" t="n">
        <f aca="false">SUMIF('Libro Diario'!$C$5:$C$504,A855,'Libro Diario'!$F$5:$F$504)</f>
        <v>0</v>
      </c>
      <c r="E855" s="32" t="n">
        <f aca="false">SUMIF('Libro Diario'!$C$5:$C$504,A855,'Libro Diario'!$G$5:$G$504)</f>
        <v>0</v>
      </c>
      <c r="F855" s="32" t="n">
        <f aca="false">IF(D855&gt;=E855,D855-E855,0)</f>
        <v>0</v>
      </c>
      <c r="G855" s="32" t="n">
        <f aca="false">IF(E855&gt;D855,E855-D855,0)</f>
        <v>0</v>
      </c>
    </row>
    <row r="856" customFormat="false" ht="15" hidden="false" customHeight="true" outlineLevel="0" collapsed="false">
      <c r="A856" s="30" t="s">
        <v>1199</v>
      </c>
      <c r="B856" s="31" t="s">
        <v>1200</v>
      </c>
      <c r="C856" s="30" t="s">
        <v>1121</v>
      </c>
      <c r="D856" s="32" t="n">
        <f aca="false">SUMIF('Libro Diario'!$C$5:$C$504,A856,'Libro Diario'!$F$5:$F$504)</f>
        <v>0</v>
      </c>
      <c r="E856" s="32" t="n">
        <f aca="false">SUMIF('Libro Diario'!$C$5:$C$504,A856,'Libro Diario'!$G$5:$G$504)</f>
        <v>0</v>
      </c>
      <c r="F856" s="32" t="n">
        <f aca="false">IF(D856&gt;=E856,D856-E856,0)</f>
        <v>0</v>
      </c>
      <c r="G856" s="32" t="n">
        <f aca="false">IF(E856&gt;D856,E856-D856,0)</f>
        <v>0</v>
      </c>
    </row>
    <row r="857" customFormat="false" ht="15" hidden="false" customHeight="true" outlineLevel="0" collapsed="false">
      <c r="A857" s="30" t="s">
        <v>1201</v>
      </c>
      <c r="B857" s="31" t="s">
        <v>1202</v>
      </c>
      <c r="C857" s="30" t="s">
        <v>1121</v>
      </c>
      <c r="D857" s="32" t="n">
        <f aca="false">SUMIF('Libro Diario'!$C$5:$C$504,A857,'Libro Diario'!$F$5:$F$504)</f>
        <v>0</v>
      </c>
      <c r="E857" s="32" t="n">
        <f aca="false">SUMIF('Libro Diario'!$C$5:$C$504,A857,'Libro Diario'!$G$5:$G$504)</f>
        <v>0</v>
      </c>
      <c r="F857" s="32" t="n">
        <f aca="false">IF(D857&gt;=E857,D857-E857,0)</f>
        <v>0</v>
      </c>
      <c r="G857" s="32" t="n">
        <f aca="false">IF(E857&gt;D857,E857-D857,0)</f>
        <v>0</v>
      </c>
    </row>
    <row r="858" customFormat="false" ht="15" hidden="false" customHeight="true" outlineLevel="0" collapsed="false">
      <c r="A858" s="30" t="s">
        <v>1203</v>
      </c>
      <c r="B858" s="31" t="s">
        <v>1204</v>
      </c>
      <c r="C858" s="30" t="s">
        <v>1121</v>
      </c>
      <c r="D858" s="32" t="n">
        <f aca="false">SUMIF('Libro Diario'!$C$5:$C$504,A858,'Libro Diario'!$F$5:$F$504)</f>
        <v>0</v>
      </c>
      <c r="E858" s="32" t="n">
        <f aca="false">SUMIF('Libro Diario'!$C$5:$C$504,A858,'Libro Diario'!$G$5:$G$504)</f>
        <v>0</v>
      </c>
      <c r="F858" s="32" t="n">
        <f aca="false">IF(D858&gt;=E858,D858-E858,0)</f>
        <v>0</v>
      </c>
      <c r="G858" s="32" t="n">
        <f aca="false">IF(E858&gt;D858,E858-D858,0)</f>
        <v>0</v>
      </c>
    </row>
    <row r="859" customFormat="false" ht="15" hidden="false" customHeight="true" outlineLevel="0" collapsed="false">
      <c r="A859" s="30" t="s">
        <v>1205</v>
      </c>
      <c r="B859" s="31" t="s">
        <v>1206</v>
      </c>
      <c r="C859" s="30" t="s">
        <v>1121</v>
      </c>
      <c r="D859" s="32" t="n">
        <f aca="false">SUMIF('Libro Diario'!$C$5:$C$504,A859,'Libro Diario'!$F$5:$F$504)</f>
        <v>0</v>
      </c>
      <c r="E859" s="32" t="n">
        <f aca="false">SUMIF('Libro Diario'!$C$5:$C$504,A859,'Libro Diario'!$G$5:$G$504)</f>
        <v>0</v>
      </c>
      <c r="F859" s="32" t="n">
        <f aca="false">IF(D859&gt;=E859,D859-E859,0)</f>
        <v>0</v>
      </c>
      <c r="G859" s="32" t="n">
        <f aca="false">IF(E859&gt;D859,E859-D859,0)</f>
        <v>0</v>
      </c>
    </row>
    <row r="860" customFormat="false" ht="15" hidden="false" customHeight="true" outlineLevel="0" collapsed="false">
      <c r="A860" s="30" t="s">
        <v>1207</v>
      </c>
      <c r="B860" s="31" t="s">
        <v>1208</v>
      </c>
      <c r="C860" s="30" t="s">
        <v>1121</v>
      </c>
      <c r="D860" s="32" t="n">
        <f aca="false">SUMIF('Libro Diario'!$C$5:$C$504,A860,'Libro Diario'!$F$5:$F$504)</f>
        <v>0</v>
      </c>
      <c r="E860" s="32" t="n">
        <f aca="false">SUMIF('Libro Diario'!$C$5:$C$504,A860,'Libro Diario'!$G$5:$G$504)</f>
        <v>0</v>
      </c>
      <c r="F860" s="32" t="n">
        <f aca="false">IF(D860&gt;=E860,D860-E860,0)</f>
        <v>0</v>
      </c>
      <c r="G860" s="32" t="n">
        <f aca="false">IF(E860&gt;D860,E860-D860,0)</f>
        <v>0</v>
      </c>
    </row>
    <row r="861" customFormat="false" ht="15" hidden="false" customHeight="true" outlineLevel="0" collapsed="false">
      <c r="A861" s="30" t="s">
        <v>1209</v>
      </c>
      <c r="B861" s="31" t="s">
        <v>1210</v>
      </c>
      <c r="C861" s="30" t="s">
        <v>1121</v>
      </c>
      <c r="D861" s="32" t="n">
        <f aca="false">SUMIF('Libro Diario'!$C$5:$C$504,A861,'Libro Diario'!$F$5:$F$504)</f>
        <v>0</v>
      </c>
      <c r="E861" s="32" t="n">
        <f aca="false">SUMIF('Libro Diario'!$C$5:$C$504,A861,'Libro Diario'!$G$5:$G$504)</f>
        <v>0</v>
      </c>
      <c r="F861" s="32" t="n">
        <f aca="false">IF(D861&gt;=E861,D861-E861,0)</f>
        <v>0</v>
      </c>
      <c r="G861" s="32" t="n">
        <f aca="false">IF(E861&gt;D861,E861-D861,0)</f>
        <v>0</v>
      </c>
    </row>
    <row r="862" customFormat="false" ht="15" hidden="false" customHeight="true" outlineLevel="0" collapsed="false">
      <c r="A862" s="30" t="s">
        <v>1211</v>
      </c>
      <c r="B862" s="31" t="s">
        <v>1212</v>
      </c>
      <c r="C862" s="30" t="s">
        <v>1121</v>
      </c>
      <c r="D862" s="32" t="n">
        <f aca="false">SUMIF('Libro Diario'!$C$5:$C$504,A862,'Libro Diario'!$F$5:$F$504)</f>
        <v>0</v>
      </c>
      <c r="E862" s="32" t="n">
        <f aca="false">SUMIF('Libro Diario'!$C$5:$C$504,A862,'Libro Diario'!$G$5:$G$504)</f>
        <v>0</v>
      </c>
      <c r="F862" s="32" t="n">
        <f aca="false">IF(D862&gt;=E862,D862-E862,0)</f>
        <v>0</v>
      </c>
      <c r="G862" s="32" t="n">
        <f aca="false">IF(E862&gt;D862,E862-D862,0)</f>
        <v>0</v>
      </c>
    </row>
    <row r="863" customFormat="false" ht="15" hidden="false" customHeight="true" outlineLevel="0" collapsed="false">
      <c r="A863" s="30" t="s">
        <v>1213</v>
      </c>
      <c r="B863" s="31" t="s">
        <v>1214</v>
      </c>
      <c r="C863" s="30" t="s">
        <v>1121</v>
      </c>
      <c r="D863" s="32" t="n">
        <f aca="false">SUMIF('Libro Diario'!$C$5:$C$504,A863,'Libro Diario'!$F$5:$F$504)</f>
        <v>0</v>
      </c>
      <c r="E863" s="32" t="n">
        <f aca="false">SUMIF('Libro Diario'!$C$5:$C$504,A863,'Libro Diario'!$G$5:$G$504)</f>
        <v>0</v>
      </c>
      <c r="F863" s="32" t="n">
        <f aca="false">IF(D863&gt;=E863,D863-E863,0)</f>
        <v>0</v>
      </c>
      <c r="G863" s="32" t="n">
        <f aca="false">IF(E863&gt;D863,E863-D863,0)</f>
        <v>0</v>
      </c>
    </row>
    <row r="864" customFormat="false" ht="15" hidden="false" customHeight="true" outlineLevel="0" collapsed="false">
      <c r="A864" s="30" t="s">
        <v>1215</v>
      </c>
      <c r="B864" s="31" t="s">
        <v>1216</v>
      </c>
      <c r="C864" s="30" t="s">
        <v>1121</v>
      </c>
      <c r="D864" s="32" t="n">
        <f aca="false">SUMIF('Libro Diario'!$C$5:$C$504,A864,'Libro Diario'!$F$5:$F$504)</f>
        <v>0</v>
      </c>
      <c r="E864" s="32" t="n">
        <f aca="false">SUMIF('Libro Diario'!$C$5:$C$504,A864,'Libro Diario'!$G$5:$G$504)</f>
        <v>0</v>
      </c>
      <c r="F864" s="32" t="n">
        <f aca="false">IF(D864&gt;=E864,D864-E864,0)</f>
        <v>0</v>
      </c>
      <c r="G864" s="32" t="n">
        <f aca="false">IF(E864&gt;D864,E864-D864,0)</f>
        <v>0</v>
      </c>
    </row>
    <row r="865" customFormat="false" ht="15" hidden="false" customHeight="true" outlineLevel="0" collapsed="false">
      <c r="A865" s="30" t="s">
        <v>1217</v>
      </c>
      <c r="B865" s="31" t="s">
        <v>1218</v>
      </c>
      <c r="C865" s="30" t="s">
        <v>1121</v>
      </c>
      <c r="D865" s="32" t="n">
        <f aca="false">SUMIF('Libro Diario'!$C$5:$C$504,A865,'Libro Diario'!$F$5:$F$504)</f>
        <v>0</v>
      </c>
      <c r="E865" s="32" t="n">
        <f aca="false">SUMIF('Libro Diario'!$C$5:$C$504,A865,'Libro Diario'!$G$5:$G$504)</f>
        <v>0</v>
      </c>
      <c r="F865" s="32" t="n">
        <f aca="false">IF(D865&gt;=E865,D865-E865,0)</f>
        <v>0</v>
      </c>
      <c r="G865" s="32" t="n">
        <f aca="false">IF(E865&gt;D865,E865-D865,0)</f>
        <v>0</v>
      </c>
    </row>
    <row r="866" customFormat="false" ht="15" hidden="false" customHeight="true" outlineLevel="0" collapsed="false">
      <c r="A866" s="30" t="s">
        <v>1219</v>
      </c>
      <c r="B866" s="31" t="s">
        <v>1220</v>
      </c>
      <c r="C866" s="30" t="s">
        <v>1121</v>
      </c>
      <c r="D866" s="32" t="n">
        <f aca="false">SUMIF('Libro Diario'!$C$5:$C$504,A866,'Libro Diario'!$F$5:$F$504)</f>
        <v>0</v>
      </c>
      <c r="E866" s="32" t="n">
        <f aca="false">SUMIF('Libro Diario'!$C$5:$C$504,A866,'Libro Diario'!$G$5:$G$504)</f>
        <v>0</v>
      </c>
      <c r="F866" s="32" t="n">
        <f aca="false">IF(D866&gt;=E866,D866-E866,0)</f>
        <v>0</v>
      </c>
      <c r="G866" s="32" t="n">
        <f aca="false">IF(E866&gt;D866,E866-D866,0)</f>
        <v>0</v>
      </c>
    </row>
    <row r="867" customFormat="false" ht="15" hidden="false" customHeight="true" outlineLevel="0" collapsed="false">
      <c r="A867" s="30" t="s">
        <v>1221</v>
      </c>
      <c r="B867" s="31" t="s">
        <v>1222</v>
      </c>
      <c r="C867" s="30" t="s">
        <v>1121</v>
      </c>
      <c r="D867" s="32" t="n">
        <f aca="false">SUMIF('Libro Diario'!$C$5:$C$504,A867,'Libro Diario'!$F$5:$F$504)</f>
        <v>0</v>
      </c>
      <c r="E867" s="32" t="n">
        <f aca="false">SUMIF('Libro Diario'!$C$5:$C$504,A867,'Libro Diario'!$G$5:$G$504)</f>
        <v>0</v>
      </c>
      <c r="F867" s="32" t="n">
        <f aca="false">IF(D867&gt;=E867,D867-E867,0)</f>
        <v>0</v>
      </c>
      <c r="G867" s="32" t="n">
        <f aca="false">IF(E867&gt;D867,E867-D867,0)</f>
        <v>0</v>
      </c>
    </row>
    <row r="868" customFormat="false" ht="15" hidden="false" customHeight="true" outlineLevel="0" collapsed="false">
      <c r="A868" s="30" t="s">
        <v>1223</v>
      </c>
      <c r="B868" s="31" t="s">
        <v>1224</v>
      </c>
      <c r="C868" s="30" t="s">
        <v>1121</v>
      </c>
      <c r="D868" s="32" t="n">
        <f aca="false">SUMIF('Libro Diario'!$C$5:$C$504,A868,'Libro Diario'!$F$5:$F$504)</f>
        <v>0</v>
      </c>
      <c r="E868" s="32" t="n">
        <f aca="false">SUMIF('Libro Diario'!$C$5:$C$504,A868,'Libro Diario'!$G$5:$G$504)</f>
        <v>0</v>
      </c>
      <c r="F868" s="32" t="n">
        <f aca="false">IF(D868&gt;=E868,D868-E868,0)</f>
        <v>0</v>
      </c>
      <c r="G868" s="32" t="n">
        <f aca="false">IF(E868&gt;D868,E868-D868,0)</f>
        <v>0</v>
      </c>
    </row>
    <row r="869" customFormat="false" ht="15" hidden="false" customHeight="true" outlineLevel="0" collapsed="false">
      <c r="A869" s="30" t="s">
        <v>1225</v>
      </c>
      <c r="B869" s="31" t="s">
        <v>1226</v>
      </c>
      <c r="C869" s="30" t="s">
        <v>1121</v>
      </c>
      <c r="D869" s="32" t="n">
        <f aca="false">SUMIF('Libro Diario'!$C$5:$C$504,A869,'Libro Diario'!$F$5:$F$504)</f>
        <v>0</v>
      </c>
      <c r="E869" s="32" t="n">
        <f aca="false">SUMIF('Libro Diario'!$C$5:$C$504,A869,'Libro Diario'!$G$5:$G$504)</f>
        <v>0</v>
      </c>
      <c r="F869" s="32" t="n">
        <f aca="false">IF(D869&gt;=E869,D869-E869,0)</f>
        <v>0</v>
      </c>
      <c r="G869" s="32" t="n">
        <f aca="false">IF(E869&gt;D869,E869-D869,0)</f>
        <v>0</v>
      </c>
    </row>
    <row r="870" customFormat="false" ht="15" hidden="false" customHeight="true" outlineLevel="0" collapsed="false">
      <c r="A870" s="30" t="s">
        <v>1227</v>
      </c>
      <c r="B870" s="31" t="s">
        <v>736</v>
      </c>
      <c r="C870" s="30" t="s">
        <v>1121</v>
      </c>
      <c r="D870" s="32" t="n">
        <f aca="false">SUMIF('Libro Diario'!$C$5:$C$504,A870,'Libro Diario'!$F$5:$F$504)</f>
        <v>0</v>
      </c>
      <c r="E870" s="32" t="n">
        <f aca="false">SUMIF('Libro Diario'!$C$5:$C$504,A870,'Libro Diario'!$G$5:$G$504)</f>
        <v>0</v>
      </c>
      <c r="F870" s="32" t="n">
        <f aca="false">IF(D870&gt;=E870,D870-E870,0)</f>
        <v>0</v>
      </c>
      <c r="G870" s="32" t="n">
        <f aca="false">IF(E870&gt;D870,E870-D870,0)</f>
        <v>0</v>
      </c>
    </row>
    <row r="871" customFormat="false" ht="15" hidden="false" customHeight="true" outlineLevel="0" collapsed="false">
      <c r="A871" s="30" t="s">
        <v>1228</v>
      </c>
      <c r="B871" s="31" t="s">
        <v>1229</v>
      </c>
      <c r="C871" s="30" t="s">
        <v>1121</v>
      </c>
      <c r="D871" s="32" t="n">
        <f aca="false">SUMIF('Libro Diario'!$C$5:$C$504,A871,'Libro Diario'!$F$5:$F$504)</f>
        <v>0</v>
      </c>
      <c r="E871" s="32" t="n">
        <f aca="false">SUMIF('Libro Diario'!$C$5:$C$504,A871,'Libro Diario'!$G$5:$G$504)</f>
        <v>0</v>
      </c>
      <c r="F871" s="32" t="n">
        <f aca="false">IF(D871&gt;=E871,D871-E871,0)</f>
        <v>0</v>
      </c>
      <c r="G871" s="32" t="n">
        <f aca="false">IF(E871&gt;D871,E871-D871,0)</f>
        <v>0</v>
      </c>
    </row>
    <row r="872" customFormat="false" ht="15" hidden="false" customHeight="true" outlineLevel="0" collapsed="false">
      <c r="A872" s="30" t="s">
        <v>1230</v>
      </c>
      <c r="B872" s="31" t="s">
        <v>1231</v>
      </c>
      <c r="C872" s="30" t="s">
        <v>1121</v>
      </c>
      <c r="D872" s="32" t="n">
        <f aca="false">SUMIF('Libro Diario'!$C$5:$C$504,A872,'Libro Diario'!$F$5:$F$504)</f>
        <v>0</v>
      </c>
      <c r="E872" s="32" t="n">
        <f aca="false">SUMIF('Libro Diario'!$C$5:$C$504,A872,'Libro Diario'!$G$5:$G$504)</f>
        <v>0</v>
      </c>
      <c r="F872" s="32" t="n">
        <f aca="false">IF(D872&gt;=E872,D872-E872,0)</f>
        <v>0</v>
      </c>
      <c r="G872" s="32" t="n">
        <f aca="false">IF(E872&gt;D872,E872-D872,0)</f>
        <v>0</v>
      </c>
    </row>
    <row r="873" customFormat="false" ht="15" hidden="false" customHeight="true" outlineLevel="0" collapsed="false">
      <c r="A873" s="30" t="s">
        <v>1232</v>
      </c>
      <c r="B873" s="31" t="s">
        <v>1233</v>
      </c>
      <c r="C873" s="30" t="s">
        <v>1121</v>
      </c>
      <c r="D873" s="32" t="n">
        <f aca="false">SUMIF('Libro Diario'!$C$5:$C$504,A873,'Libro Diario'!$F$5:$F$504)</f>
        <v>0</v>
      </c>
      <c r="E873" s="32" t="n">
        <f aca="false">SUMIF('Libro Diario'!$C$5:$C$504,A873,'Libro Diario'!$G$5:$G$504)</f>
        <v>0</v>
      </c>
      <c r="F873" s="32" t="n">
        <f aca="false">IF(D873&gt;=E873,D873-E873,0)</f>
        <v>0</v>
      </c>
      <c r="G873" s="32" t="n">
        <f aca="false">IF(E873&gt;D873,E873-D873,0)</f>
        <v>0</v>
      </c>
    </row>
    <row r="874" customFormat="false" ht="15" hidden="false" customHeight="true" outlineLevel="0" collapsed="false">
      <c r="A874" s="30" t="s">
        <v>1234</v>
      </c>
      <c r="B874" s="31" t="s">
        <v>1235</v>
      </c>
      <c r="C874" s="30" t="s">
        <v>1121</v>
      </c>
      <c r="D874" s="32" t="n">
        <f aca="false">SUMIF('Libro Diario'!$C$5:$C$504,A874,'Libro Diario'!$F$5:$F$504)</f>
        <v>0</v>
      </c>
      <c r="E874" s="32" t="n">
        <f aca="false">SUMIF('Libro Diario'!$C$5:$C$504,A874,'Libro Diario'!$G$5:$G$504)</f>
        <v>0</v>
      </c>
      <c r="F874" s="32" t="n">
        <f aca="false">IF(D874&gt;=E874,D874-E874,0)</f>
        <v>0</v>
      </c>
      <c r="G874" s="32" t="n">
        <f aca="false">IF(E874&gt;D874,E874-D874,0)</f>
        <v>0</v>
      </c>
    </row>
    <row r="875" customFormat="false" ht="15" hidden="false" customHeight="true" outlineLevel="0" collapsed="false">
      <c r="A875" s="30" t="s">
        <v>1236</v>
      </c>
      <c r="B875" s="31" t="s">
        <v>156</v>
      </c>
      <c r="C875" s="30" t="s">
        <v>1121</v>
      </c>
      <c r="D875" s="32" t="n">
        <f aca="false">SUMIF('Libro Diario'!$C$5:$C$504,A875,'Libro Diario'!$F$5:$F$504)</f>
        <v>0</v>
      </c>
      <c r="E875" s="32" t="n">
        <f aca="false">SUMIF('Libro Diario'!$C$5:$C$504,A875,'Libro Diario'!$G$5:$G$504)</f>
        <v>0</v>
      </c>
      <c r="F875" s="32" t="n">
        <f aca="false">IF(D875&gt;=E875,D875-E875,0)</f>
        <v>0</v>
      </c>
      <c r="G875" s="32" t="n">
        <f aca="false">IF(E875&gt;D875,E875-D875,0)</f>
        <v>0</v>
      </c>
    </row>
    <row r="876" customFormat="false" ht="15" hidden="false" customHeight="true" outlineLevel="0" collapsed="false">
      <c r="A876" s="30" t="s">
        <v>1237</v>
      </c>
      <c r="B876" s="31" t="s">
        <v>158</v>
      </c>
      <c r="C876" s="30" t="s">
        <v>1121</v>
      </c>
      <c r="D876" s="32" t="n">
        <f aca="false">SUMIF('Libro Diario'!$C$5:$C$504,A876,'Libro Diario'!$F$5:$F$504)</f>
        <v>0</v>
      </c>
      <c r="E876" s="32" t="n">
        <f aca="false">SUMIF('Libro Diario'!$C$5:$C$504,A876,'Libro Diario'!$G$5:$G$504)</f>
        <v>0</v>
      </c>
      <c r="F876" s="32" t="n">
        <f aca="false">IF(D876&gt;=E876,D876-E876,0)</f>
        <v>0</v>
      </c>
      <c r="G876" s="32" t="n">
        <f aca="false">IF(E876&gt;D876,E876-D876,0)</f>
        <v>0</v>
      </c>
    </row>
    <row r="877" customFormat="false" ht="15" hidden="false" customHeight="true" outlineLevel="0" collapsed="false">
      <c r="A877" s="30" t="s">
        <v>1238</v>
      </c>
      <c r="B877" s="31" t="s">
        <v>160</v>
      </c>
      <c r="C877" s="30" t="s">
        <v>1121</v>
      </c>
      <c r="D877" s="32" t="n">
        <f aca="false">SUMIF('Libro Diario'!$C$5:$C$504,A877,'Libro Diario'!$F$5:$F$504)</f>
        <v>0</v>
      </c>
      <c r="E877" s="32" t="n">
        <f aca="false">SUMIF('Libro Diario'!$C$5:$C$504,A877,'Libro Diario'!$G$5:$G$504)</f>
        <v>0</v>
      </c>
      <c r="F877" s="32" t="n">
        <f aca="false">IF(D877&gt;=E877,D877-E877,0)</f>
        <v>0</v>
      </c>
      <c r="G877" s="32" t="n">
        <f aca="false">IF(E877&gt;D877,E877-D877,0)</f>
        <v>0</v>
      </c>
    </row>
    <row r="878" customFormat="false" ht="15" hidden="false" customHeight="true" outlineLevel="0" collapsed="false">
      <c r="A878" s="30" t="s">
        <v>1239</v>
      </c>
      <c r="B878" s="31" t="s">
        <v>372</v>
      </c>
      <c r="C878" s="30" t="s">
        <v>1121</v>
      </c>
      <c r="D878" s="32" t="n">
        <f aca="false">SUMIF('Libro Diario'!$C$5:$C$504,A878,'Libro Diario'!$F$5:$F$504)</f>
        <v>0</v>
      </c>
      <c r="E878" s="32" t="n">
        <f aca="false">SUMIF('Libro Diario'!$C$5:$C$504,A878,'Libro Diario'!$G$5:$G$504)</f>
        <v>0</v>
      </c>
      <c r="F878" s="32" t="n">
        <f aca="false">IF(D878&gt;=E878,D878-E878,0)</f>
        <v>0</v>
      </c>
      <c r="G878" s="32" t="n">
        <f aca="false">IF(E878&gt;D878,E878-D878,0)</f>
        <v>0</v>
      </c>
    </row>
    <row r="879" customFormat="false" ht="15" hidden="false" customHeight="true" outlineLevel="0" collapsed="false">
      <c r="A879" s="30" t="s">
        <v>1240</v>
      </c>
      <c r="B879" s="31" t="s">
        <v>374</v>
      </c>
      <c r="C879" s="30" t="s">
        <v>1121</v>
      </c>
      <c r="D879" s="32" t="n">
        <f aca="false">SUMIF('Libro Diario'!$C$5:$C$504,A879,'Libro Diario'!$F$5:$F$504)</f>
        <v>0</v>
      </c>
      <c r="E879" s="32" t="n">
        <f aca="false">SUMIF('Libro Diario'!$C$5:$C$504,A879,'Libro Diario'!$G$5:$G$504)</f>
        <v>0</v>
      </c>
      <c r="F879" s="32" t="n">
        <f aca="false">IF(D879&gt;=E879,D879-E879,0)</f>
        <v>0</v>
      </c>
      <c r="G879" s="32" t="n">
        <f aca="false">IF(E879&gt;D879,E879-D879,0)</f>
        <v>0</v>
      </c>
    </row>
    <row r="880" customFormat="false" ht="15" hidden="false" customHeight="true" outlineLevel="0" collapsed="false">
      <c r="A880" s="30" t="s">
        <v>1241</v>
      </c>
      <c r="B880" s="31" t="s">
        <v>381</v>
      </c>
      <c r="C880" s="30" t="s">
        <v>1121</v>
      </c>
      <c r="D880" s="32" t="n">
        <f aca="false">SUMIF('Libro Diario'!$C$5:$C$504,A880,'Libro Diario'!$F$5:$F$504)</f>
        <v>0</v>
      </c>
      <c r="E880" s="32" t="n">
        <f aca="false">SUMIF('Libro Diario'!$C$5:$C$504,A880,'Libro Diario'!$G$5:$G$504)</f>
        <v>0</v>
      </c>
      <c r="F880" s="32" t="n">
        <f aca="false">IF(D880&gt;=E880,D880-E880,0)</f>
        <v>0</v>
      </c>
      <c r="G880" s="32" t="n">
        <f aca="false">IF(E880&gt;D880,E880-D880,0)</f>
        <v>0</v>
      </c>
    </row>
    <row r="881" customFormat="false" ht="15" hidden="false" customHeight="true" outlineLevel="0" collapsed="false">
      <c r="A881" s="30" t="s">
        <v>1242</v>
      </c>
      <c r="B881" s="31" t="s">
        <v>569</v>
      </c>
      <c r="C881" s="30" t="s">
        <v>1121</v>
      </c>
      <c r="D881" s="32" t="n">
        <f aca="false">SUMIF('Libro Diario'!$C$5:$C$504,A881,'Libro Diario'!$F$5:$F$504)</f>
        <v>0</v>
      </c>
      <c r="E881" s="32" t="n">
        <f aca="false">SUMIF('Libro Diario'!$C$5:$C$504,A881,'Libro Diario'!$G$5:$G$504)</f>
        <v>0</v>
      </c>
      <c r="F881" s="32" t="n">
        <f aca="false">IF(D881&gt;=E881,D881-E881,0)</f>
        <v>0</v>
      </c>
      <c r="G881" s="32" t="n">
        <f aca="false">IF(E881&gt;D881,E881-D881,0)</f>
        <v>0</v>
      </c>
    </row>
    <row r="882" customFormat="false" ht="15" hidden="false" customHeight="true" outlineLevel="0" collapsed="false">
      <c r="A882" s="30" t="s">
        <v>1243</v>
      </c>
      <c r="B882" s="31" t="s">
        <v>385</v>
      </c>
      <c r="C882" s="30" t="s">
        <v>1121</v>
      </c>
      <c r="D882" s="32" t="n">
        <f aca="false">SUMIF('Libro Diario'!$C$5:$C$504,A882,'Libro Diario'!$F$5:$F$504)</f>
        <v>0</v>
      </c>
      <c r="E882" s="32" t="n">
        <f aca="false">SUMIF('Libro Diario'!$C$5:$C$504,A882,'Libro Diario'!$G$5:$G$504)</f>
        <v>0</v>
      </c>
      <c r="F882" s="32" t="n">
        <f aca="false">IF(D882&gt;=E882,D882-E882,0)</f>
        <v>0</v>
      </c>
      <c r="G882" s="32" t="n">
        <f aca="false">IF(E882&gt;D882,E882-D882,0)</f>
        <v>0</v>
      </c>
    </row>
    <row r="883" customFormat="false" ht="15" hidden="false" customHeight="true" outlineLevel="0" collapsed="false">
      <c r="A883" s="30" t="s">
        <v>1244</v>
      </c>
      <c r="B883" s="31" t="s">
        <v>387</v>
      </c>
      <c r="C883" s="30" t="s">
        <v>1121</v>
      </c>
      <c r="D883" s="32" t="n">
        <f aca="false">SUMIF('Libro Diario'!$C$5:$C$504,A883,'Libro Diario'!$F$5:$F$504)</f>
        <v>0</v>
      </c>
      <c r="E883" s="32" t="n">
        <f aca="false">SUMIF('Libro Diario'!$C$5:$C$504,A883,'Libro Diario'!$G$5:$G$504)</f>
        <v>0</v>
      </c>
      <c r="F883" s="32" t="n">
        <f aca="false">IF(D883&gt;=E883,D883-E883,0)</f>
        <v>0</v>
      </c>
      <c r="G883" s="32" t="n">
        <f aca="false">IF(E883&gt;D883,E883-D883,0)</f>
        <v>0</v>
      </c>
    </row>
    <row r="884" customFormat="false" ht="15" hidden="false" customHeight="true" outlineLevel="0" collapsed="false">
      <c r="A884" s="30" t="s">
        <v>1245</v>
      </c>
      <c r="B884" s="31" t="s">
        <v>1246</v>
      </c>
      <c r="C884" s="30" t="s">
        <v>1121</v>
      </c>
      <c r="D884" s="32" t="n">
        <f aca="false">SUMIF('Libro Diario'!$C$5:$C$504,A884,'Libro Diario'!$F$5:$F$504)</f>
        <v>0</v>
      </c>
      <c r="E884" s="32" t="n">
        <f aca="false">SUMIF('Libro Diario'!$C$5:$C$504,A884,'Libro Diario'!$G$5:$G$504)</f>
        <v>0</v>
      </c>
      <c r="F884" s="32" t="n">
        <f aca="false">IF(D884&gt;=E884,D884-E884,0)</f>
        <v>0</v>
      </c>
      <c r="G884" s="32" t="n">
        <f aca="false">IF(E884&gt;D884,E884-D884,0)</f>
        <v>0</v>
      </c>
    </row>
    <row r="885" customFormat="false" ht="15" hidden="false" customHeight="true" outlineLevel="0" collapsed="false">
      <c r="A885" s="30" t="s">
        <v>1247</v>
      </c>
      <c r="B885" s="31" t="s">
        <v>1248</v>
      </c>
      <c r="C885" s="30" t="s">
        <v>1121</v>
      </c>
      <c r="D885" s="32" t="n">
        <f aca="false">SUMIF('Libro Diario'!$C$5:$C$504,A885,'Libro Diario'!$F$5:$F$504)</f>
        <v>0</v>
      </c>
      <c r="E885" s="32" t="n">
        <f aca="false">SUMIF('Libro Diario'!$C$5:$C$504,A885,'Libro Diario'!$G$5:$G$504)</f>
        <v>0</v>
      </c>
      <c r="F885" s="32" t="n">
        <f aca="false">IF(D885&gt;=E885,D885-E885,0)</f>
        <v>0</v>
      </c>
      <c r="G885" s="32" t="n">
        <f aca="false">IF(E885&gt;D885,E885-D885,0)</f>
        <v>0</v>
      </c>
    </row>
    <row r="886" customFormat="false" ht="15" hidden="false" customHeight="true" outlineLevel="0" collapsed="false">
      <c r="A886" s="30" t="s">
        <v>1249</v>
      </c>
      <c r="B886" s="31" t="s">
        <v>1250</v>
      </c>
      <c r="C886" s="30" t="s">
        <v>1121</v>
      </c>
      <c r="D886" s="32" t="n">
        <f aca="false">SUMIF('Libro Diario'!$C$5:$C$504,A886,'Libro Diario'!$F$5:$F$504)</f>
        <v>0</v>
      </c>
      <c r="E886" s="32" t="n">
        <f aca="false">SUMIF('Libro Diario'!$C$5:$C$504,A886,'Libro Diario'!$G$5:$G$504)</f>
        <v>0</v>
      </c>
      <c r="F886" s="32" t="n">
        <f aca="false">IF(D886&gt;=E886,D886-E886,0)</f>
        <v>0</v>
      </c>
      <c r="G886" s="32" t="n">
        <f aca="false">IF(E886&gt;D886,E886-D886,0)</f>
        <v>0</v>
      </c>
    </row>
    <row r="887" customFormat="false" ht="15" hidden="false" customHeight="true" outlineLevel="0" collapsed="false">
      <c r="A887" s="30" t="s">
        <v>1251</v>
      </c>
      <c r="B887" s="31" t="s">
        <v>1252</v>
      </c>
      <c r="C887" s="30" t="s">
        <v>1121</v>
      </c>
      <c r="D887" s="32" t="n">
        <f aca="false">SUMIF('Libro Diario'!$C$5:$C$504,A887,'Libro Diario'!$F$5:$F$504)</f>
        <v>0</v>
      </c>
      <c r="E887" s="32" t="n">
        <f aca="false">SUMIF('Libro Diario'!$C$5:$C$504,A887,'Libro Diario'!$G$5:$G$504)</f>
        <v>0</v>
      </c>
      <c r="F887" s="32" t="n">
        <f aca="false">IF(D887&gt;=E887,D887-E887,0)</f>
        <v>0</v>
      </c>
      <c r="G887" s="32" t="n">
        <f aca="false">IF(E887&gt;D887,E887-D887,0)</f>
        <v>0</v>
      </c>
    </row>
    <row r="888" customFormat="false" ht="15" hidden="false" customHeight="true" outlineLevel="0" collapsed="false">
      <c r="A888" s="30" t="s">
        <v>1253</v>
      </c>
      <c r="B888" s="31" t="s">
        <v>1254</v>
      </c>
      <c r="C888" s="30" t="s">
        <v>1121</v>
      </c>
      <c r="D888" s="32" t="n">
        <f aca="false">SUMIF('Libro Diario'!$C$5:$C$504,A888,'Libro Diario'!$F$5:$F$504)</f>
        <v>0</v>
      </c>
      <c r="E888" s="32" t="n">
        <f aca="false">SUMIF('Libro Diario'!$C$5:$C$504,A888,'Libro Diario'!$G$5:$G$504)</f>
        <v>0</v>
      </c>
      <c r="F888" s="32" t="n">
        <f aca="false">IF(D888&gt;=E888,D888-E888,0)</f>
        <v>0</v>
      </c>
      <c r="G888" s="32" t="n">
        <f aca="false">IF(E888&gt;D888,E888-D888,0)</f>
        <v>0</v>
      </c>
    </row>
    <row r="889" customFormat="false" ht="15" hidden="false" customHeight="true" outlineLevel="0" collapsed="false">
      <c r="A889" s="30" t="s">
        <v>1255</v>
      </c>
      <c r="B889" s="31" t="s">
        <v>1256</v>
      </c>
      <c r="C889" s="30" t="s">
        <v>1121</v>
      </c>
      <c r="D889" s="32" t="n">
        <f aca="false">SUMIF('Libro Diario'!$C$5:$C$504,A889,'Libro Diario'!$F$5:$F$504)</f>
        <v>0</v>
      </c>
      <c r="E889" s="32" t="n">
        <f aca="false">SUMIF('Libro Diario'!$C$5:$C$504,A889,'Libro Diario'!$G$5:$G$504)</f>
        <v>0</v>
      </c>
      <c r="F889" s="32" t="n">
        <f aca="false">IF(D889&gt;=E889,D889-E889,0)</f>
        <v>0</v>
      </c>
      <c r="G889" s="32" t="n">
        <f aca="false">IF(E889&gt;D889,E889-D889,0)</f>
        <v>0</v>
      </c>
    </row>
    <row r="890" customFormat="false" ht="15" hidden="false" customHeight="true" outlineLevel="0" collapsed="false">
      <c r="A890" s="30" t="s">
        <v>1257</v>
      </c>
      <c r="B890" s="31" t="s">
        <v>1258</v>
      </c>
      <c r="C890" s="30" t="s">
        <v>1121</v>
      </c>
      <c r="D890" s="32" t="n">
        <f aca="false">SUMIF('Libro Diario'!$C$5:$C$504,A890,'Libro Diario'!$F$5:$F$504)</f>
        <v>0</v>
      </c>
      <c r="E890" s="32" t="n">
        <f aca="false">SUMIF('Libro Diario'!$C$5:$C$504,A890,'Libro Diario'!$G$5:$G$504)</f>
        <v>0</v>
      </c>
      <c r="F890" s="32" t="n">
        <f aca="false">IF(D890&gt;=E890,D890-E890,0)</f>
        <v>0</v>
      </c>
      <c r="G890" s="32" t="n">
        <f aca="false">IF(E890&gt;D890,E890-D890,0)</f>
        <v>0</v>
      </c>
    </row>
    <row r="891" customFormat="false" ht="15" hidden="false" customHeight="true" outlineLevel="0" collapsed="false">
      <c r="A891" s="30" t="s">
        <v>1259</v>
      </c>
      <c r="B891" s="31" t="s">
        <v>1260</v>
      </c>
      <c r="C891" s="30" t="s">
        <v>1121</v>
      </c>
      <c r="D891" s="32" t="n">
        <f aca="false">SUMIF('Libro Diario'!$C$5:$C$504,A891,'Libro Diario'!$F$5:$F$504)</f>
        <v>0</v>
      </c>
      <c r="E891" s="32" t="n">
        <f aca="false">SUMIF('Libro Diario'!$C$5:$C$504,A891,'Libro Diario'!$G$5:$G$504)</f>
        <v>0</v>
      </c>
      <c r="F891" s="32" t="n">
        <f aca="false">IF(D891&gt;=E891,D891-E891,0)</f>
        <v>0</v>
      </c>
      <c r="G891" s="32" t="n">
        <f aca="false">IF(E891&gt;D891,E891-D891,0)</f>
        <v>0</v>
      </c>
    </row>
    <row r="892" customFormat="false" ht="15" hidden="false" customHeight="true" outlineLevel="0" collapsed="false">
      <c r="A892" s="30" t="s">
        <v>1261</v>
      </c>
      <c r="B892" s="31" t="s">
        <v>1262</v>
      </c>
      <c r="C892" s="30" t="s">
        <v>1121</v>
      </c>
      <c r="D892" s="32" t="n">
        <f aca="false">SUMIF('Libro Diario'!$C$5:$C$504,A892,'Libro Diario'!$F$5:$F$504)</f>
        <v>0</v>
      </c>
      <c r="E892" s="32" t="n">
        <f aca="false">SUMIF('Libro Diario'!$C$5:$C$504,A892,'Libro Diario'!$G$5:$G$504)</f>
        <v>0</v>
      </c>
      <c r="F892" s="32" t="n">
        <f aca="false">IF(D892&gt;=E892,D892-E892,0)</f>
        <v>0</v>
      </c>
      <c r="G892" s="32" t="n">
        <f aca="false">IF(E892&gt;D892,E892-D892,0)</f>
        <v>0</v>
      </c>
    </row>
    <row r="893" customFormat="false" ht="15" hidden="false" customHeight="true" outlineLevel="0" collapsed="false">
      <c r="A893" s="30" t="s">
        <v>1263</v>
      </c>
      <c r="B893" s="31" t="s">
        <v>1264</v>
      </c>
      <c r="C893" s="30" t="s">
        <v>1121</v>
      </c>
      <c r="D893" s="32" t="n">
        <f aca="false">SUMIF('Libro Diario'!$C$5:$C$504,A893,'Libro Diario'!$F$5:$F$504)</f>
        <v>0</v>
      </c>
      <c r="E893" s="32" t="n">
        <f aca="false">SUMIF('Libro Diario'!$C$5:$C$504,A893,'Libro Diario'!$G$5:$G$504)</f>
        <v>0</v>
      </c>
      <c r="F893" s="32" t="n">
        <f aca="false">IF(D893&gt;=E893,D893-E893,0)</f>
        <v>0</v>
      </c>
      <c r="G893" s="32" t="n">
        <f aca="false">IF(E893&gt;D893,E893-D893,0)</f>
        <v>0</v>
      </c>
    </row>
    <row r="894" customFormat="false" ht="15" hidden="false" customHeight="true" outlineLevel="0" collapsed="false">
      <c r="A894" s="30" t="s">
        <v>1265</v>
      </c>
      <c r="B894" s="31" t="s">
        <v>1266</v>
      </c>
      <c r="C894" s="30" t="s">
        <v>1121</v>
      </c>
      <c r="D894" s="32" t="n">
        <f aca="false">SUMIF('Libro Diario'!$C$5:$C$504,A894,'Libro Diario'!$F$5:$F$504)</f>
        <v>0</v>
      </c>
      <c r="E894" s="32" t="n">
        <f aca="false">SUMIF('Libro Diario'!$C$5:$C$504,A894,'Libro Diario'!$G$5:$G$504)</f>
        <v>0</v>
      </c>
      <c r="F894" s="32" t="n">
        <f aca="false">IF(D894&gt;=E894,D894-E894,0)</f>
        <v>0</v>
      </c>
      <c r="G894" s="32" t="n">
        <f aca="false">IF(E894&gt;D894,E894-D894,0)</f>
        <v>0</v>
      </c>
    </row>
    <row r="895" customFormat="false" ht="15" hidden="false" customHeight="true" outlineLevel="0" collapsed="false">
      <c r="A895" s="30" t="s">
        <v>1267</v>
      </c>
      <c r="B895" s="31" t="s">
        <v>1268</v>
      </c>
      <c r="C895" s="30" t="s">
        <v>1121</v>
      </c>
      <c r="D895" s="32" t="n">
        <f aca="false">SUMIF('Libro Diario'!$C$5:$C$504,A895,'Libro Diario'!$F$5:$F$504)</f>
        <v>0</v>
      </c>
      <c r="E895" s="32" t="n">
        <f aca="false">SUMIF('Libro Diario'!$C$5:$C$504,A895,'Libro Diario'!$G$5:$G$504)</f>
        <v>0</v>
      </c>
      <c r="F895" s="32" t="n">
        <f aca="false">IF(D895&gt;=E895,D895-E895,0)</f>
        <v>0</v>
      </c>
      <c r="G895" s="32" t="n">
        <f aca="false">IF(E895&gt;D895,E895-D895,0)</f>
        <v>0</v>
      </c>
    </row>
    <row r="896" customFormat="false" ht="15" hidden="false" customHeight="true" outlineLevel="0" collapsed="false">
      <c r="A896" s="30" t="s">
        <v>1269</v>
      </c>
      <c r="B896" s="31" t="s">
        <v>1270</v>
      </c>
      <c r="C896" s="30" t="s">
        <v>1121</v>
      </c>
      <c r="D896" s="32" t="n">
        <f aca="false">SUMIF('Libro Diario'!$C$5:$C$504,A896,'Libro Diario'!$F$5:$F$504)</f>
        <v>0</v>
      </c>
      <c r="E896" s="32" t="n">
        <f aca="false">SUMIF('Libro Diario'!$C$5:$C$504,A896,'Libro Diario'!$G$5:$G$504)</f>
        <v>0</v>
      </c>
      <c r="F896" s="32" t="n">
        <f aca="false">IF(D896&gt;=E896,D896-E896,0)</f>
        <v>0</v>
      </c>
      <c r="G896" s="32" t="n">
        <f aca="false">IF(E896&gt;D896,E896-D896,0)</f>
        <v>0</v>
      </c>
    </row>
    <row r="897" customFormat="false" ht="15" hidden="false" customHeight="true" outlineLevel="0" collapsed="false">
      <c r="A897" s="30" t="s">
        <v>1271</v>
      </c>
      <c r="B897" s="31" t="s">
        <v>1272</v>
      </c>
      <c r="C897" s="30" t="s">
        <v>1121</v>
      </c>
      <c r="D897" s="32" t="n">
        <f aca="false">SUMIF('Libro Diario'!$C$5:$C$504,A897,'Libro Diario'!$F$5:$F$504)</f>
        <v>0</v>
      </c>
      <c r="E897" s="32" t="n">
        <f aca="false">SUMIF('Libro Diario'!$C$5:$C$504,A897,'Libro Diario'!$G$5:$G$504)</f>
        <v>0</v>
      </c>
      <c r="F897" s="32" t="n">
        <f aca="false">IF(D897&gt;=E897,D897-E897,0)</f>
        <v>0</v>
      </c>
      <c r="G897" s="32" t="n">
        <f aca="false">IF(E897&gt;D897,E897-D897,0)</f>
        <v>0</v>
      </c>
    </row>
    <row r="898" customFormat="false" ht="15" hidden="false" customHeight="true" outlineLevel="0" collapsed="false">
      <c r="A898" s="30" t="s">
        <v>1273</v>
      </c>
      <c r="B898" s="31" t="s">
        <v>847</v>
      </c>
      <c r="C898" s="30" t="s">
        <v>1121</v>
      </c>
      <c r="D898" s="32" t="n">
        <f aca="false">SUMIF('Libro Diario'!$C$5:$C$504,A898,'Libro Diario'!$F$5:$F$504)</f>
        <v>0</v>
      </c>
      <c r="E898" s="32" t="n">
        <f aca="false">SUMIF('Libro Diario'!$C$5:$C$504,A898,'Libro Diario'!$G$5:$G$504)</f>
        <v>0</v>
      </c>
      <c r="F898" s="32" t="n">
        <f aca="false">IF(D898&gt;=E898,D898-E898,0)</f>
        <v>0</v>
      </c>
      <c r="G898" s="32" t="n">
        <f aca="false">IF(E898&gt;D898,E898-D898,0)</f>
        <v>0</v>
      </c>
    </row>
    <row r="899" customFormat="false" ht="15" hidden="false" customHeight="true" outlineLevel="0" collapsed="false">
      <c r="A899" s="30" t="s">
        <v>1274</v>
      </c>
      <c r="B899" s="31" t="s">
        <v>856</v>
      </c>
      <c r="C899" s="30" t="s">
        <v>1121</v>
      </c>
      <c r="D899" s="32" t="n">
        <f aca="false">SUMIF('Libro Diario'!$C$5:$C$504,A899,'Libro Diario'!$F$5:$F$504)</f>
        <v>0</v>
      </c>
      <c r="E899" s="32" t="n">
        <f aca="false">SUMIF('Libro Diario'!$C$5:$C$504,A899,'Libro Diario'!$G$5:$G$504)</f>
        <v>0</v>
      </c>
      <c r="F899" s="32" t="n">
        <f aca="false">IF(D899&gt;=E899,D899-E899,0)</f>
        <v>0</v>
      </c>
      <c r="G899" s="32" t="n">
        <f aca="false">IF(E899&gt;D899,E899-D899,0)</f>
        <v>0</v>
      </c>
    </row>
    <row r="900" customFormat="false" ht="15" hidden="false" customHeight="true" outlineLevel="0" collapsed="false">
      <c r="A900" s="30" t="s">
        <v>1275</v>
      </c>
      <c r="B900" s="31" t="s">
        <v>1276</v>
      </c>
      <c r="C900" s="30" t="s">
        <v>1121</v>
      </c>
      <c r="D900" s="32" t="n">
        <f aca="false">SUMIF('Libro Diario'!$C$5:$C$504,A900,'Libro Diario'!$F$5:$F$504)</f>
        <v>0</v>
      </c>
      <c r="E900" s="32" t="n">
        <f aca="false">SUMIF('Libro Diario'!$C$5:$C$504,A900,'Libro Diario'!$G$5:$G$504)</f>
        <v>0</v>
      </c>
      <c r="F900" s="32" t="n">
        <f aca="false">IF(D900&gt;=E900,D900-E900,0)</f>
        <v>0</v>
      </c>
      <c r="G900" s="32" t="n">
        <f aca="false">IF(E900&gt;D900,E900-D900,0)</f>
        <v>0</v>
      </c>
    </row>
    <row r="901" customFormat="false" ht="15" hidden="false" customHeight="true" outlineLevel="0" collapsed="false">
      <c r="A901" s="30" t="s">
        <v>1277</v>
      </c>
      <c r="B901" s="31" t="s">
        <v>1278</v>
      </c>
      <c r="C901" s="30" t="s">
        <v>1121</v>
      </c>
      <c r="D901" s="32" t="n">
        <f aca="false">SUMIF('Libro Diario'!$C$5:$C$504,A901,'Libro Diario'!$F$5:$F$504)</f>
        <v>0</v>
      </c>
      <c r="E901" s="32" t="n">
        <f aca="false">SUMIF('Libro Diario'!$C$5:$C$504,A901,'Libro Diario'!$G$5:$G$504)</f>
        <v>0</v>
      </c>
      <c r="F901" s="32" t="n">
        <f aca="false">IF(D901&gt;=E901,D901-E901,0)</f>
        <v>0</v>
      </c>
      <c r="G901" s="32" t="n">
        <f aca="false">IF(E901&gt;D901,E901-D901,0)</f>
        <v>0</v>
      </c>
    </row>
    <row r="902" customFormat="false" ht="15" hidden="false" customHeight="true" outlineLevel="0" collapsed="false">
      <c r="A902" s="30" t="s">
        <v>1279</v>
      </c>
      <c r="B902" s="31" t="s">
        <v>1280</v>
      </c>
      <c r="C902" s="30" t="s">
        <v>1121</v>
      </c>
      <c r="D902" s="32" t="n">
        <f aca="false">SUMIF('Libro Diario'!$C$5:$C$504,A902,'Libro Diario'!$F$5:$F$504)</f>
        <v>0</v>
      </c>
      <c r="E902" s="32" t="n">
        <f aca="false">SUMIF('Libro Diario'!$C$5:$C$504,A902,'Libro Diario'!$G$5:$G$504)</f>
        <v>0</v>
      </c>
      <c r="F902" s="32" t="n">
        <f aca="false">IF(D902&gt;=E902,D902-E902,0)</f>
        <v>0</v>
      </c>
      <c r="G902" s="32" t="n">
        <f aca="false">IF(E902&gt;D902,E902-D902,0)</f>
        <v>0</v>
      </c>
    </row>
    <row r="903" customFormat="false" ht="15" hidden="false" customHeight="true" outlineLevel="0" collapsed="false">
      <c r="A903" s="30" t="s">
        <v>1281</v>
      </c>
      <c r="B903" s="31" t="s">
        <v>736</v>
      </c>
      <c r="C903" s="30" t="s">
        <v>1121</v>
      </c>
      <c r="D903" s="32" t="n">
        <f aca="false">SUMIF('Libro Diario'!$C$5:$C$504,A903,'Libro Diario'!$F$5:$F$504)</f>
        <v>0</v>
      </c>
      <c r="E903" s="32" t="n">
        <f aca="false">SUMIF('Libro Diario'!$C$5:$C$504,A903,'Libro Diario'!$G$5:$G$504)</f>
        <v>0</v>
      </c>
      <c r="F903" s="32" t="n">
        <f aca="false">IF(D903&gt;=E903,D903-E903,0)</f>
        <v>0</v>
      </c>
      <c r="G903" s="32" t="n">
        <f aca="false">IF(E903&gt;D903,E903-D903,0)</f>
        <v>0</v>
      </c>
    </row>
    <row r="904" customFormat="false" ht="15" hidden="false" customHeight="true" outlineLevel="0" collapsed="false">
      <c r="A904" s="30" t="s">
        <v>1282</v>
      </c>
      <c r="B904" s="31" t="s">
        <v>1283</v>
      </c>
      <c r="C904" s="30" t="s">
        <v>1121</v>
      </c>
      <c r="D904" s="32" t="n">
        <f aca="false">SUMIF('Libro Diario'!$C$5:$C$504,A904,'Libro Diario'!$F$5:$F$504)</f>
        <v>0</v>
      </c>
      <c r="E904" s="32" t="n">
        <f aca="false">SUMIF('Libro Diario'!$C$5:$C$504,A904,'Libro Diario'!$G$5:$G$504)</f>
        <v>0</v>
      </c>
      <c r="F904" s="32" t="n">
        <f aca="false">IF(D904&gt;=E904,D904-E904,0)</f>
        <v>0</v>
      </c>
      <c r="G904" s="32" t="n">
        <f aca="false">IF(E904&gt;D904,E904-D904,0)</f>
        <v>0</v>
      </c>
    </row>
    <row r="905" customFormat="false" ht="15" hidden="false" customHeight="true" outlineLevel="0" collapsed="false">
      <c r="A905" s="30" t="s">
        <v>1284</v>
      </c>
      <c r="B905" s="31" t="s">
        <v>882</v>
      </c>
      <c r="C905" s="30" t="s">
        <v>1121</v>
      </c>
      <c r="D905" s="32" t="n">
        <f aca="false">SUMIF('Libro Diario'!$C$5:$C$504,A905,'Libro Diario'!$F$5:$F$504)</f>
        <v>0</v>
      </c>
      <c r="E905" s="32" t="n">
        <f aca="false">SUMIF('Libro Diario'!$C$5:$C$504,A905,'Libro Diario'!$G$5:$G$504)</f>
        <v>0</v>
      </c>
      <c r="F905" s="32" t="n">
        <f aca="false">IF(D905&gt;=E905,D905-E905,0)</f>
        <v>0</v>
      </c>
      <c r="G905" s="32" t="n">
        <f aca="false">IF(E905&gt;D905,E905-D905,0)</f>
        <v>0</v>
      </c>
    </row>
    <row r="906" customFormat="false" ht="15" hidden="false" customHeight="true" outlineLevel="0" collapsed="false">
      <c r="A906" s="30" t="s">
        <v>1285</v>
      </c>
      <c r="B906" s="31" t="s">
        <v>1286</v>
      </c>
      <c r="C906" s="30" t="s">
        <v>1121</v>
      </c>
      <c r="D906" s="32" t="n">
        <f aca="false">SUMIF('Libro Diario'!$C$5:$C$504,A906,'Libro Diario'!$F$5:$F$504)</f>
        <v>0</v>
      </c>
      <c r="E906" s="32" t="n">
        <f aca="false">SUMIF('Libro Diario'!$C$5:$C$504,A906,'Libro Diario'!$G$5:$G$504)</f>
        <v>0</v>
      </c>
      <c r="F906" s="32" t="n">
        <f aca="false">IF(D906&gt;=E906,D906-E906,0)</f>
        <v>0</v>
      </c>
      <c r="G906" s="32" t="n">
        <f aca="false">IF(E906&gt;D906,E906-D906,0)</f>
        <v>0</v>
      </c>
    </row>
    <row r="907" customFormat="false" ht="15" hidden="false" customHeight="true" outlineLevel="0" collapsed="false">
      <c r="A907" s="30" t="s">
        <v>1287</v>
      </c>
      <c r="B907" s="31" t="s">
        <v>874</v>
      </c>
      <c r="C907" s="30" t="s">
        <v>1121</v>
      </c>
      <c r="D907" s="32" t="n">
        <f aca="false">SUMIF('Libro Diario'!$C$5:$C$504,A907,'Libro Diario'!$F$5:$F$504)</f>
        <v>0</v>
      </c>
      <c r="E907" s="32" t="n">
        <f aca="false">SUMIF('Libro Diario'!$C$5:$C$504,A907,'Libro Diario'!$G$5:$G$504)</f>
        <v>0</v>
      </c>
      <c r="F907" s="32" t="n">
        <f aca="false">IF(D907&gt;=E907,D907-E907,0)</f>
        <v>0</v>
      </c>
      <c r="G907" s="32" t="n">
        <f aca="false">IF(E907&gt;D907,E907-D907,0)</f>
        <v>0</v>
      </c>
    </row>
    <row r="908" customFormat="false" ht="15" hidden="false" customHeight="true" outlineLevel="0" collapsed="false">
      <c r="A908" s="30" t="s">
        <v>1288</v>
      </c>
      <c r="B908" s="31" t="s">
        <v>1289</v>
      </c>
      <c r="C908" s="30" t="s">
        <v>1121</v>
      </c>
      <c r="D908" s="32" t="n">
        <f aca="false">SUMIF('Libro Diario'!$C$5:$C$504,A908,'Libro Diario'!$F$5:$F$504)</f>
        <v>0</v>
      </c>
      <c r="E908" s="32" t="n">
        <f aca="false">SUMIF('Libro Diario'!$C$5:$C$504,A908,'Libro Diario'!$G$5:$G$504)</f>
        <v>0</v>
      </c>
      <c r="F908" s="32" t="n">
        <f aca="false">IF(D908&gt;=E908,D908-E908,0)</f>
        <v>0</v>
      </c>
      <c r="G908" s="32" t="n">
        <f aca="false">IF(E908&gt;D908,E908-D908,0)</f>
        <v>0</v>
      </c>
    </row>
    <row r="909" customFormat="false" ht="15" hidden="false" customHeight="true" outlineLevel="0" collapsed="false">
      <c r="A909" s="30" t="s">
        <v>1290</v>
      </c>
      <c r="B909" s="31" t="s">
        <v>736</v>
      </c>
      <c r="C909" s="30" t="s">
        <v>1121</v>
      </c>
      <c r="D909" s="32" t="n">
        <f aca="false">SUMIF('Libro Diario'!$C$5:$C$504,A909,'Libro Diario'!$F$5:$F$504)</f>
        <v>0</v>
      </c>
      <c r="E909" s="32" t="n">
        <f aca="false">SUMIF('Libro Diario'!$C$5:$C$504,A909,'Libro Diario'!$G$5:$G$504)</f>
        <v>0</v>
      </c>
      <c r="F909" s="32" t="n">
        <f aca="false">IF(D909&gt;=E909,D909-E909,0)</f>
        <v>0</v>
      </c>
      <c r="G909" s="32" t="n">
        <f aca="false">IF(E909&gt;D909,E909-D909,0)</f>
        <v>0</v>
      </c>
    </row>
    <row r="910" customFormat="false" ht="15" hidden="false" customHeight="true" outlineLevel="0" collapsed="false">
      <c r="A910" s="30" t="s">
        <v>1291</v>
      </c>
      <c r="B910" s="31" t="s">
        <v>868</v>
      </c>
      <c r="C910" s="30" t="s">
        <v>1121</v>
      </c>
      <c r="D910" s="32" t="n">
        <f aca="false">SUMIF('Libro Diario'!$C$5:$C$504,A910,'Libro Diario'!$F$5:$F$504)</f>
        <v>0</v>
      </c>
      <c r="E910" s="32" t="n">
        <f aca="false">SUMIF('Libro Diario'!$C$5:$C$504,A910,'Libro Diario'!$G$5:$G$504)</f>
        <v>0</v>
      </c>
      <c r="F910" s="32" t="n">
        <f aca="false">IF(D910&gt;=E910,D910-E910,0)</f>
        <v>0</v>
      </c>
      <c r="G910" s="32" t="n">
        <f aca="false">IF(E910&gt;D910,E910-D910,0)</f>
        <v>0</v>
      </c>
    </row>
    <row r="911" customFormat="false" ht="15" hidden="false" customHeight="true" outlineLevel="0" collapsed="false">
      <c r="A911" s="30" t="s">
        <v>1292</v>
      </c>
      <c r="B911" s="31" t="s">
        <v>736</v>
      </c>
      <c r="C911" s="30" t="s">
        <v>1121</v>
      </c>
      <c r="D911" s="32" t="n">
        <f aca="false">SUMIF('Libro Diario'!$C$5:$C$504,A911,'Libro Diario'!$F$5:$F$504)</f>
        <v>0</v>
      </c>
      <c r="E911" s="32" t="n">
        <f aca="false">SUMIF('Libro Diario'!$C$5:$C$504,A911,'Libro Diario'!$G$5:$G$504)</f>
        <v>0</v>
      </c>
      <c r="F911" s="32" t="n">
        <f aca="false">IF(D911&gt;=E911,D911-E911,0)</f>
        <v>0</v>
      </c>
      <c r="G911" s="32" t="n">
        <f aca="false">IF(E911&gt;D911,E911-D911,0)</f>
        <v>0</v>
      </c>
    </row>
    <row r="912" customFormat="false" ht="15" hidden="false" customHeight="true" outlineLevel="0" collapsed="false">
      <c r="A912" s="30" t="s">
        <v>1293</v>
      </c>
      <c r="B912" s="31" t="s">
        <v>138</v>
      </c>
      <c r="C912" s="30" t="s">
        <v>1121</v>
      </c>
      <c r="D912" s="32" t="n">
        <f aca="false">SUMIF('Libro Diario'!$C$5:$C$504,A912,'Libro Diario'!$F$5:$F$504)</f>
        <v>0</v>
      </c>
      <c r="E912" s="32" t="n">
        <f aca="false">SUMIF('Libro Diario'!$C$5:$C$504,A912,'Libro Diario'!$G$5:$G$504)</f>
        <v>0</v>
      </c>
      <c r="F912" s="32" t="n">
        <f aca="false">IF(D912&gt;=E912,D912-E912,0)</f>
        <v>0</v>
      </c>
      <c r="G912" s="32" t="n">
        <f aca="false">IF(E912&gt;D912,E912-D912,0)</f>
        <v>0</v>
      </c>
    </row>
    <row r="913" customFormat="false" ht="15" hidden="false" customHeight="true" outlineLevel="0" collapsed="false">
      <c r="A913" s="30" t="s">
        <v>1294</v>
      </c>
      <c r="B913" s="31" t="s">
        <v>1295</v>
      </c>
      <c r="C913" s="30" t="s">
        <v>1121</v>
      </c>
      <c r="D913" s="32" t="n">
        <f aca="false">SUMIF('Libro Diario'!$C$5:$C$504,A913,'Libro Diario'!$F$5:$F$504)</f>
        <v>0</v>
      </c>
      <c r="E913" s="32" t="n">
        <f aca="false">SUMIF('Libro Diario'!$C$5:$C$504,A913,'Libro Diario'!$G$5:$G$504)</f>
        <v>0</v>
      </c>
      <c r="F913" s="32" t="n">
        <f aca="false">IF(D913&gt;=E913,D913-E913,0)</f>
        <v>0</v>
      </c>
      <c r="G913" s="32" t="n">
        <f aca="false">IF(E913&gt;D913,E913-D913,0)</f>
        <v>0</v>
      </c>
    </row>
    <row r="914" customFormat="false" ht="15" hidden="false" customHeight="true" outlineLevel="0" collapsed="false">
      <c r="A914" s="30" t="s">
        <v>1296</v>
      </c>
      <c r="B914" s="31" t="s">
        <v>1297</v>
      </c>
      <c r="C914" s="30" t="s">
        <v>1121</v>
      </c>
      <c r="D914" s="32" t="n">
        <f aca="false">SUMIF('Libro Diario'!$C$5:$C$504,A914,'Libro Diario'!$F$5:$F$504)</f>
        <v>0</v>
      </c>
      <c r="E914" s="32" t="n">
        <f aca="false">SUMIF('Libro Diario'!$C$5:$C$504,A914,'Libro Diario'!$G$5:$G$504)</f>
        <v>0</v>
      </c>
      <c r="F914" s="32" t="n">
        <f aca="false">IF(D914&gt;=E914,D914-E914,0)</f>
        <v>0</v>
      </c>
      <c r="G914" s="32" t="n">
        <f aca="false">IF(E914&gt;D914,E914-D914,0)</f>
        <v>0</v>
      </c>
    </row>
    <row r="915" customFormat="false" ht="15" hidden="false" customHeight="true" outlineLevel="0" collapsed="false">
      <c r="A915" s="30" t="s">
        <v>1298</v>
      </c>
      <c r="B915" s="31" t="s">
        <v>1299</v>
      </c>
      <c r="C915" s="30" t="s">
        <v>1121</v>
      </c>
      <c r="D915" s="32" t="n">
        <f aca="false">SUMIF('Libro Diario'!$C$5:$C$504,A915,'Libro Diario'!$F$5:$F$504)</f>
        <v>0</v>
      </c>
      <c r="E915" s="32" t="n">
        <f aca="false">SUMIF('Libro Diario'!$C$5:$C$504,A915,'Libro Diario'!$G$5:$G$504)</f>
        <v>0</v>
      </c>
      <c r="F915" s="32" t="n">
        <f aca="false">IF(D915&gt;=E915,D915-E915,0)</f>
        <v>0</v>
      </c>
      <c r="G915" s="32" t="n">
        <f aca="false">IF(E915&gt;D915,E915-D915,0)</f>
        <v>0</v>
      </c>
    </row>
    <row r="916" customFormat="false" ht="15" hidden="false" customHeight="true" outlineLevel="0" collapsed="false">
      <c r="A916" s="30" t="s">
        <v>1300</v>
      </c>
      <c r="B916" s="31" t="s">
        <v>205</v>
      </c>
      <c r="C916" s="30" t="s">
        <v>1121</v>
      </c>
      <c r="D916" s="32" t="n">
        <f aca="false">SUMIF('Libro Diario'!$C$5:$C$504,A916,'Libro Diario'!$F$5:$F$504)</f>
        <v>0</v>
      </c>
      <c r="E916" s="32" t="n">
        <f aca="false">SUMIF('Libro Diario'!$C$5:$C$504,A916,'Libro Diario'!$G$5:$G$504)</f>
        <v>0</v>
      </c>
      <c r="F916" s="32" t="n">
        <f aca="false">IF(D916&gt;=E916,D916-E916,0)</f>
        <v>0</v>
      </c>
      <c r="G916" s="32" t="n">
        <f aca="false">IF(E916&gt;D916,E916-D916,0)</f>
        <v>0</v>
      </c>
    </row>
    <row r="917" customFormat="false" ht="15" hidden="false" customHeight="true" outlineLevel="0" collapsed="false">
      <c r="A917" s="30" t="s">
        <v>1301</v>
      </c>
      <c r="B917" s="31" t="s">
        <v>140</v>
      </c>
      <c r="C917" s="30" t="s">
        <v>1121</v>
      </c>
      <c r="D917" s="32" t="n">
        <f aca="false">SUMIF('Libro Diario'!$C$5:$C$504,A917,'Libro Diario'!$F$5:$F$504)</f>
        <v>0</v>
      </c>
      <c r="E917" s="32" t="n">
        <f aca="false">SUMIF('Libro Diario'!$C$5:$C$504,A917,'Libro Diario'!$G$5:$G$504)</f>
        <v>0</v>
      </c>
      <c r="F917" s="32" t="n">
        <f aca="false">IF(D917&gt;=E917,D917-E917,0)</f>
        <v>0</v>
      </c>
      <c r="G917" s="32" t="n">
        <f aca="false">IF(E917&gt;D917,E917-D917,0)</f>
        <v>0</v>
      </c>
    </row>
    <row r="918" customFormat="false" ht="15" hidden="false" customHeight="true" outlineLevel="0" collapsed="false">
      <c r="A918" s="30" t="s">
        <v>1302</v>
      </c>
      <c r="B918" s="31" t="s">
        <v>1303</v>
      </c>
      <c r="C918" s="30" t="s">
        <v>1121</v>
      </c>
      <c r="D918" s="32" t="n">
        <f aca="false">SUMIF('Libro Diario'!$C$5:$C$504,A918,'Libro Diario'!$F$5:$F$504)</f>
        <v>0</v>
      </c>
      <c r="E918" s="32" t="n">
        <f aca="false">SUMIF('Libro Diario'!$C$5:$C$504,A918,'Libro Diario'!$G$5:$G$504)</f>
        <v>0</v>
      </c>
      <c r="F918" s="32" t="n">
        <f aca="false">IF(D918&gt;=E918,D918-E918,0)</f>
        <v>0</v>
      </c>
      <c r="G918" s="32" t="n">
        <f aca="false">IF(E918&gt;D918,E918-D918,0)</f>
        <v>0</v>
      </c>
    </row>
    <row r="919" customFormat="false" ht="15" hidden="false" customHeight="true" outlineLevel="0" collapsed="false">
      <c r="A919" s="30" t="s">
        <v>1304</v>
      </c>
      <c r="B919" s="31" t="s">
        <v>1305</v>
      </c>
      <c r="C919" s="30" t="s">
        <v>1121</v>
      </c>
      <c r="D919" s="32" t="n">
        <f aca="false">SUMIF('Libro Diario'!$C$5:$C$504,A919,'Libro Diario'!$F$5:$F$504)</f>
        <v>0</v>
      </c>
      <c r="E919" s="32" t="n">
        <f aca="false">SUMIF('Libro Diario'!$C$5:$C$504,A919,'Libro Diario'!$G$5:$G$504)</f>
        <v>0</v>
      </c>
      <c r="F919" s="32" t="n">
        <f aca="false">IF(D919&gt;=E919,D919-E919,0)</f>
        <v>0</v>
      </c>
      <c r="G919" s="32" t="n">
        <f aca="false">IF(E919&gt;D919,E919-D919,0)</f>
        <v>0</v>
      </c>
    </row>
    <row r="920" customFormat="false" ht="15" hidden="false" customHeight="true" outlineLevel="0" collapsed="false">
      <c r="A920" s="30" t="s">
        <v>1306</v>
      </c>
      <c r="B920" s="31" t="s">
        <v>992</v>
      </c>
      <c r="C920" s="30" t="s">
        <v>1121</v>
      </c>
      <c r="D920" s="32" t="n">
        <f aca="false">SUMIF('Libro Diario'!$C$5:$C$504,A920,'Libro Diario'!$F$5:$F$504)</f>
        <v>0</v>
      </c>
      <c r="E920" s="32" t="n">
        <f aca="false">SUMIF('Libro Diario'!$C$5:$C$504,A920,'Libro Diario'!$G$5:$G$504)</f>
        <v>0</v>
      </c>
      <c r="F920" s="32" t="n">
        <f aca="false">IF(D920&gt;=E920,D920-E920,0)</f>
        <v>0</v>
      </c>
      <c r="G920" s="32" t="n">
        <f aca="false">IF(E920&gt;D920,E920-D920,0)</f>
        <v>0</v>
      </c>
    </row>
    <row r="921" customFormat="false" ht="15" hidden="false" customHeight="true" outlineLevel="0" collapsed="false">
      <c r="A921" s="30" t="s">
        <v>1307</v>
      </c>
      <c r="B921" s="31" t="s">
        <v>154</v>
      </c>
      <c r="C921" s="30" t="s">
        <v>1121</v>
      </c>
      <c r="D921" s="32" t="n">
        <f aca="false">SUMIF('Libro Diario'!$C$5:$C$504,A921,'Libro Diario'!$F$5:$F$504)</f>
        <v>0</v>
      </c>
      <c r="E921" s="32" t="n">
        <f aca="false">SUMIF('Libro Diario'!$C$5:$C$504,A921,'Libro Diario'!$G$5:$G$504)</f>
        <v>0</v>
      </c>
      <c r="F921" s="32" t="n">
        <f aca="false">IF(D921&gt;=E921,D921-E921,0)</f>
        <v>0</v>
      </c>
      <c r="G921" s="32" t="n">
        <f aca="false">IF(E921&gt;D921,E921-D921,0)</f>
        <v>0</v>
      </c>
    </row>
    <row r="922" customFormat="false" ht="15" hidden="false" customHeight="true" outlineLevel="0" collapsed="false">
      <c r="A922" s="30" t="s">
        <v>1308</v>
      </c>
      <c r="B922" s="31" t="s">
        <v>1309</v>
      </c>
      <c r="C922" s="30" t="s">
        <v>1121</v>
      </c>
      <c r="D922" s="32" t="n">
        <f aca="false">SUMIF('Libro Diario'!$C$5:$C$504,A922,'Libro Diario'!$F$5:$F$504)</f>
        <v>0</v>
      </c>
      <c r="E922" s="32" t="n">
        <f aca="false">SUMIF('Libro Diario'!$C$5:$C$504,A922,'Libro Diario'!$G$5:$G$504)</f>
        <v>0</v>
      </c>
      <c r="F922" s="32" t="n">
        <f aca="false">IF(D922&gt;=E922,D922-E922,0)</f>
        <v>0</v>
      </c>
      <c r="G922" s="32" t="n">
        <f aca="false">IF(E922&gt;D922,E922-D922,0)</f>
        <v>0</v>
      </c>
    </row>
    <row r="923" customFormat="false" ht="15" hidden="false" customHeight="true" outlineLevel="0" collapsed="false">
      <c r="A923" s="30" t="s">
        <v>1310</v>
      </c>
      <c r="B923" s="31" t="s">
        <v>156</v>
      </c>
      <c r="C923" s="30" t="s">
        <v>1121</v>
      </c>
      <c r="D923" s="32" t="n">
        <f aca="false">SUMIF('Libro Diario'!$C$5:$C$504,A923,'Libro Diario'!$F$5:$F$504)</f>
        <v>0</v>
      </c>
      <c r="E923" s="32" t="n">
        <f aca="false">SUMIF('Libro Diario'!$C$5:$C$504,A923,'Libro Diario'!$G$5:$G$504)</f>
        <v>0</v>
      </c>
      <c r="F923" s="32" t="n">
        <f aca="false">IF(D923&gt;=E923,D923-E923,0)</f>
        <v>0</v>
      </c>
      <c r="G923" s="32" t="n">
        <f aca="false">IF(E923&gt;D923,E923-D923,0)</f>
        <v>0</v>
      </c>
    </row>
    <row r="924" customFormat="false" ht="15" hidden="false" customHeight="true" outlineLevel="0" collapsed="false">
      <c r="A924" s="30" t="s">
        <v>1311</v>
      </c>
      <c r="B924" s="31" t="s">
        <v>158</v>
      </c>
      <c r="C924" s="30" t="s">
        <v>1121</v>
      </c>
      <c r="D924" s="32" t="n">
        <f aca="false">SUMIF('Libro Diario'!$C$5:$C$504,A924,'Libro Diario'!$F$5:$F$504)</f>
        <v>0</v>
      </c>
      <c r="E924" s="32" t="n">
        <f aca="false">SUMIF('Libro Diario'!$C$5:$C$504,A924,'Libro Diario'!$G$5:$G$504)</f>
        <v>0</v>
      </c>
      <c r="F924" s="32" t="n">
        <f aca="false">IF(D924&gt;=E924,D924-E924,0)</f>
        <v>0</v>
      </c>
      <c r="G924" s="32" t="n">
        <f aca="false">IF(E924&gt;D924,E924-D924,0)</f>
        <v>0</v>
      </c>
    </row>
    <row r="925" customFormat="false" ht="15" hidden="false" customHeight="true" outlineLevel="0" collapsed="false">
      <c r="A925" s="30" t="s">
        <v>1312</v>
      </c>
      <c r="B925" s="31" t="s">
        <v>160</v>
      </c>
      <c r="C925" s="30" t="s">
        <v>1121</v>
      </c>
      <c r="D925" s="32" t="n">
        <f aca="false">SUMIF('Libro Diario'!$C$5:$C$504,A925,'Libro Diario'!$F$5:$F$504)</f>
        <v>0</v>
      </c>
      <c r="E925" s="32" t="n">
        <f aca="false">SUMIF('Libro Diario'!$C$5:$C$504,A925,'Libro Diario'!$G$5:$G$504)</f>
        <v>0</v>
      </c>
      <c r="F925" s="32" t="n">
        <f aca="false">IF(D925&gt;=E925,D925-E925,0)</f>
        <v>0</v>
      </c>
      <c r="G925" s="32" t="n">
        <f aca="false">IF(E925&gt;D925,E925-D925,0)</f>
        <v>0</v>
      </c>
    </row>
    <row r="926" customFormat="false" ht="15" hidden="false" customHeight="true" outlineLevel="0" collapsed="false">
      <c r="A926" s="30" t="s">
        <v>1313</v>
      </c>
      <c r="B926" s="31" t="s">
        <v>154</v>
      </c>
      <c r="C926" s="30" t="s">
        <v>1121</v>
      </c>
      <c r="D926" s="32" t="n">
        <f aca="false">SUMIF('Libro Diario'!$C$5:$C$504,A926,'Libro Diario'!$F$5:$F$504)</f>
        <v>0</v>
      </c>
      <c r="E926" s="32" t="n">
        <f aca="false">SUMIF('Libro Diario'!$C$5:$C$504,A926,'Libro Diario'!$G$5:$G$504)</f>
        <v>0</v>
      </c>
      <c r="F926" s="32" t="n">
        <f aca="false">IF(D926&gt;=E926,D926-E926,0)</f>
        <v>0</v>
      </c>
      <c r="G926" s="32" t="n">
        <f aca="false">IF(E926&gt;D926,E926-D926,0)</f>
        <v>0</v>
      </c>
    </row>
    <row r="927" customFormat="false" ht="15" hidden="false" customHeight="true" outlineLevel="0" collapsed="false">
      <c r="A927" s="30" t="s">
        <v>1314</v>
      </c>
      <c r="B927" s="31" t="s">
        <v>1315</v>
      </c>
      <c r="C927" s="30" t="s">
        <v>1121</v>
      </c>
      <c r="D927" s="32" t="n">
        <f aca="false">SUMIF('Libro Diario'!$C$5:$C$504,A927,'Libro Diario'!$F$5:$F$504)</f>
        <v>0</v>
      </c>
      <c r="E927" s="32" t="n">
        <f aca="false">SUMIF('Libro Diario'!$C$5:$C$504,A927,'Libro Diario'!$G$5:$G$504)</f>
        <v>0</v>
      </c>
      <c r="F927" s="32" t="n">
        <f aca="false">IF(D927&gt;=E927,D927-E927,0)</f>
        <v>0</v>
      </c>
      <c r="G927" s="32" t="n">
        <f aca="false">IF(E927&gt;D927,E927-D927,0)</f>
        <v>0</v>
      </c>
    </row>
    <row r="928" customFormat="false" ht="15" hidden="false" customHeight="true" outlineLevel="0" collapsed="false">
      <c r="A928" s="30" t="s">
        <v>1316</v>
      </c>
      <c r="B928" s="31" t="s">
        <v>156</v>
      </c>
      <c r="C928" s="30" t="s">
        <v>1121</v>
      </c>
      <c r="D928" s="32" t="n">
        <f aca="false">SUMIF('Libro Diario'!$C$5:$C$504,A928,'Libro Diario'!$F$5:$F$504)</f>
        <v>0</v>
      </c>
      <c r="E928" s="32" t="n">
        <f aca="false">SUMIF('Libro Diario'!$C$5:$C$504,A928,'Libro Diario'!$G$5:$G$504)</f>
        <v>0</v>
      </c>
      <c r="F928" s="32" t="n">
        <f aca="false">IF(D928&gt;=E928,D928-E928,0)</f>
        <v>0</v>
      </c>
      <c r="G928" s="32" t="n">
        <f aca="false">IF(E928&gt;D928,E928-D928,0)</f>
        <v>0</v>
      </c>
    </row>
    <row r="929" customFormat="false" ht="15" hidden="false" customHeight="true" outlineLevel="0" collapsed="false">
      <c r="A929" s="30" t="s">
        <v>1317</v>
      </c>
      <c r="B929" s="31" t="s">
        <v>158</v>
      </c>
      <c r="C929" s="30" t="s">
        <v>1121</v>
      </c>
      <c r="D929" s="32" t="n">
        <f aca="false">SUMIF('Libro Diario'!$C$5:$C$504,A929,'Libro Diario'!$F$5:$F$504)</f>
        <v>0</v>
      </c>
      <c r="E929" s="32" t="n">
        <f aca="false">SUMIF('Libro Diario'!$C$5:$C$504,A929,'Libro Diario'!$G$5:$G$504)</f>
        <v>0</v>
      </c>
      <c r="F929" s="32" t="n">
        <f aca="false">IF(D929&gt;=E929,D929-E929,0)</f>
        <v>0</v>
      </c>
      <c r="G929" s="32" t="n">
        <f aca="false">IF(E929&gt;D929,E929-D929,0)</f>
        <v>0</v>
      </c>
    </row>
    <row r="930" customFormat="false" ht="15" hidden="false" customHeight="true" outlineLevel="0" collapsed="false">
      <c r="A930" s="30" t="s">
        <v>1318</v>
      </c>
      <c r="B930" s="31" t="s">
        <v>160</v>
      </c>
      <c r="C930" s="30" t="s">
        <v>1121</v>
      </c>
      <c r="D930" s="32" t="n">
        <f aca="false">SUMIF('Libro Diario'!$C$5:$C$504,A930,'Libro Diario'!$F$5:$F$504)</f>
        <v>0</v>
      </c>
      <c r="E930" s="32" t="n">
        <f aca="false">SUMIF('Libro Diario'!$C$5:$C$504,A930,'Libro Diario'!$G$5:$G$504)</f>
        <v>0</v>
      </c>
      <c r="F930" s="32" t="n">
        <f aca="false">IF(D930&gt;=E930,D930-E930,0)</f>
        <v>0</v>
      </c>
      <c r="G930" s="32" t="n">
        <f aca="false">IF(E930&gt;D930,E930-D930,0)</f>
        <v>0</v>
      </c>
    </row>
    <row r="931" customFormat="false" ht="15" hidden="false" customHeight="true" outlineLevel="0" collapsed="false">
      <c r="A931" s="30" t="s">
        <v>1319</v>
      </c>
      <c r="B931" s="31" t="s">
        <v>427</v>
      </c>
      <c r="C931" s="30" t="s">
        <v>1121</v>
      </c>
      <c r="D931" s="32" t="n">
        <f aca="false">SUMIF('Libro Diario'!$C$5:$C$504,A931,'Libro Diario'!$F$5:$F$504)</f>
        <v>0</v>
      </c>
      <c r="E931" s="32" t="n">
        <f aca="false">SUMIF('Libro Diario'!$C$5:$C$504,A931,'Libro Diario'!$G$5:$G$504)</f>
        <v>0</v>
      </c>
      <c r="F931" s="32" t="n">
        <f aca="false">IF(D931&gt;=E931,D931-E931,0)</f>
        <v>0</v>
      </c>
      <c r="G931" s="32" t="n">
        <f aca="false">IF(E931&gt;D931,E931-D931,0)</f>
        <v>0</v>
      </c>
    </row>
    <row r="932" customFormat="false" ht="15" hidden="false" customHeight="true" outlineLevel="0" collapsed="false">
      <c r="A932" s="30" t="s">
        <v>1320</v>
      </c>
      <c r="B932" s="31" t="s">
        <v>1321</v>
      </c>
      <c r="C932" s="30" t="s">
        <v>1121</v>
      </c>
      <c r="D932" s="32" t="n">
        <f aca="false">SUMIF('Libro Diario'!$C$5:$C$504,A932,'Libro Diario'!$F$5:$F$504)</f>
        <v>0</v>
      </c>
      <c r="E932" s="32" t="n">
        <f aca="false">SUMIF('Libro Diario'!$C$5:$C$504,A932,'Libro Diario'!$G$5:$G$504)</f>
        <v>0</v>
      </c>
      <c r="F932" s="32" t="n">
        <f aca="false">IF(D932&gt;=E932,D932-E932,0)</f>
        <v>0</v>
      </c>
      <c r="G932" s="32" t="n">
        <f aca="false">IF(E932&gt;D932,E932-D932,0)</f>
        <v>0</v>
      </c>
    </row>
    <row r="933" customFormat="false" ht="15" hidden="false" customHeight="true" outlineLevel="0" collapsed="false">
      <c r="A933" s="30" t="s">
        <v>1322</v>
      </c>
      <c r="B933" s="31" t="s">
        <v>1323</v>
      </c>
      <c r="C933" s="30" t="s">
        <v>1121</v>
      </c>
      <c r="D933" s="32" t="n">
        <f aca="false">SUMIF('Libro Diario'!$C$5:$C$504,A933,'Libro Diario'!$F$5:$F$504)</f>
        <v>0</v>
      </c>
      <c r="E933" s="32" t="n">
        <f aca="false">SUMIF('Libro Diario'!$C$5:$C$504,A933,'Libro Diario'!$G$5:$G$504)</f>
        <v>0</v>
      </c>
      <c r="F933" s="32" t="n">
        <f aca="false">IF(D933&gt;=E933,D933-E933,0)</f>
        <v>0</v>
      </c>
      <c r="G933" s="32" t="n">
        <f aca="false">IF(E933&gt;D933,E933-D933,0)</f>
        <v>0</v>
      </c>
    </row>
    <row r="934" customFormat="false" ht="15" hidden="false" customHeight="true" outlineLevel="0" collapsed="false">
      <c r="A934" s="30" t="s">
        <v>1324</v>
      </c>
      <c r="B934" s="31" t="s">
        <v>1325</v>
      </c>
      <c r="C934" s="30" t="s">
        <v>1121</v>
      </c>
      <c r="D934" s="32" t="n">
        <f aca="false">SUMIF('Libro Diario'!$C$5:$C$504,A934,'Libro Diario'!$F$5:$F$504)</f>
        <v>0</v>
      </c>
      <c r="E934" s="32" t="n">
        <f aca="false">SUMIF('Libro Diario'!$C$5:$C$504,A934,'Libro Diario'!$G$5:$G$504)</f>
        <v>0</v>
      </c>
      <c r="F934" s="32" t="n">
        <f aca="false">IF(D934&gt;=E934,D934-E934,0)</f>
        <v>0</v>
      </c>
      <c r="G934" s="32" t="n">
        <f aca="false">IF(E934&gt;D934,E934-D934,0)</f>
        <v>0</v>
      </c>
    </row>
    <row r="935" customFormat="false" ht="15" hidden="false" customHeight="true" outlineLevel="0" collapsed="false">
      <c r="A935" s="30" t="s">
        <v>1326</v>
      </c>
      <c r="B935" s="31" t="s">
        <v>407</v>
      </c>
      <c r="C935" s="30" t="s">
        <v>1121</v>
      </c>
      <c r="D935" s="32" t="n">
        <f aca="false">SUMIF('Libro Diario'!$C$5:$C$504,A935,'Libro Diario'!$F$5:$F$504)</f>
        <v>0</v>
      </c>
      <c r="E935" s="32" t="n">
        <f aca="false">SUMIF('Libro Diario'!$C$5:$C$504,A935,'Libro Diario'!$G$5:$G$504)</f>
        <v>0</v>
      </c>
      <c r="F935" s="32" t="n">
        <f aca="false">IF(D935&gt;=E935,D935-E935,0)</f>
        <v>0</v>
      </c>
      <c r="G935" s="32" t="n">
        <f aca="false">IF(E935&gt;D935,E935-D935,0)</f>
        <v>0</v>
      </c>
    </row>
    <row r="936" customFormat="false" ht="15" hidden="false" customHeight="true" outlineLevel="0" collapsed="false">
      <c r="A936" s="30" t="s">
        <v>1327</v>
      </c>
      <c r="B936" s="31" t="s">
        <v>1328</v>
      </c>
      <c r="C936" s="30" t="s">
        <v>1121</v>
      </c>
      <c r="D936" s="32" t="n">
        <f aca="false">SUMIF('Libro Diario'!$C$5:$C$504,A936,'Libro Diario'!$F$5:$F$504)</f>
        <v>0</v>
      </c>
      <c r="E936" s="32" t="n">
        <f aca="false">SUMIF('Libro Diario'!$C$5:$C$504,A936,'Libro Diario'!$G$5:$G$504)</f>
        <v>0</v>
      </c>
      <c r="F936" s="32" t="n">
        <f aca="false">IF(D936&gt;=E936,D936-E936,0)</f>
        <v>0</v>
      </c>
      <c r="G936" s="32" t="n">
        <f aca="false">IF(E936&gt;D936,E936-D936,0)</f>
        <v>0</v>
      </c>
    </row>
    <row r="937" customFormat="false" ht="15" hidden="false" customHeight="true" outlineLevel="0" collapsed="false">
      <c r="A937" s="30" t="s">
        <v>1329</v>
      </c>
      <c r="B937" s="31" t="s">
        <v>154</v>
      </c>
      <c r="C937" s="30" t="s">
        <v>1121</v>
      </c>
      <c r="D937" s="32" t="n">
        <f aca="false">SUMIF('Libro Diario'!$C$5:$C$504,A937,'Libro Diario'!$F$5:$F$504)</f>
        <v>0</v>
      </c>
      <c r="E937" s="32" t="n">
        <f aca="false">SUMIF('Libro Diario'!$C$5:$C$504,A937,'Libro Diario'!$G$5:$G$504)</f>
        <v>0</v>
      </c>
      <c r="F937" s="32" t="n">
        <f aca="false">IF(D937&gt;=E937,D937-E937,0)</f>
        <v>0</v>
      </c>
      <c r="G937" s="32" t="n">
        <f aca="false">IF(E937&gt;D937,E937-D937,0)</f>
        <v>0</v>
      </c>
    </row>
    <row r="938" customFormat="false" ht="15" hidden="false" customHeight="true" outlineLevel="0" collapsed="false">
      <c r="A938" s="30" t="s">
        <v>1330</v>
      </c>
      <c r="B938" s="31" t="s">
        <v>156</v>
      </c>
      <c r="C938" s="30" t="s">
        <v>1121</v>
      </c>
      <c r="D938" s="32" t="n">
        <f aca="false">SUMIF('Libro Diario'!$C$5:$C$504,A938,'Libro Diario'!$F$5:$F$504)</f>
        <v>0</v>
      </c>
      <c r="E938" s="32" t="n">
        <f aca="false">SUMIF('Libro Diario'!$C$5:$C$504,A938,'Libro Diario'!$G$5:$G$504)</f>
        <v>0</v>
      </c>
      <c r="F938" s="32" t="n">
        <f aca="false">IF(D938&gt;=E938,D938-E938,0)</f>
        <v>0</v>
      </c>
      <c r="G938" s="32" t="n">
        <f aca="false">IF(E938&gt;D938,E938-D938,0)</f>
        <v>0</v>
      </c>
    </row>
    <row r="939" customFormat="false" ht="15" hidden="false" customHeight="true" outlineLevel="0" collapsed="false">
      <c r="A939" s="30" t="s">
        <v>1331</v>
      </c>
      <c r="B939" s="31" t="s">
        <v>158</v>
      </c>
      <c r="C939" s="30" t="s">
        <v>1121</v>
      </c>
      <c r="D939" s="32" t="n">
        <f aca="false">SUMIF('Libro Diario'!$C$5:$C$504,A939,'Libro Diario'!$F$5:$F$504)</f>
        <v>0</v>
      </c>
      <c r="E939" s="32" t="n">
        <f aca="false">SUMIF('Libro Diario'!$C$5:$C$504,A939,'Libro Diario'!$G$5:$G$504)</f>
        <v>0</v>
      </c>
      <c r="F939" s="32" t="n">
        <f aca="false">IF(D939&gt;=E939,D939-E939,0)</f>
        <v>0</v>
      </c>
      <c r="G939" s="32" t="n">
        <f aca="false">IF(E939&gt;D939,E939-D939,0)</f>
        <v>0</v>
      </c>
    </row>
    <row r="940" customFormat="false" ht="15" hidden="false" customHeight="true" outlineLevel="0" collapsed="false">
      <c r="A940" s="30" t="s">
        <v>1332</v>
      </c>
      <c r="B940" s="31" t="s">
        <v>160</v>
      </c>
      <c r="C940" s="30" t="s">
        <v>1121</v>
      </c>
      <c r="D940" s="32" t="n">
        <f aca="false">SUMIF('Libro Diario'!$C$5:$C$504,A940,'Libro Diario'!$F$5:$F$504)</f>
        <v>0</v>
      </c>
      <c r="E940" s="32" t="n">
        <f aca="false">SUMIF('Libro Diario'!$C$5:$C$504,A940,'Libro Diario'!$G$5:$G$504)</f>
        <v>0</v>
      </c>
      <c r="F940" s="32" t="n">
        <f aca="false">IF(D940&gt;=E940,D940-E940,0)</f>
        <v>0</v>
      </c>
      <c r="G940" s="32" t="n">
        <f aca="false">IF(E940&gt;D940,E940-D940,0)</f>
        <v>0</v>
      </c>
    </row>
    <row r="941" customFormat="false" ht="15" hidden="false" customHeight="true" outlineLevel="0" collapsed="false">
      <c r="A941" s="30" t="s">
        <v>1333</v>
      </c>
      <c r="B941" s="31" t="s">
        <v>154</v>
      </c>
      <c r="C941" s="30" t="s">
        <v>1121</v>
      </c>
      <c r="D941" s="32" t="n">
        <f aca="false">SUMIF('Libro Diario'!$C$5:$C$504,A941,'Libro Diario'!$F$5:$F$504)</f>
        <v>0</v>
      </c>
      <c r="E941" s="32" t="n">
        <f aca="false">SUMIF('Libro Diario'!$C$5:$C$504,A941,'Libro Diario'!$G$5:$G$504)</f>
        <v>0</v>
      </c>
      <c r="F941" s="32" t="n">
        <f aca="false">IF(D941&gt;=E941,D941-E941,0)</f>
        <v>0</v>
      </c>
      <c r="G941" s="32" t="n">
        <f aca="false">IF(E941&gt;D941,E941-D941,0)</f>
        <v>0</v>
      </c>
    </row>
    <row r="942" customFormat="false" ht="15" hidden="false" customHeight="true" outlineLevel="0" collapsed="false">
      <c r="A942" s="30" t="s">
        <v>1334</v>
      </c>
      <c r="B942" s="31" t="s">
        <v>160</v>
      </c>
      <c r="C942" s="30" t="s">
        <v>1121</v>
      </c>
      <c r="D942" s="32" t="n">
        <f aca="false">SUMIF('Libro Diario'!$C$5:$C$504,A942,'Libro Diario'!$F$5:$F$504)</f>
        <v>0</v>
      </c>
      <c r="E942" s="32" t="n">
        <f aca="false">SUMIF('Libro Diario'!$C$5:$C$504,A942,'Libro Diario'!$G$5:$G$504)</f>
        <v>0</v>
      </c>
      <c r="F942" s="32" t="n">
        <f aca="false">IF(D942&gt;=E942,D942-E942,0)</f>
        <v>0</v>
      </c>
      <c r="G942" s="32" t="n">
        <f aca="false">IF(E942&gt;D942,E942-D942,0)</f>
        <v>0</v>
      </c>
    </row>
    <row r="943" customFormat="false" ht="15" hidden="false" customHeight="true" outlineLevel="0" collapsed="false">
      <c r="A943" s="30" t="s">
        <v>1335</v>
      </c>
      <c r="B943" s="31" t="s">
        <v>1336</v>
      </c>
      <c r="C943" s="30" t="s">
        <v>1121</v>
      </c>
      <c r="D943" s="32" t="n">
        <f aca="false">SUMIF('Libro Diario'!$C$5:$C$504,A943,'Libro Diario'!$F$5:$F$504)</f>
        <v>0</v>
      </c>
      <c r="E943" s="32" t="n">
        <f aca="false">SUMIF('Libro Diario'!$C$5:$C$504,A943,'Libro Diario'!$G$5:$G$504)</f>
        <v>0</v>
      </c>
      <c r="F943" s="32" t="n">
        <f aca="false">IF(D943&gt;=E943,D943-E943,0)</f>
        <v>0</v>
      </c>
      <c r="G943" s="32" t="n">
        <f aca="false">IF(E943&gt;D943,E943-D943,0)</f>
        <v>0</v>
      </c>
    </row>
    <row r="944" customFormat="false" ht="15" hidden="false" customHeight="true" outlineLevel="0" collapsed="false">
      <c r="A944" s="30" t="s">
        <v>1337</v>
      </c>
      <c r="B944" s="31" t="s">
        <v>948</v>
      </c>
      <c r="C944" s="30" t="s">
        <v>1121</v>
      </c>
      <c r="D944" s="32" t="n">
        <f aca="false">SUMIF('Libro Diario'!$C$5:$C$504,A944,'Libro Diario'!$F$5:$F$504)</f>
        <v>0</v>
      </c>
      <c r="E944" s="32" t="n">
        <f aca="false">SUMIF('Libro Diario'!$C$5:$C$504,A944,'Libro Diario'!$G$5:$G$504)</f>
        <v>0</v>
      </c>
      <c r="F944" s="32" t="n">
        <f aca="false">IF(D944&gt;=E944,D944-E944,0)</f>
        <v>0</v>
      </c>
      <c r="G944" s="32" t="n">
        <f aca="false">IF(E944&gt;D944,E944-D944,0)</f>
        <v>0</v>
      </c>
    </row>
    <row r="945" customFormat="false" ht="15" hidden="false" customHeight="true" outlineLevel="0" collapsed="false">
      <c r="A945" s="30" t="s">
        <v>1338</v>
      </c>
      <c r="B945" s="31" t="s">
        <v>1339</v>
      </c>
      <c r="C945" s="30" t="s">
        <v>1121</v>
      </c>
      <c r="D945" s="32" t="n">
        <f aca="false">SUMIF('Libro Diario'!$C$5:$C$504,A945,'Libro Diario'!$F$5:$F$504)</f>
        <v>0</v>
      </c>
      <c r="E945" s="32" t="n">
        <f aca="false">SUMIF('Libro Diario'!$C$5:$C$504,A945,'Libro Diario'!$G$5:$G$504)</f>
        <v>0</v>
      </c>
      <c r="F945" s="32" t="n">
        <f aca="false">IF(D945&gt;=E945,D945-E945,0)</f>
        <v>0</v>
      </c>
      <c r="G945" s="32" t="n">
        <f aca="false">IF(E945&gt;D945,E945-D945,0)</f>
        <v>0</v>
      </c>
    </row>
    <row r="946" customFormat="false" ht="15" hidden="false" customHeight="true" outlineLevel="0" collapsed="false">
      <c r="A946" s="30" t="s">
        <v>1340</v>
      </c>
      <c r="B946" s="31" t="s">
        <v>1341</v>
      </c>
      <c r="C946" s="30" t="s">
        <v>1121</v>
      </c>
      <c r="D946" s="32" t="n">
        <f aca="false">SUMIF('Libro Diario'!$C$5:$C$504,A946,'Libro Diario'!$F$5:$F$504)</f>
        <v>0</v>
      </c>
      <c r="E946" s="32" t="n">
        <f aca="false">SUMIF('Libro Diario'!$C$5:$C$504,A946,'Libro Diario'!$G$5:$G$504)</f>
        <v>0</v>
      </c>
      <c r="F946" s="32" t="n">
        <f aca="false">IF(D946&gt;=E946,D946-E946,0)</f>
        <v>0</v>
      </c>
      <c r="G946" s="32" t="n">
        <f aca="false">IF(E946&gt;D946,E946-D946,0)</f>
        <v>0</v>
      </c>
    </row>
    <row r="947" customFormat="false" ht="15" hidden="false" customHeight="true" outlineLevel="0" collapsed="false">
      <c r="A947" s="30" t="s">
        <v>1342</v>
      </c>
      <c r="B947" s="31" t="s">
        <v>1343</v>
      </c>
      <c r="C947" s="30" t="s">
        <v>1121</v>
      </c>
      <c r="D947" s="32" t="n">
        <f aca="false">SUMIF('Libro Diario'!$C$5:$C$504,A947,'Libro Diario'!$F$5:$F$504)</f>
        <v>0</v>
      </c>
      <c r="E947" s="32" t="n">
        <f aca="false">SUMIF('Libro Diario'!$C$5:$C$504,A947,'Libro Diario'!$G$5:$G$504)</f>
        <v>0</v>
      </c>
      <c r="F947" s="32" t="n">
        <f aca="false">IF(D947&gt;=E947,D947-E947,0)</f>
        <v>0</v>
      </c>
      <c r="G947" s="32" t="n">
        <f aca="false">IF(E947&gt;D947,E947-D947,0)</f>
        <v>0</v>
      </c>
    </row>
    <row r="948" customFormat="false" ht="15" hidden="false" customHeight="true" outlineLevel="0" collapsed="false">
      <c r="A948" s="30" t="s">
        <v>1344</v>
      </c>
      <c r="B948" s="31" t="s">
        <v>944</v>
      </c>
      <c r="C948" s="30" t="s">
        <v>1121</v>
      </c>
      <c r="D948" s="32" t="n">
        <f aca="false">SUMIF('Libro Diario'!$C$5:$C$504,A948,'Libro Diario'!$F$5:$F$504)</f>
        <v>0</v>
      </c>
      <c r="E948" s="32" t="n">
        <f aca="false">SUMIF('Libro Diario'!$C$5:$C$504,A948,'Libro Diario'!$G$5:$G$504)</f>
        <v>0</v>
      </c>
      <c r="F948" s="32" t="n">
        <f aca="false">IF(D948&gt;=E948,D948-E948,0)</f>
        <v>0</v>
      </c>
      <c r="G948" s="32" t="n">
        <f aca="false">IF(E948&gt;D948,E948-D948,0)</f>
        <v>0</v>
      </c>
    </row>
    <row r="949" customFormat="false" ht="15" hidden="false" customHeight="true" outlineLevel="0" collapsed="false">
      <c r="A949" s="30" t="s">
        <v>1345</v>
      </c>
      <c r="B949" s="31" t="s">
        <v>946</v>
      </c>
      <c r="C949" s="30" t="s">
        <v>1121</v>
      </c>
      <c r="D949" s="32" t="n">
        <f aca="false">SUMIF('Libro Diario'!$C$5:$C$504,A949,'Libro Diario'!$F$5:$F$504)</f>
        <v>0</v>
      </c>
      <c r="E949" s="32" t="n">
        <f aca="false">SUMIF('Libro Diario'!$C$5:$C$504,A949,'Libro Diario'!$G$5:$G$504)</f>
        <v>0</v>
      </c>
      <c r="F949" s="32" t="n">
        <f aca="false">IF(D949&gt;=E949,D949-E949,0)</f>
        <v>0</v>
      </c>
      <c r="G949" s="32" t="n">
        <f aca="false">IF(E949&gt;D949,E949-D949,0)</f>
        <v>0</v>
      </c>
    </row>
    <row r="950" customFormat="false" ht="15" hidden="false" customHeight="true" outlineLevel="0" collapsed="false">
      <c r="A950" s="30" t="s">
        <v>1346</v>
      </c>
      <c r="B950" s="31" t="s">
        <v>948</v>
      </c>
      <c r="C950" s="30" t="s">
        <v>1121</v>
      </c>
      <c r="D950" s="32" t="n">
        <f aca="false">SUMIF('Libro Diario'!$C$5:$C$504,A950,'Libro Diario'!$F$5:$F$504)</f>
        <v>0</v>
      </c>
      <c r="E950" s="32" t="n">
        <f aca="false">SUMIF('Libro Diario'!$C$5:$C$504,A950,'Libro Diario'!$G$5:$G$504)</f>
        <v>0</v>
      </c>
      <c r="F950" s="32" t="n">
        <f aca="false">IF(D950&gt;=E950,D950-E950,0)</f>
        <v>0</v>
      </c>
      <c r="G950" s="32" t="n">
        <f aca="false">IF(E950&gt;D950,E950-D950,0)</f>
        <v>0</v>
      </c>
    </row>
    <row r="951" customFormat="false" ht="15" hidden="false" customHeight="true" outlineLevel="0" collapsed="false">
      <c r="A951" s="30" t="s">
        <v>1347</v>
      </c>
      <c r="B951" s="31" t="s">
        <v>1348</v>
      </c>
      <c r="C951" s="30" t="s">
        <v>1121</v>
      </c>
      <c r="D951" s="32" t="n">
        <f aca="false">SUMIF('Libro Diario'!$C$5:$C$504,A951,'Libro Diario'!$F$5:$F$504)</f>
        <v>0</v>
      </c>
      <c r="E951" s="32" t="n">
        <f aca="false">SUMIF('Libro Diario'!$C$5:$C$504,A951,'Libro Diario'!$G$5:$G$504)</f>
        <v>0</v>
      </c>
      <c r="F951" s="32" t="n">
        <f aca="false">IF(D951&gt;=E951,D951-E951,0)</f>
        <v>0</v>
      </c>
      <c r="G951" s="32" t="n">
        <f aca="false">IF(E951&gt;D951,E951-D951,0)</f>
        <v>0</v>
      </c>
    </row>
    <row r="952" customFormat="false" ht="15" hidden="false" customHeight="true" outlineLevel="0" collapsed="false">
      <c r="A952" s="30" t="s">
        <v>1349</v>
      </c>
      <c r="B952" s="31" t="s">
        <v>1341</v>
      </c>
      <c r="C952" s="30" t="s">
        <v>1121</v>
      </c>
      <c r="D952" s="32" t="n">
        <f aca="false">SUMIF('Libro Diario'!$C$5:$C$504,A952,'Libro Diario'!$F$5:$F$504)</f>
        <v>0</v>
      </c>
      <c r="E952" s="32" t="n">
        <f aca="false">SUMIF('Libro Diario'!$C$5:$C$504,A952,'Libro Diario'!$G$5:$G$504)</f>
        <v>0</v>
      </c>
      <c r="F952" s="32" t="n">
        <f aca="false">IF(D952&gt;=E952,D952-E952,0)</f>
        <v>0</v>
      </c>
      <c r="G952" s="32" t="n">
        <f aca="false">IF(E952&gt;D952,E952-D952,0)</f>
        <v>0</v>
      </c>
    </row>
    <row r="953" customFormat="false" ht="15" hidden="false" customHeight="true" outlineLevel="0" collapsed="false">
      <c r="A953" s="30" t="s">
        <v>1350</v>
      </c>
      <c r="B953" s="31" t="s">
        <v>1351</v>
      </c>
      <c r="C953" s="30" t="s">
        <v>1121</v>
      </c>
      <c r="D953" s="32" t="n">
        <f aca="false">SUMIF('Libro Diario'!$C$5:$C$504,A953,'Libro Diario'!$F$5:$F$504)</f>
        <v>0</v>
      </c>
      <c r="E953" s="32" t="n">
        <f aca="false">SUMIF('Libro Diario'!$C$5:$C$504,A953,'Libro Diario'!$G$5:$G$504)</f>
        <v>0</v>
      </c>
      <c r="F953" s="32" t="n">
        <f aca="false">IF(D953&gt;=E953,D953-E953,0)</f>
        <v>0</v>
      </c>
      <c r="G953" s="32" t="n">
        <f aca="false">IF(E953&gt;D953,E953-D953,0)</f>
        <v>0</v>
      </c>
    </row>
    <row r="954" customFormat="false" ht="15" hidden="false" customHeight="true" outlineLevel="0" collapsed="false">
      <c r="A954" s="30" t="s">
        <v>1352</v>
      </c>
      <c r="B954" s="31" t="s">
        <v>1353</v>
      </c>
      <c r="C954" s="30" t="s">
        <v>1121</v>
      </c>
      <c r="D954" s="32" t="n">
        <f aca="false">SUMIF('Libro Diario'!$C$5:$C$504,A954,'Libro Diario'!$F$5:$F$504)</f>
        <v>0</v>
      </c>
      <c r="E954" s="32" t="n">
        <f aca="false">SUMIF('Libro Diario'!$C$5:$C$504,A954,'Libro Diario'!$G$5:$G$504)</f>
        <v>0</v>
      </c>
      <c r="F954" s="32" t="n">
        <f aca="false">IF(D954&gt;=E954,D954-E954,0)</f>
        <v>0</v>
      </c>
      <c r="G954" s="32" t="n">
        <f aca="false">IF(E954&gt;D954,E954-D954,0)</f>
        <v>0</v>
      </c>
    </row>
    <row r="955" customFormat="false" ht="15" hidden="false" customHeight="true" outlineLevel="0" collapsed="false">
      <c r="A955" s="30" t="s">
        <v>1354</v>
      </c>
      <c r="B955" s="31" t="s">
        <v>1355</v>
      </c>
      <c r="C955" s="30" t="s">
        <v>1121</v>
      </c>
      <c r="D955" s="32" t="n">
        <f aca="false">SUMIF('Libro Diario'!$C$5:$C$504,A955,'Libro Diario'!$F$5:$F$504)</f>
        <v>0</v>
      </c>
      <c r="E955" s="32" t="n">
        <f aca="false">SUMIF('Libro Diario'!$C$5:$C$504,A955,'Libro Diario'!$G$5:$G$504)</f>
        <v>0</v>
      </c>
      <c r="F955" s="32" t="n">
        <f aca="false">IF(D955&gt;=E955,D955-E955,0)</f>
        <v>0</v>
      </c>
      <c r="G955" s="32" t="n">
        <f aca="false">IF(E955&gt;D955,E955-D955,0)</f>
        <v>0</v>
      </c>
    </row>
    <row r="956" customFormat="false" ht="15" hidden="false" customHeight="true" outlineLevel="0" collapsed="false">
      <c r="A956" s="30" t="s">
        <v>1356</v>
      </c>
      <c r="B956" s="31" t="s">
        <v>1357</v>
      </c>
      <c r="C956" s="30" t="s">
        <v>1121</v>
      </c>
      <c r="D956" s="32" t="n">
        <f aca="false">SUMIF('Libro Diario'!$C$5:$C$504,A956,'Libro Diario'!$F$5:$F$504)</f>
        <v>0</v>
      </c>
      <c r="E956" s="32" t="n">
        <f aca="false">SUMIF('Libro Diario'!$C$5:$C$504,A956,'Libro Diario'!$G$5:$G$504)</f>
        <v>0</v>
      </c>
      <c r="F956" s="32" t="n">
        <f aca="false">IF(D956&gt;=E956,D956-E956,0)</f>
        <v>0</v>
      </c>
      <c r="G956" s="32" t="n">
        <f aca="false">IF(E956&gt;D956,E956-D956,0)</f>
        <v>0</v>
      </c>
    </row>
    <row r="957" customFormat="false" ht="15" hidden="false" customHeight="true" outlineLevel="0" collapsed="false">
      <c r="A957" s="30" t="s">
        <v>1358</v>
      </c>
      <c r="B957" s="31" t="s">
        <v>1359</v>
      </c>
      <c r="C957" s="30" t="s">
        <v>1121</v>
      </c>
      <c r="D957" s="32" t="n">
        <f aca="false">SUMIF('Libro Diario'!$C$5:$C$504,A957,'Libro Diario'!$F$5:$F$504)</f>
        <v>0</v>
      </c>
      <c r="E957" s="32" t="n">
        <f aca="false">SUMIF('Libro Diario'!$C$5:$C$504,A957,'Libro Diario'!$G$5:$G$504)</f>
        <v>0</v>
      </c>
      <c r="F957" s="32" t="n">
        <f aca="false">IF(D957&gt;=E957,D957-E957,0)</f>
        <v>0</v>
      </c>
      <c r="G957" s="32" t="n">
        <f aca="false">IF(E957&gt;D957,E957-D957,0)</f>
        <v>0</v>
      </c>
    </row>
    <row r="958" customFormat="false" ht="15" hidden="false" customHeight="true" outlineLevel="0" collapsed="false">
      <c r="A958" s="30" t="s">
        <v>1360</v>
      </c>
      <c r="B958" s="31" t="s">
        <v>1361</v>
      </c>
      <c r="C958" s="30" t="s">
        <v>1121</v>
      </c>
      <c r="D958" s="32" t="n">
        <f aca="false">SUMIF('Libro Diario'!$C$5:$C$504,A958,'Libro Diario'!$F$5:$F$504)</f>
        <v>0</v>
      </c>
      <c r="E958" s="32" t="n">
        <f aca="false">SUMIF('Libro Diario'!$C$5:$C$504,A958,'Libro Diario'!$G$5:$G$504)</f>
        <v>0</v>
      </c>
      <c r="F958" s="32" t="n">
        <f aca="false">IF(D958&gt;=E958,D958-E958,0)</f>
        <v>0</v>
      </c>
      <c r="G958" s="32" t="n">
        <f aca="false">IF(E958&gt;D958,E958-D958,0)</f>
        <v>0</v>
      </c>
    </row>
    <row r="959" customFormat="false" ht="15" hidden="false" customHeight="true" outlineLevel="0" collapsed="false">
      <c r="A959" s="30" t="s">
        <v>1362</v>
      </c>
      <c r="B959" s="31" t="s">
        <v>1363</v>
      </c>
      <c r="C959" s="30" t="s">
        <v>1121</v>
      </c>
      <c r="D959" s="32" t="n">
        <f aca="false">SUMIF('Libro Diario'!$C$5:$C$504,A959,'Libro Diario'!$F$5:$F$504)</f>
        <v>0</v>
      </c>
      <c r="E959" s="32" t="n">
        <f aca="false">SUMIF('Libro Diario'!$C$5:$C$504,A959,'Libro Diario'!$G$5:$G$504)</f>
        <v>0</v>
      </c>
      <c r="F959" s="32" t="n">
        <f aca="false">IF(D959&gt;=E959,D959-E959,0)</f>
        <v>0</v>
      </c>
      <c r="G959" s="32" t="n">
        <f aca="false">IF(E959&gt;D959,E959-D959,0)</f>
        <v>0</v>
      </c>
    </row>
    <row r="960" customFormat="false" ht="15" hidden="false" customHeight="true" outlineLevel="0" collapsed="false">
      <c r="A960" s="30" t="s">
        <v>1364</v>
      </c>
      <c r="B960" s="31" t="s">
        <v>736</v>
      </c>
      <c r="C960" s="30" t="s">
        <v>1121</v>
      </c>
      <c r="D960" s="32" t="n">
        <f aca="false">SUMIF('Libro Diario'!$C$5:$C$504,A960,'Libro Diario'!$F$5:$F$504)</f>
        <v>0</v>
      </c>
      <c r="E960" s="32" t="n">
        <f aca="false">SUMIF('Libro Diario'!$C$5:$C$504,A960,'Libro Diario'!$G$5:$G$504)</f>
        <v>0</v>
      </c>
      <c r="F960" s="32" t="n">
        <f aca="false">IF(D960&gt;=E960,D960-E960,0)</f>
        <v>0</v>
      </c>
      <c r="G960" s="32" t="n">
        <f aca="false">IF(E960&gt;D960,E960-D960,0)</f>
        <v>0</v>
      </c>
    </row>
    <row r="961" customFormat="false" ht="15" hidden="false" customHeight="true" outlineLevel="0" collapsed="false">
      <c r="A961" s="30" t="s">
        <v>1365</v>
      </c>
      <c r="B961" s="31" t="s">
        <v>1366</v>
      </c>
      <c r="C961" s="30" t="s">
        <v>1121</v>
      </c>
      <c r="D961" s="32" t="n">
        <f aca="false">SUMIF('Libro Diario'!$C$5:$C$504,A961,'Libro Diario'!$F$5:$F$504)</f>
        <v>0</v>
      </c>
      <c r="E961" s="32" t="n">
        <f aca="false">SUMIF('Libro Diario'!$C$5:$C$504,A961,'Libro Diario'!$G$5:$G$504)</f>
        <v>0</v>
      </c>
      <c r="F961" s="32" t="n">
        <f aca="false">IF(D961&gt;=E961,D961-E961,0)</f>
        <v>0</v>
      </c>
      <c r="G961" s="32" t="n">
        <f aca="false">IF(E961&gt;D961,E961-D961,0)</f>
        <v>0</v>
      </c>
    </row>
    <row r="962" customFormat="false" ht="15" hidden="false" customHeight="true" outlineLevel="0" collapsed="false">
      <c r="A962" s="30" t="s">
        <v>1367</v>
      </c>
      <c r="B962" s="31" t="s">
        <v>1368</v>
      </c>
      <c r="C962" s="30" t="s">
        <v>1121</v>
      </c>
      <c r="D962" s="32" t="n">
        <f aca="false">SUMIF('Libro Diario'!$C$5:$C$504,A962,'Libro Diario'!$F$5:$F$504)</f>
        <v>0</v>
      </c>
      <c r="E962" s="32" t="n">
        <f aca="false">SUMIF('Libro Diario'!$C$5:$C$504,A962,'Libro Diario'!$G$5:$G$504)</f>
        <v>0</v>
      </c>
      <c r="F962" s="32" t="n">
        <f aca="false">IF(D962&gt;=E962,D962-E962,0)</f>
        <v>0</v>
      </c>
      <c r="G962" s="32" t="n">
        <f aca="false">IF(E962&gt;D962,E962-D962,0)</f>
        <v>0</v>
      </c>
    </row>
    <row r="963" customFormat="false" ht="15" hidden="false" customHeight="true" outlineLevel="0" collapsed="false">
      <c r="A963" s="30" t="s">
        <v>1369</v>
      </c>
      <c r="B963" s="31" t="s">
        <v>1370</v>
      </c>
      <c r="C963" s="30" t="s">
        <v>1121</v>
      </c>
      <c r="D963" s="32" t="n">
        <f aca="false">SUMIF('Libro Diario'!$C$5:$C$504,A963,'Libro Diario'!$F$5:$F$504)</f>
        <v>0</v>
      </c>
      <c r="E963" s="32" t="n">
        <f aca="false">SUMIF('Libro Diario'!$C$5:$C$504,A963,'Libro Diario'!$G$5:$G$504)</f>
        <v>0</v>
      </c>
      <c r="F963" s="32" t="n">
        <f aca="false">IF(D963&gt;=E963,D963-E963,0)</f>
        <v>0</v>
      </c>
      <c r="G963" s="32" t="n">
        <f aca="false">IF(E963&gt;D963,E963-D963,0)</f>
        <v>0</v>
      </c>
    </row>
    <row r="964" customFormat="false" ht="15" hidden="false" customHeight="true" outlineLevel="0" collapsed="false">
      <c r="A964" s="30" t="s">
        <v>1371</v>
      </c>
      <c r="B964" s="31" t="s">
        <v>1372</v>
      </c>
      <c r="C964" s="30" t="s">
        <v>1121</v>
      </c>
      <c r="D964" s="32" t="n">
        <f aca="false">SUMIF('Libro Diario'!$C$5:$C$504,A964,'Libro Diario'!$F$5:$F$504)</f>
        <v>0</v>
      </c>
      <c r="E964" s="32" t="n">
        <f aca="false">SUMIF('Libro Diario'!$C$5:$C$504,A964,'Libro Diario'!$G$5:$G$504)</f>
        <v>0</v>
      </c>
      <c r="F964" s="32" t="n">
        <f aca="false">IF(D964&gt;=E964,D964-E964,0)</f>
        <v>0</v>
      </c>
      <c r="G964" s="32" t="n">
        <f aca="false">IF(E964&gt;D964,E964-D964,0)</f>
        <v>0</v>
      </c>
    </row>
    <row r="965" customFormat="false" ht="15" hidden="false" customHeight="true" outlineLevel="0" collapsed="false">
      <c r="A965" s="30" t="s">
        <v>1373</v>
      </c>
      <c r="B965" s="31" t="s">
        <v>1374</v>
      </c>
      <c r="C965" s="30" t="s">
        <v>1121</v>
      </c>
      <c r="D965" s="32" t="n">
        <f aca="false">SUMIF('Libro Diario'!$C$5:$C$504,A965,'Libro Diario'!$F$5:$F$504)</f>
        <v>0</v>
      </c>
      <c r="E965" s="32" t="n">
        <f aca="false">SUMIF('Libro Diario'!$C$5:$C$504,A965,'Libro Diario'!$G$5:$G$504)</f>
        <v>0</v>
      </c>
      <c r="F965" s="32" t="n">
        <f aca="false">IF(D965&gt;=E965,D965-E965,0)</f>
        <v>0</v>
      </c>
      <c r="G965" s="32" t="n">
        <f aca="false">IF(E965&gt;D965,E965-D965,0)</f>
        <v>0</v>
      </c>
    </row>
    <row r="966" customFormat="false" ht="15" hidden="false" customHeight="true" outlineLevel="0" collapsed="false">
      <c r="A966" s="30" t="s">
        <v>1375</v>
      </c>
      <c r="B966" s="31" t="s">
        <v>66</v>
      </c>
      <c r="C966" s="30" t="s">
        <v>1121</v>
      </c>
      <c r="D966" s="32" t="n">
        <f aca="false">SUMIF('Libro Diario'!$C$5:$C$504,A966,'Libro Diario'!$F$5:$F$504)</f>
        <v>0</v>
      </c>
      <c r="E966" s="32" t="n">
        <f aca="false">SUMIF('Libro Diario'!$C$5:$C$504,A966,'Libro Diario'!$G$5:$G$504)</f>
        <v>0</v>
      </c>
      <c r="F966" s="32" t="n">
        <f aca="false">IF(D966&gt;=E966,D966-E966,0)</f>
        <v>0</v>
      </c>
      <c r="G966" s="32" t="n">
        <f aca="false">IF(E966&gt;D966,E966-D966,0)</f>
        <v>0</v>
      </c>
    </row>
    <row r="967" customFormat="false" ht="15" hidden="false" customHeight="true" outlineLevel="0" collapsed="false">
      <c r="A967" s="30" t="s">
        <v>1376</v>
      </c>
      <c r="B967" s="31" t="s">
        <v>280</v>
      </c>
      <c r="C967" s="30" t="s">
        <v>1121</v>
      </c>
      <c r="D967" s="32" t="n">
        <f aca="false">SUMIF('Libro Diario'!$C$5:$C$504,A967,'Libro Diario'!$F$5:$F$504)</f>
        <v>0</v>
      </c>
      <c r="E967" s="32" t="n">
        <f aca="false">SUMIF('Libro Diario'!$C$5:$C$504,A967,'Libro Diario'!$G$5:$G$504)</f>
        <v>0</v>
      </c>
      <c r="F967" s="32" t="n">
        <f aca="false">IF(D967&gt;=E967,D967-E967,0)</f>
        <v>0</v>
      </c>
      <c r="G967" s="32" t="n">
        <f aca="false">IF(E967&gt;D967,E967-D967,0)</f>
        <v>0</v>
      </c>
    </row>
    <row r="968" customFormat="false" ht="15" hidden="false" customHeight="true" outlineLevel="0" collapsed="false">
      <c r="A968" s="30" t="s">
        <v>1377</v>
      </c>
      <c r="B968" s="31" t="s">
        <v>250</v>
      </c>
      <c r="C968" s="30" t="s">
        <v>1121</v>
      </c>
      <c r="D968" s="32" t="n">
        <f aca="false">SUMIF('Libro Diario'!$C$5:$C$504,A968,'Libro Diario'!$F$5:$F$504)</f>
        <v>0</v>
      </c>
      <c r="E968" s="32" t="n">
        <f aca="false">SUMIF('Libro Diario'!$C$5:$C$504,A968,'Libro Diario'!$G$5:$G$504)</f>
        <v>0</v>
      </c>
      <c r="F968" s="32" t="n">
        <f aca="false">IF(D968&gt;=E968,D968-E968,0)</f>
        <v>0</v>
      </c>
      <c r="G968" s="32" t="n">
        <f aca="false">IF(E968&gt;D968,E968-D968,0)</f>
        <v>0</v>
      </c>
    </row>
    <row r="969" customFormat="false" ht="15" hidden="false" customHeight="true" outlineLevel="0" collapsed="false">
      <c r="A969" s="30" t="s">
        <v>1378</v>
      </c>
      <c r="B969" s="31" t="s">
        <v>66</v>
      </c>
      <c r="C969" s="30" t="s">
        <v>1121</v>
      </c>
      <c r="D969" s="32" t="n">
        <f aca="false">SUMIF('Libro Diario'!$C$5:$C$504,A969,'Libro Diario'!$F$5:$F$504)</f>
        <v>0</v>
      </c>
      <c r="E969" s="32" t="n">
        <f aca="false">SUMIF('Libro Diario'!$C$5:$C$504,A969,'Libro Diario'!$G$5:$G$504)</f>
        <v>0</v>
      </c>
      <c r="F969" s="32" t="n">
        <f aca="false">IF(D969&gt;=E969,D969-E969,0)</f>
        <v>0</v>
      </c>
      <c r="G969" s="32" t="n">
        <f aca="false">IF(E969&gt;D969,E969-D969,0)</f>
        <v>0</v>
      </c>
    </row>
    <row r="970" customFormat="false" ht="15" hidden="false" customHeight="true" outlineLevel="0" collapsed="false">
      <c r="A970" s="30" t="s">
        <v>1379</v>
      </c>
      <c r="B970" s="31" t="s">
        <v>280</v>
      </c>
      <c r="C970" s="30" t="s">
        <v>1121</v>
      </c>
      <c r="D970" s="32" t="n">
        <f aca="false">SUMIF('Libro Diario'!$C$5:$C$504,A970,'Libro Diario'!$F$5:$F$504)</f>
        <v>0</v>
      </c>
      <c r="E970" s="32" t="n">
        <f aca="false">SUMIF('Libro Diario'!$C$5:$C$504,A970,'Libro Diario'!$G$5:$G$504)</f>
        <v>0</v>
      </c>
      <c r="F970" s="32" t="n">
        <f aca="false">IF(D970&gt;=E970,D970-E970,0)</f>
        <v>0</v>
      </c>
      <c r="G970" s="32" t="n">
        <f aca="false">IF(E970&gt;D970,E970-D970,0)</f>
        <v>0</v>
      </c>
    </row>
    <row r="971" customFormat="false" ht="15" hidden="false" customHeight="true" outlineLevel="0" collapsed="false">
      <c r="A971" s="30" t="s">
        <v>1380</v>
      </c>
      <c r="B971" s="31" t="s">
        <v>250</v>
      </c>
      <c r="C971" s="30" t="s">
        <v>1121</v>
      </c>
      <c r="D971" s="32" t="n">
        <f aca="false">SUMIF('Libro Diario'!$C$5:$C$504,A971,'Libro Diario'!$F$5:$F$504)</f>
        <v>0</v>
      </c>
      <c r="E971" s="32" t="n">
        <f aca="false">SUMIF('Libro Diario'!$C$5:$C$504,A971,'Libro Diario'!$G$5:$G$504)</f>
        <v>0</v>
      </c>
      <c r="F971" s="32" t="n">
        <f aca="false">IF(D971&gt;=E971,D971-E971,0)</f>
        <v>0</v>
      </c>
      <c r="G971" s="32" t="n">
        <f aca="false">IF(E971&gt;D971,E971-D971,0)</f>
        <v>0</v>
      </c>
    </row>
    <row r="972" customFormat="false" ht="15" hidden="false" customHeight="true" outlineLevel="0" collapsed="false">
      <c r="A972" s="30" t="s">
        <v>1381</v>
      </c>
      <c r="B972" s="31" t="s">
        <v>66</v>
      </c>
      <c r="C972" s="30" t="s">
        <v>1121</v>
      </c>
      <c r="D972" s="32" t="n">
        <f aca="false">SUMIF('Libro Diario'!$C$5:$C$504,A972,'Libro Diario'!$F$5:$F$504)</f>
        <v>0</v>
      </c>
      <c r="E972" s="32" t="n">
        <f aca="false">SUMIF('Libro Diario'!$C$5:$C$504,A972,'Libro Diario'!$G$5:$G$504)</f>
        <v>0</v>
      </c>
      <c r="F972" s="32" t="n">
        <f aca="false">IF(D972&gt;=E972,D972-E972,0)</f>
        <v>0</v>
      </c>
      <c r="G972" s="32" t="n">
        <f aca="false">IF(E972&gt;D972,E972-D972,0)</f>
        <v>0</v>
      </c>
    </row>
    <row r="973" customFormat="false" ht="15" hidden="false" customHeight="true" outlineLevel="0" collapsed="false">
      <c r="A973" s="30" t="s">
        <v>1382</v>
      </c>
      <c r="B973" s="31" t="s">
        <v>280</v>
      </c>
      <c r="C973" s="30" t="s">
        <v>1121</v>
      </c>
      <c r="D973" s="32" t="n">
        <f aca="false">SUMIF('Libro Diario'!$C$5:$C$504,A973,'Libro Diario'!$F$5:$F$504)</f>
        <v>0</v>
      </c>
      <c r="E973" s="32" t="n">
        <f aca="false">SUMIF('Libro Diario'!$C$5:$C$504,A973,'Libro Diario'!$G$5:$G$504)</f>
        <v>0</v>
      </c>
      <c r="F973" s="32" t="n">
        <f aca="false">IF(D973&gt;=E973,D973-E973,0)</f>
        <v>0</v>
      </c>
      <c r="G973" s="32" t="n">
        <f aca="false">IF(E973&gt;D973,E973-D973,0)</f>
        <v>0</v>
      </c>
    </row>
    <row r="974" customFormat="false" ht="15" hidden="false" customHeight="true" outlineLevel="0" collapsed="false">
      <c r="A974" s="30" t="s">
        <v>1383</v>
      </c>
      <c r="B974" s="31" t="s">
        <v>250</v>
      </c>
      <c r="C974" s="30" t="s">
        <v>1121</v>
      </c>
      <c r="D974" s="32" t="n">
        <f aca="false">SUMIF('Libro Diario'!$C$5:$C$504,A974,'Libro Diario'!$F$5:$F$504)</f>
        <v>0</v>
      </c>
      <c r="E974" s="32" t="n">
        <f aca="false">SUMIF('Libro Diario'!$C$5:$C$504,A974,'Libro Diario'!$G$5:$G$504)</f>
        <v>0</v>
      </c>
      <c r="F974" s="32" t="n">
        <f aca="false">IF(D974&gt;=E974,D974-E974,0)</f>
        <v>0</v>
      </c>
      <c r="G974" s="32" t="n">
        <f aca="false">IF(E974&gt;D974,E974-D974,0)</f>
        <v>0</v>
      </c>
    </row>
    <row r="975" customFormat="false" ht="15" hidden="false" customHeight="true" outlineLevel="0" collapsed="false">
      <c r="A975" s="30" t="s">
        <v>1384</v>
      </c>
      <c r="B975" s="31" t="s">
        <v>66</v>
      </c>
      <c r="C975" s="30" t="s">
        <v>1121</v>
      </c>
      <c r="D975" s="32" t="n">
        <f aca="false">SUMIF('Libro Diario'!$C$5:$C$504,A975,'Libro Diario'!$F$5:$F$504)</f>
        <v>0</v>
      </c>
      <c r="E975" s="32" t="n">
        <f aca="false">SUMIF('Libro Diario'!$C$5:$C$504,A975,'Libro Diario'!$G$5:$G$504)</f>
        <v>0</v>
      </c>
      <c r="F975" s="32" t="n">
        <f aca="false">IF(D975&gt;=E975,D975-E975,0)</f>
        <v>0</v>
      </c>
      <c r="G975" s="32" t="n">
        <f aca="false">IF(E975&gt;D975,E975-D975,0)</f>
        <v>0</v>
      </c>
    </row>
    <row r="976" customFormat="false" ht="15" hidden="false" customHeight="true" outlineLevel="0" collapsed="false">
      <c r="A976" s="30" t="s">
        <v>1385</v>
      </c>
      <c r="B976" s="31" t="s">
        <v>280</v>
      </c>
      <c r="C976" s="30" t="s">
        <v>1121</v>
      </c>
      <c r="D976" s="32" t="n">
        <f aca="false">SUMIF('Libro Diario'!$C$5:$C$504,A976,'Libro Diario'!$F$5:$F$504)</f>
        <v>0</v>
      </c>
      <c r="E976" s="32" t="n">
        <f aca="false">SUMIF('Libro Diario'!$C$5:$C$504,A976,'Libro Diario'!$G$5:$G$504)</f>
        <v>0</v>
      </c>
      <c r="F976" s="32" t="n">
        <f aca="false">IF(D976&gt;=E976,D976-E976,0)</f>
        <v>0</v>
      </c>
      <c r="G976" s="32" t="n">
        <f aca="false">IF(E976&gt;D976,E976-D976,0)</f>
        <v>0</v>
      </c>
    </row>
    <row r="977" customFormat="false" ht="15" hidden="false" customHeight="true" outlineLevel="0" collapsed="false">
      <c r="A977" s="30" t="s">
        <v>1386</v>
      </c>
      <c r="B977" s="31" t="s">
        <v>250</v>
      </c>
      <c r="C977" s="30" t="s">
        <v>1121</v>
      </c>
      <c r="D977" s="32" t="n">
        <f aca="false">SUMIF('Libro Diario'!$C$5:$C$504,A977,'Libro Diario'!$F$5:$F$504)</f>
        <v>0</v>
      </c>
      <c r="E977" s="32" t="n">
        <f aca="false">SUMIF('Libro Diario'!$C$5:$C$504,A977,'Libro Diario'!$G$5:$G$504)</f>
        <v>0</v>
      </c>
      <c r="F977" s="32" t="n">
        <f aca="false">IF(D977&gt;=E977,D977-E977,0)</f>
        <v>0</v>
      </c>
      <c r="G977" s="32" t="n">
        <f aca="false">IF(E977&gt;D977,E977-D977,0)</f>
        <v>0</v>
      </c>
    </row>
    <row r="978" customFormat="false" ht="15" hidden="false" customHeight="true" outlineLevel="0" collapsed="false">
      <c r="A978" s="30" t="s">
        <v>1387</v>
      </c>
      <c r="B978" s="31" t="s">
        <v>66</v>
      </c>
      <c r="C978" s="30" t="s">
        <v>1121</v>
      </c>
      <c r="D978" s="32" t="n">
        <f aca="false">SUMIF('Libro Diario'!$C$5:$C$504,A978,'Libro Diario'!$F$5:$F$504)</f>
        <v>0</v>
      </c>
      <c r="E978" s="32" t="n">
        <f aca="false">SUMIF('Libro Diario'!$C$5:$C$504,A978,'Libro Diario'!$G$5:$G$504)</f>
        <v>0</v>
      </c>
      <c r="F978" s="32" t="n">
        <f aca="false">IF(D978&gt;=E978,D978-E978,0)</f>
        <v>0</v>
      </c>
      <c r="G978" s="32" t="n">
        <f aca="false">IF(E978&gt;D978,E978-D978,0)</f>
        <v>0</v>
      </c>
    </row>
    <row r="979" customFormat="false" ht="15" hidden="false" customHeight="true" outlineLevel="0" collapsed="false">
      <c r="A979" s="30" t="s">
        <v>1388</v>
      </c>
      <c r="B979" s="31" t="s">
        <v>280</v>
      </c>
      <c r="C979" s="30" t="s">
        <v>1121</v>
      </c>
      <c r="D979" s="32" t="n">
        <f aca="false">SUMIF('Libro Diario'!$C$5:$C$504,A979,'Libro Diario'!$F$5:$F$504)</f>
        <v>0</v>
      </c>
      <c r="E979" s="32" t="n">
        <f aca="false">SUMIF('Libro Diario'!$C$5:$C$504,A979,'Libro Diario'!$G$5:$G$504)</f>
        <v>0</v>
      </c>
      <c r="F979" s="32" t="n">
        <f aca="false">IF(D979&gt;=E979,D979-E979,0)</f>
        <v>0</v>
      </c>
      <c r="G979" s="32" t="n">
        <f aca="false">IF(E979&gt;D979,E979-D979,0)</f>
        <v>0</v>
      </c>
    </row>
    <row r="980" customFormat="false" ht="15" hidden="false" customHeight="true" outlineLevel="0" collapsed="false">
      <c r="A980" s="30" t="s">
        <v>1389</v>
      </c>
      <c r="B980" s="31" t="s">
        <v>66</v>
      </c>
      <c r="C980" s="30" t="s">
        <v>1121</v>
      </c>
      <c r="D980" s="32" t="n">
        <f aca="false">SUMIF('Libro Diario'!$C$5:$C$504,A980,'Libro Diario'!$F$5:$F$504)</f>
        <v>0</v>
      </c>
      <c r="E980" s="32" t="n">
        <f aca="false">SUMIF('Libro Diario'!$C$5:$C$504,A980,'Libro Diario'!$G$5:$G$504)</f>
        <v>0</v>
      </c>
      <c r="F980" s="32" t="n">
        <f aca="false">IF(D980&gt;=E980,D980-E980,0)</f>
        <v>0</v>
      </c>
      <c r="G980" s="32" t="n">
        <f aca="false">IF(E980&gt;D980,E980-D980,0)</f>
        <v>0</v>
      </c>
    </row>
    <row r="981" customFormat="false" ht="15" hidden="false" customHeight="true" outlineLevel="0" collapsed="false">
      <c r="A981" s="30" t="s">
        <v>1390</v>
      </c>
      <c r="B981" s="31" t="s">
        <v>280</v>
      </c>
      <c r="C981" s="30" t="s">
        <v>1121</v>
      </c>
      <c r="D981" s="32" t="n">
        <f aca="false">SUMIF('Libro Diario'!$C$5:$C$504,A981,'Libro Diario'!$F$5:$F$504)</f>
        <v>0</v>
      </c>
      <c r="E981" s="32" t="n">
        <f aca="false">SUMIF('Libro Diario'!$C$5:$C$504,A981,'Libro Diario'!$G$5:$G$504)</f>
        <v>0</v>
      </c>
      <c r="F981" s="32" t="n">
        <f aca="false">IF(D981&gt;=E981,D981-E981,0)</f>
        <v>0</v>
      </c>
      <c r="G981" s="32" t="n">
        <f aca="false">IF(E981&gt;D981,E981-D981,0)</f>
        <v>0</v>
      </c>
    </row>
    <row r="982" customFormat="false" ht="15" hidden="false" customHeight="true" outlineLevel="0" collapsed="false">
      <c r="A982" s="30" t="s">
        <v>1391</v>
      </c>
      <c r="B982" s="31" t="s">
        <v>66</v>
      </c>
      <c r="C982" s="30" t="s">
        <v>1121</v>
      </c>
      <c r="D982" s="32" t="n">
        <f aca="false">SUMIF('Libro Diario'!$C$5:$C$504,A982,'Libro Diario'!$F$5:$F$504)</f>
        <v>0</v>
      </c>
      <c r="E982" s="32" t="n">
        <f aca="false">SUMIF('Libro Diario'!$C$5:$C$504,A982,'Libro Diario'!$G$5:$G$504)</f>
        <v>0</v>
      </c>
      <c r="F982" s="32" t="n">
        <f aca="false">IF(D982&gt;=E982,D982-E982,0)</f>
        <v>0</v>
      </c>
      <c r="G982" s="32" t="n">
        <f aca="false">IF(E982&gt;D982,E982-D982,0)</f>
        <v>0</v>
      </c>
    </row>
    <row r="983" customFormat="false" ht="15" hidden="false" customHeight="true" outlineLevel="0" collapsed="false">
      <c r="A983" s="30" t="s">
        <v>1392</v>
      </c>
      <c r="B983" s="31" t="s">
        <v>280</v>
      </c>
      <c r="C983" s="30" t="s">
        <v>1121</v>
      </c>
      <c r="D983" s="32" t="n">
        <f aca="false">SUMIF('Libro Diario'!$C$5:$C$504,A983,'Libro Diario'!$F$5:$F$504)</f>
        <v>0</v>
      </c>
      <c r="E983" s="32" t="n">
        <f aca="false">SUMIF('Libro Diario'!$C$5:$C$504,A983,'Libro Diario'!$G$5:$G$504)</f>
        <v>0</v>
      </c>
      <c r="F983" s="32" t="n">
        <f aca="false">IF(D983&gt;=E983,D983-E983,0)</f>
        <v>0</v>
      </c>
      <c r="G983" s="32" t="n">
        <f aca="false">IF(E983&gt;D983,E983-D983,0)</f>
        <v>0</v>
      </c>
    </row>
    <row r="984" customFormat="false" ht="15" hidden="false" customHeight="true" outlineLevel="0" collapsed="false">
      <c r="A984" s="30" t="s">
        <v>1393</v>
      </c>
      <c r="B984" s="31" t="s">
        <v>66</v>
      </c>
      <c r="C984" s="30" t="s">
        <v>1121</v>
      </c>
      <c r="D984" s="32" t="n">
        <f aca="false">SUMIF('Libro Diario'!$C$5:$C$504,A984,'Libro Diario'!$F$5:$F$504)</f>
        <v>0</v>
      </c>
      <c r="E984" s="32" t="n">
        <f aca="false">SUMIF('Libro Diario'!$C$5:$C$504,A984,'Libro Diario'!$G$5:$G$504)</f>
        <v>0</v>
      </c>
      <c r="F984" s="32" t="n">
        <f aca="false">IF(D984&gt;=E984,D984-E984,0)</f>
        <v>0</v>
      </c>
      <c r="G984" s="32" t="n">
        <f aca="false">IF(E984&gt;D984,E984-D984,0)</f>
        <v>0</v>
      </c>
    </row>
    <row r="985" customFormat="false" ht="15" hidden="false" customHeight="true" outlineLevel="0" collapsed="false">
      <c r="A985" s="30" t="s">
        <v>1394</v>
      </c>
      <c r="B985" s="31" t="s">
        <v>280</v>
      </c>
      <c r="C985" s="30" t="s">
        <v>1121</v>
      </c>
      <c r="D985" s="32" t="n">
        <f aca="false">SUMIF('Libro Diario'!$C$5:$C$504,A985,'Libro Diario'!$F$5:$F$504)</f>
        <v>0</v>
      </c>
      <c r="E985" s="32" t="n">
        <f aca="false">SUMIF('Libro Diario'!$C$5:$C$504,A985,'Libro Diario'!$G$5:$G$504)</f>
        <v>0</v>
      </c>
      <c r="F985" s="32" t="n">
        <f aca="false">IF(D985&gt;=E985,D985-E985,0)</f>
        <v>0</v>
      </c>
      <c r="G985" s="32" t="n">
        <f aca="false">IF(E985&gt;D985,E985-D985,0)</f>
        <v>0</v>
      </c>
    </row>
    <row r="986" customFormat="false" ht="15" hidden="false" customHeight="true" outlineLevel="0" collapsed="false">
      <c r="A986" s="30" t="s">
        <v>1395</v>
      </c>
      <c r="B986" s="31" t="s">
        <v>66</v>
      </c>
      <c r="C986" s="30" t="s">
        <v>1121</v>
      </c>
      <c r="D986" s="32" t="n">
        <f aca="false">SUMIF('Libro Diario'!$C$5:$C$504,A986,'Libro Diario'!$F$5:$F$504)</f>
        <v>0</v>
      </c>
      <c r="E986" s="32" t="n">
        <f aca="false">SUMIF('Libro Diario'!$C$5:$C$504,A986,'Libro Diario'!$G$5:$G$504)</f>
        <v>0</v>
      </c>
      <c r="F986" s="32" t="n">
        <f aca="false">IF(D986&gt;=E986,D986-E986,0)</f>
        <v>0</v>
      </c>
      <c r="G986" s="32" t="n">
        <f aca="false">IF(E986&gt;D986,E986-D986,0)</f>
        <v>0</v>
      </c>
    </row>
    <row r="987" customFormat="false" ht="15" hidden="false" customHeight="true" outlineLevel="0" collapsed="false">
      <c r="A987" s="30" t="s">
        <v>1396</v>
      </c>
      <c r="B987" s="31" t="s">
        <v>280</v>
      </c>
      <c r="C987" s="30" t="s">
        <v>1121</v>
      </c>
      <c r="D987" s="32" t="n">
        <f aca="false">SUMIF('Libro Diario'!$C$5:$C$504,A987,'Libro Diario'!$F$5:$F$504)</f>
        <v>0</v>
      </c>
      <c r="E987" s="32" t="n">
        <f aca="false">SUMIF('Libro Diario'!$C$5:$C$504,A987,'Libro Diario'!$G$5:$G$504)</f>
        <v>0</v>
      </c>
      <c r="F987" s="32" t="n">
        <f aca="false">IF(D987&gt;=E987,D987-E987,0)</f>
        <v>0</v>
      </c>
      <c r="G987" s="32" t="n">
        <f aca="false">IF(E987&gt;D987,E987-D987,0)</f>
        <v>0</v>
      </c>
    </row>
    <row r="988" customFormat="false" ht="15" hidden="false" customHeight="true" outlineLevel="0" collapsed="false">
      <c r="A988" s="30" t="s">
        <v>1397</v>
      </c>
      <c r="B988" s="31" t="s">
        <v>387</v>
      </c>
      <c r="C988" s="30" t="s">
        <v>1121</v>
      </c>
      <c r="D988" s="32" t="n">
        <f aca="false">SUMIF('Libro Diario'!$C$5:$C$504,A988,'Libro Diario'!$F$5:$F$504)</f>
        <v>0</v>
      </c>
      <c r="E988" s="32" t="n">
        <f aca="false">SUMIF('Libro Diario'!$C$5:$C$504,A988,'Libro Diario'!$G$5:$G$504)</f>
        <v>0</v>
      </c>
      <c r="F988" s="32" t="n">
        <f aca="false">IF(D988&gt;=E988,D988-E988,0)</f>
        <v>0</v>
      </c>
      <c r="G988" s="32" t="n">
        <f aca="false">IF(E988&gt;D988,E988-D988,0)</f>
        <v>0</v>
      </c>
    </row>
    <row r="989" customFormat="false" ht="15" hidden="false" customHeight="true" outlineLevel="0" collapsed="false">
      <c r="A989" s="30" t="s">
        <v>1398</v>
      </c>
      <c r="B989" s="31" t="s">
        <v>66</v>
      </c>
      <c r="C989" s="30" t="s">
        <v>1121</v>
      </c>
      <c r="D989" s="32" t="n">
        <f aca="false">SUMIF('Libro Diario'!$C$5:$C$504,A989,'Libro Diario'!$F$5:$F$504)</f>
        <v>0</v>
      </c>
      <c r="E989" s="32" t="n">
        <f aca="false">SUMIF('Libro Diario'!$C$5:$C$504,A989,'Libro Diario'!$G$5:$G$504)</f>
        <v>0</v>
      </c>
      <c r="F989" s="32" t="n">
        <f aca="false">IF(D989&gt;=E989,D989-E989,0)</f>
        <v>0</v>
      </c>
      <c r="G989" s="32" t="n">
        <f aca="false">IF(E989&gt;D989,E989-D989,0)</f>
        <v>0</v>
      </c>
    </row>
    <row r="990" customFormat="false" ht="15" hidden="false" customHeight="true" outlineLevel="0" collapsed="false">
      <c r="A990" s="30" t="s">
        <v>1399</v>
      </c>
      <c r="B990" s="31" t="s">
        <v>280</v>
      </c>
      <c r="C990" s="30" t="s">
        <v>1121</v>
      </c>
      <c r="D990" s="32" t="n">
        <f aca="false">SUMIF('Libro Diario'!$C$5:$C$504,A990,'Libro Diario'!$F$5:$F$504)</f>
        <v>0</v>
      </c>
      <c r="E990" s="32" t="n">
        <f aca="false">SUMIF('Libro Diario'!$C$5:$C$504,A990,'Libro Diario'!$G$5:$G$504)</f>
        <v>0</v>
      </c>
      <c r="F990" s="32" t="n">
        <f aca="false">IF(D990&gt;=E990,D990-E990,0)</f>
        <v>0</v>
      </c>
      <c r="G990" s="32" t="n">
        <f aca="false">IF(E990&gt;D990,E990-D990,0)</f>
        <v>0</v>
      </c>
    </row>
    <row r="991" customFormat="false" ht="15" hidden="false" customHeight="true" outlineLevel="0" collapsed="false">
      <c r="A991" s="30" t="s">
        <v>1400</v>
      </c>
      <c r="B991" s="31" t="s">
        <v>763</v>
      </c>
      <c r="C991" s="30" t="s">
        <v>1121</v>
      </c>
      <c r="D991" s="32" t="n">
        <f aca="false">SUMIF('Libro Diario'!$C$5:$C$504,A991,'Libro Diario'!$F$5:$F$504)</f>
        <v>0</v>
      </c>
      <c r="E991" s="32" t="n">
        <f aca="false">SUMIF('Libro Diario'!$C$5:$C$504,A991,'Libro Diario'!$G$5:$G$504)</f>
        <v>0</v>
      </c>
      <c r="F991" s="32" t="n">
        <f aca="false">IF(D991&gt;=E991,D991-E991,0)</f>
        <v>0</v>
      </c>
      <c r="G991" s="32" t="n">
        <f aca="false">IF(E991&gt;D991,E991-D991,0)</f>
        <v>0</v>
      </c>
    </row>
    <row r="992" customFormat="false" ht="15" hidden="false" customHeight="true" outlineLevel="0" collapsed="false">
      <c r="A992" s="30" t="s">
        <v>1401</v>
      </c>
      <c r="B992" s="31" t="s">
        <v>374</v>
      </c>
      <c r="C992" s="30" t="s">
        <v>1121</v>
      </c>
      <c r="D992" s="32" t="n">
        <f aca="false">SUMIF('Libro Diario'!$C$5:$C$504,A992,'Libro Diario'!$F$5:$F$504)</f>
        <v>0</v>
      </c>
      <c r="E992" s="32" t="n">
        <f aca="false">SUMIF('Libro Diario'!$C$5:$C$504,A992,'Libro Diario'!$G$5:$G$504)</f>
        <v>0</v>
      </c>
      <c r="F992" s="32" t="n">
        <f aca="false">IF(D992&gt;=E992,D992-E992,0)</f>
        <v>0</v>
      </c>
      <c r="G992" s="32" t="n">
        <f aca="false">IF(E992&gt;D992,E992-D992,0)</f>
        <v>0</v>
      </c>
    </row>
    <row r="993" customFormat="false" ht="15" hidden="false" customHeight="true" outlineLevel="0" collapsed="false">
      <c r="A993" s="30" t="s">
        <v>1402</v>
      </c>
      <c r="B993" s="31" t="s">
        <v>381</v>
      </c>
      <c r="C993" s="30" t="s">
        <v>1121</v>
      </c>
      <c r="D993" s="32" t="n">
        <f aca="false">SUMIF('Libro Diario'!$C$5:$C$504,A993,'Libro Diario'!$F$5:$F$504)</f>
        <v>0</v>
      </c>
      <c r="E993" s="32" t="n">
        <f aca="false">SUMIF('Libro Diario'!$C$5:$C$504,A993,'Libro Diario'!$G$5:$G$504)</f>
        <v>0</v>
      </c>
      <c r="F993" s="32" t="n">
        <f aca="false">IF(D993&gt;=E993,D993-E993,0)</f>
        <v>0</v>
      </c>
      <c r="G993" s="32" t="n">
        <f aca="false">IF(E993&gt;D993,E993-D993,0)</f>
        <v>0</v>
      </c>
    </row>
    <row r="994" customFormat="false" ht="15" hidden="false" customHeight="true" outlineLevel="0" collapsed="false">
      <c r="A994" s="30" t="s">
        <v>1403</v>
      </c>
      <c r="B994" s="31" t="s">
        <v>383</v>
      </c>
      <c r="C994" s="30" t="s">
        <v>1121</v>
      </c>
      <c r="D994" s="32" t="n">
        <f aca="false">SUMIF('Libro Diario'!$C$5:$C$504,A994,'Libro Diario'!$F$5:$F$504)</f>
        <v>0</v>
      </c>
      <c r="E994" s="32" t="n">
        <f aca="false">SUMIF('Libro Diario'!$C$5:$C$504,A994,'Libro Diario'!$G$5:$G$504)</f>
        <v>0</v>
      </c>
      <c r="F994" s="32" t="n">
        <f aca="false">IF(D994&gt;=E994,D994-E994,0)</f>
        <v>0</v>
      </c>
      <c r="G994" s="32" t="n">
        <f aca="false">IF(E994&gt;D994,E994-D994,0)</f>
        <v>0</v>
      </c>
    </row>
    <row r="995" customFormat="false" ht="15" hidden="false" customHeight="true" outlineLevel="0" collapsed="false">
      <c r="A995" s="30" t="s">
        <v>1404</v>
      </c>
      <c r="B995" s="31" t="s">
        <v>385</v>
      </c>
      <c r="C995" s="30" t="s">
        <v>1121</v>
      </c>
      <c r="D995" s="32" t="n">
        <f aca="false">SUMIF('Libro Diario'!$C$5:$C$504,A995,'Libro Diario'!$F$5:$F$504)</f>
        <v>0</v>
      </c>
      <c r="E995" s="32" t="n">
        <f aca="false">SUMIF('Libro Diario'!$C$5:$C$504,A995,'Libro Diario'!$G$5:$G$504)</f>
        <v>0</v>
      </c>
      <c r="F995" s="32" t="n">
        <f aca="false">IF(D995&gt;=E995,D995-E995,0)</f>
        <v>0</v>
      </c>
      <c r="G995" s="32" t="n">
        <f aca="false">IF(E995&gt;D995,E995-D995,0)</f>
        <v>0</v>
      </c>
    </row>
    <row r="996" customFormat="false" ht="15" hidden="false" customHeight="true" outlineLevel="0" collapsed="false">
      <c r="A996" s="30" t="s">
        <v>1405</v>
      </c>
      <c r="B996" s="31" t="s">
        <v>387</v>
      </c>
      <c r="C996" s="30" t="s">
        <v>1121</v>
      </c>
      <c r="D996" s="32" t="n">
        <f aca="false">SUMIF('Libro Diario'!$C$5:$C$504,A996,'Libro Diario'!$F$5:$F$504)</f>
        <v>0</v>
      </c>
      <c r="E996" s="32" t="n">
        <f aca="false">SUMIF('Libro Diario'!$C$5:$C$504,A996,'Libro Diario'!$G$5:$G$504)</f>
        <v>0</v>
      </c>
      <c r="F996" s="32" t="n">
        <f aca="false">IF(D996&gt;=E996,D996-E996,0)</f>
        <v>0</v>
      </c>
      <c r="G996" s="32" t="n">
        <f aca="false">IF(E996&gt;D996,E996-D996,0)</f>
        <v>0</v>
      </c>
    </row>
    <row r="997" customFormat="false" ht="15" hidden="false" customHeight="true" outlineLevel="0" collapsed="false">
      <c r="A997" s="30" t="s">
        <v>1406</v>
      </c>
      <c r="B997" s="31" t="s">
        <v>389</v>
      </c>
      <c r="C997" s="30" t="s">
        <v>1121</v>
      </c>
      <c r="D997" s="32" t="n">
        <f aca="false">SUMIF('Libro Diario'!$C$5:$C$504,A997,'Libro Diario'!$F$5:$F$504)</f>
        <v>0</v>
      </c>
      <c r="E997" s="32" t="n">
        <f aca="false">SUMIF('Libro Diario'!$C$5:$C$504,A997,'Libro Diario'!$G$5:$G$504)</f>
        <v>0</v>
      </c>
      <c r="F997" s="32" t="n">
        <f aca="false">IF(D997&gt;=E997,D997-E997,0)</f>
        <v>0</v>
      </c>
      <c r="G997" s="32" t="n">
        <f aca="false">IF(E997&gt;D997,E997-D997,0)</f>
        <v>0</v>
      </c>
    </row>
    <row r="998" customFormat="false" ht="15" hidden="false" customHeight="true" outlineLevel="0" collapsed="false">
      <c r="A998" s="30" t="s">
        <v>1407</v>
      </c>
      <c r="B998" s="31" t="s">
        <v>763</v>
      </c>
      <c r="C998" s="30" t="s">
        <v>1121</v>
      </c>
      <c r="D998" s="32" t="n">
        <f aca="false">SUMIF('Libro Diario'!$C$5:$C$504,A998,'Libro Diario'!$F$5:$F$504)</f>
        <v>0</v>
      </c>
      <c r="E998" s="32" t="n">
        <f aca="false">SUMIF('Libro Diario'!$C$5:$C$504,A998,'Libro Diario'!$G$5:$G$504)</f>
        <v>0</v>
      </c>
      <c r="F998" s="32" t="n">
        <f aca="false">IF(D998&gt;=E998,D998-E998,0)</f>
        <v>0</v>
      </c>
      <c r="G998" s="32" t="n">
        <f aca="false">IF(E998&gt;D998,E998-D998,0)</f>
        <v>0</v>
      </c>
    </row>
    <row r="999" customFormat="false" ht="15" hidden="false" customHeight="true" outlineLevel="0" collapsed="false">
      <c r="A999" s="30" t="s">
        <v>1408</v>
      </c>
      <c r="B999" s="31" t="s">
        <v>374</v>
      </c>
      <c r="C999" s="30" t="s">
        <v>1121</v>
      </c>
      <c r="D999" s="32" t="n">
        <f aca="false">SUMIF('Libro Diario'!$C$5:$C$504,A999,'Libro Diario'!$F$5:$F$504)</f>
        <v>0</v>
      </c>
      <c r="E999" s="32" t="n">
        <f aca="false">SUMIF('Libro Diario'!$C$5:$C$504,A999,'Libro Diario'!$G$5:$G$504)</f>
        <v>0</v>
      </c>
      <c r="F999" s="32" t="n">
        <f aca="false">IF(D999&gt;=E999,D999-E999,0)</f>
        <v>0</v>
      </c>
      <c r="G999" s="32" t="n">
        <f aca="false">IF(E999&gt;D999,E999-D999,0)</f>
        <v>0</v>
      </c>
    </row>
    <row r="1000" customFormat="false" ht="15" hidden="false" customHeight="true" outlineLevel="0" collapsed="false">
      <c r="A1000" s="30" t="s">
        <v>1409</v>
      </c>
      <c r="B1000" s="31" t="s">
        <v>381</v>
      </c>
      <c r="C1000" s="30" t="s">
        <v>1121</v>
      </c>
      <c r="D1000" s="32" t="n">
        <f aca="false">SUMIF('Libro Diario'!$C$5:$C$504,A1000,'Libro Diario'!$F$5:$F$504)</f>
        <v>0</v>
      </c>
      <c r="E1000" s="32" t="n">
        <f aca="false">SUMIF('Libro Diario'!$C$5:$C$504,A1000,'Libro Diario'!$G$5:$G$504)</f>
        <v>0</v>
      </c>
      <c r="F1000" s="32" t="n">
        <f aca="false">IF(D1000&gt;=E1000,D1000-E1000,0)</f>
        <v>0</v>
      </c>
      <c r="G1000" s="32" t="n">
        <f aca="false">IF(E1000&gt;D1000,E1000-D1000,0)</f>
        <v>0</v>
      </c>
    </row>
    <row r="1001" customFormat="false" ht="15" hidden="false" customHeight="true" outlineLevel="0" collapsed="false">
      <c r="A1001" s="30" t="s">
        <v>1410</v>
      </c>
      <c r="B1001" s="31" t="s">
        <v>383</v>
      </c>
      <c r="C1001" s="30" t="s">
        <v>1121</v>
      </c>
      <c r="D1001" s="32" t="n">
        <f aca="false">SUMIF('Libro Diario'!$C$5:$C$504,A1001,'Libro Diario'!$F$5:$F$504)</f>
        <v>0</v>
      </c>
      <c r="E1001" s="32" t="n">
        <f aca="false">SUMIF('Libro Diario'!$C$5:$C$504,A1001,'Libro Diario'!$G$5:$G$504)</f>
        <v>0</v>
      </c>
      <c r="F1001" s="32" t="n">
        <f aca="false">IF(D1001&gt;=E1001,D1001-E1001,0)</f>
        <v>0</v>
      </c>
      <c r="G1001" s="32" t="n">
        <f aca="false">IF(E1001&gt;D1001,E1001-D1001,0)</f>
        <v>0</v>
      </c>
    </row>
    <row r="1002" customFormat="false" ht="15" hidden="false" customHeight="true" outlineLevel="0" collapsed="false">
      <c r="A1002" s="30" t="s">
        <v>1411</v>
      </c>
      <c r="B1002" s="31" t="s">
        <v>385</v>
      </c>
      <c r="C1002" s="30" t="s">
        <v>1121</v>
      </c>
      <c r="D1002" s="32" t="n">
        <f aca="false">SUMIF('Libro Diario'!$C$5:$C$504,A1002,'Libro Diario'!$F$5:$F$504)</f>
        <v>0</v>
      </c>
      <c r="E1002" s="32" t="n">
        <f aca="false">SUMIF('Libro Diario'!$C$5:$C$504,A1002,'Libro Diario'!$G$5:$G$504)</f>
        <v>0</v>
      </c>
      <c r="F1002" s="32" t="n">
        <f aca="false">IF(D1002&gt;=E1002,D1002-E1002,0)</f>
        <v>0</v>
      </c>
      <c r="G1002" s="32" t="n">
        <f aca="false">IF(E1002&gt;D1002,E1002-D1002,0)</f>
        <v>0</v>
      </c>
    </row>
    <row r="1003" customFormat="false" ht="15" hidden="false" customHeight="true" outlineLevel="0" collapsed="false">
      <c r="A1003" s="30" t="s">
        <v>1412</v>
      </c>
      <c r="B1003" s="31" t="s">
        <v>387</v>
      </c>
      <c r="C1003" s="30" t="s">
        <v>1121</v>
      </c>
      <c r="D1003" s="32" t="n">
        <f aca="false">SUMIF('Libro Diario'!$C$5:$C$504,A1003,'Libro Diario'!$F$5:$F$504)</f>
        <v>0</v>
      </c>
      <c r="E1003" s="32" t="n">
        <f aca="false">SUMIF('Libro Diario'!$C$5:$C$504,A1003,'Libro Diario'!$G$5:$G$504)</f>
        <v>0</v>
      </c>
      <c r="F1003" s="32" t="n">
        <f aca="false">IF(D1003&gt;=E1003,D1003-E1003,0)</f>
        <v>0</v>
      </c>
      <c r="G1003" s="32" t="n">
        <f aca="false">IF(E1003&gt;D1003,E1003-D1003,0)</f>
        <v>0</v>
      </c>
    </row>
    <row r="1004" customFormat="false" ht="15" hidden="false" customHeight="true" outlineLevel="0" collapsed="false">
      <c r="A1004" s="30" t="s">
        <v>1413</v>
      </c>
      <c r="B1004" s="31" t="s">
        <v>389</v>
      </c>
      <c r="C1004" s="30" t="s">
        <v>1121</v>
      </c>
      <c r="D1004" s="32" t="n">
        <f aca="false">SUMIF('Libro Diario'!$C$5:$C$504,A1004,'Libro Diario'!$F$5:$F$504)</f>
        <v>0</v>
      </c>
      <c r="E1004" s="32" t="n">
        <f aca="false">SUMIF('Libro Diario'!$C$5:$C$504,A1004,'Libro Diario'!$G$5:$G$504)</f>
        <v>0</v>
      </c>
      <c r="F1004" s="32" t="n">
        <f aca="false">IF(D1004&gt;=E1004,D1004-E1004,0)</f>
        <v>0</v>
      </c>
      <c r="G1004" s="32" t="n">
        <f aca="false">IF(E1004&gt;D1004,E1004-D1004,0)</f>
        <v>0</v>
      </c>
    </row>
    <row r="1005" customFormat="false" ht="15" hidden="false" customHeight="true" outlineLevel="0" collapsed="false">
      <c r="A1005" s="30" t="s">
        <v>1414</v>
      </c>
      <c r="B1005" s="31" t="s">
        <v>763</v>
      </c>
      <c r="C1005" s="30" t="s">
        <v>1121</v>
      </c>
      <c r="D1005" s="32" t="n">
        <f aca="false">SUMIF('Libro Diario'!$C$5:$C$504,A1005,'Libro Diario'!$F$5:$F$504)</f>
        <v>0</v>
      </c>
      <c r="E1005" s="32" t="n">
        <f aca="false">SUMIF('Libro Diario'!$C$5:$C$504,A1005,'Libro Diario'!$G$5:$G$504)</f>
        <v>0</v>
      </c>
      <c r="F1005" s="32" t="n">
        <f aca="false">IF(D1005&gt;=E1005,D1005-E1005,0)</f>
        <v>0</v>
      </c>
      <c r="G1005" s="32" t="n">
        <f aca="false">IF(E1005&gt;D1005,E1005-D1005,0)</f>
        <v>0</v>
      </c>
    </row>
    <row r="1006" customFormat="false" ht="15" hidden="false" customHeight="true" outlineLevel="0" collapsed="false">
      <c r="A1006" s="30" t="s">
        <v>1415</v>
      </c>
      <c r="B1006" s="31" t="s">
        <v>374</v>
      </c>
      <c r="C1006" s="30" t="s">
        <v>1121</v>
      </c>
      <c r="D1006" s="32" t="n">
        <f aca="false">SUMIF('Libro Diario'!$C$5:$C$504,A1006,'Libro Diario'!$F$5:$F$504)</f>
        <v>0</v>
      </c>
      <c r="E1006" s="32" t="n">
        <f aca="false">SUMIF('Libro Diario'!$C$5:$C$504,A1006,'Libro Diario'!$G$5:$G$504)</f>
        <v>0</v>
      </c>
      <c r="F1006" s="32" t="n">
        <f aca="false">IF(D1006&gt;=E1006,D1006-E1006,0)</f>
        <v>0</v>
      </c>
      <c r="G1006" s="32" t="n">
        <f aca="false">IF(E1006&gt;D1006,E1006-D1006,0)</f>
        <v>0</v>
      </c>
    </row>
    <row r="1007" customFormat="false" ht="15" hidden="false" customHeight="true" outlineLevel="0" collapsed="false">
      <c r="A1007" s="30" t="s">
        <v>1416</v>
      </c>
      <c r="B1007" s="31" t="s">
        <v>381</v>
      </c>
      <c r="C1007" s="30" t="s">
        <v>1121</v>
      </c>
      <c r="D1007" s="32" t="n">
        <f aca="false">SUMIF('Libro Diario'!$C$5:$C$504,A1007,'Libro Diario'!$F$5:$F$504)</f>
        <v>0</v>
      </c>
      <c r="E1007" s="32" t="n">
        <f aca="false">SUMIF('Libro Diario'!$C$5:$C$504,A1007,'Libro Diario'!$G$5:$G$504)</f>
        <v>0</v>
      </c>
      <c r="F1007" s="32" t="n">
        <f aca="false">IF(D1007&gt;=E1007,D1007-E1007,0)</f>
        <v>0</v>
      </c>
      <c r="G1007" s="32" t="n">
        <f aca="false">IF(E1007&gt;D1007,E1007-D1007,0)</f>
        <v>0</v>
      </c>
    </row>
    <row r="1008" customFormat="false" ht="15" hidden="false" customHeight="true" outlineLevel="0" collapsed="false">
      <c r="A1008" s="30" t="s">
        <v>1417</v>
      </c>
      <c r="B1008" s="31" t="s">
        <v>1418</v>
      </c>
      <c r="C1008" s="30" t="s">
        <v>1121</v>
      </c>
      <c r="D1008" s="32" t="n">
        <f aca="false">SUMIF('Libro Diario'!$C$5:$C$504,A1008,'Libro Diario'!$F$5:$F$504)</f>
        <v>0</v>
      </c>
      <c r="E1008" s="32" t="n">
        <f aca="false">SUMIF('Libro Diario'!$C$5:$C$504,A1008,'Libro Diario'!$G$5:$G$504)</f>
        <v>0</v>
      </c>
      <c r="F1008" s="32" t="n">
        <f aca="false">IF(D1008&gt;=E1008,D1008-E1008,0)</f>
        <v>0</v>
      </c>
      <c r="G1008" s="32" t="n">
        <f aca="false">IF(E1008&gt;D1008,E1008-D1008,0)</f>
        <v>0</v>
      </c>
    </row>
    <row r="1009" customFormat="false" ht="15" hidden="false" customHeight="true" outlineLevel="0" collapsed="false">
      <c r="A1009" s="30" t="s">
        <v>1419</v>
      </c>
      <c r="B1009" s="31" t="s">
        <v>1420</v>
      </c>
      <c r="C1009" s="30" t="s">
        <v>1121</v>
      </c>
      <c r="D1009" s="32" t="n">
        <f aca="false">SUMIF('Libro Diario'!$C$5:$C$504,A1009,'Libro Diario'!$F$5:$F$504)</f>
        <v>0</v>
      </c>
      <c r="E1009" s="32" t="n">
        <f aca="false">SUMIF('Libro Diario'!$C$5:$C$504,A1009,'Libro Diario'!$G$5:$G$504)</f>
        <v>0</v>
      </c>
      <c r="F1009" s="32" t="n">
        <f aca="false">IF(D1009&gt;=E1009,D1009-E1009,0)</f>
        <v>0</v>
      </c>
      <c r="G1009" s="32" t="n">
        <f aca="false">IF(E1009&gt;D1009,E1009-D1009,0)</f>
        <v>0</v>
      </c>
    </row>
    <row r="1010" customFormat="false" ht="15" hidden="false" customHeight="true" outlineLevel="0" collapsed="false">
      <c r="A1010" s="30" t="s">
        <v>1421</v>
      </c>
      <c r="B1010" s="31" t="s">
        <v>1418</v>
      </c>
      <c r="C1010" s="30" t="s">
        <v>1121</v>
      </c>
      <c r="D1010" s="32" t="n">
        <f aca="false">SUMIF('Libro Diario'!$C$5:$C$504,A1010,'Libro Diario'!$F$5:$F$504)</f>
        <v>0</v>
      </c>
      <c r="E1010" s="32" t="n">
        <f aca="false">SUMIF('Libro Diario'!$C$5:$C$504,A1010,'Libro Diario'!$G$5:$G$504)</f>
        <v>0</v>
      </c>
      <c r="F1010" s="32" t="n">
        <f aca="false">IF(D1010&gt;=E1010,D1010-E1010,0)</f>
        <v>0</v>
      </c>
      <c r="G1010" s="32" t="n">
        <f aca="false">IF(E1010&gt;D1010,E1010-D1010,0)</f>
        <v>0</v>
      </c>
    </row>
    <row r="1011" customFormat="false" ht="15" hidden="false" customHeight="true" outlineLevel="0" collapsed="false">
      <c r="A1011" s="30" t="s">
        <v>1422</v>
      </c>
      <c r="B1011" s="31" t="s">
        <v>1420</v>
      </c>
      <c r="C1011" s="30" t="s">
        <v>1121</v>
      </c>
      <c r="D1011" s="32" t="n">
        <f aca="false">SUMIF('Libro Diario'!$C$5:$C$504,A1011,'Libro Diario'!$F$5:$F$504)</f>
        <v>0</v>
      </c>
      <c r="E1011" s="32" t="n">
        <f aca="false">SUMIF('Libro Diario'!$C$5:$C$504,A1011,'Libro Diario'!$G$5:$G$504)</f>
        <v>0</v>
      </c>
      <c r="F1011" s="32" t="n">
        <f aca="false">IF(D1011&gt;=E1011,D1011-E1011,0)</f>
        <v>0</v>
      </c>
      <c r="G1011" s="32" t="n">
        <f aca="false">IF(E1011&gt;D1011,E1011-D1011,0)</f>
        <v>0</v>
      </c>
    </row>
    <row r="1012" customFormat="false" ht="15" hidden="false" customHeight="true" outlineLevel="0" collapsed="false">
      <c r="A1012" s="30" t="s">
        <v>1423</v>
      </c>
      <c r="B1012" s="31" t="s">
        <v>391</v>
      </c>
      <c r="C1012" s="30" t="s">
        <v>1121</v>
      </c>
      <c r="D1012" s="32" t="n">
        <f aca="false">SUMIF('Libro Diario'!$C$5:$C$504,A1012,'Libro Diario'!$F$5:$F$504)</f>
        <v>0</v>
      </c>
      <c r="E1012" s="32" t="n">
        <f aca="false">SUMIF('Libro Diario'!$C$5:$C$504,A1012,'Libro Diario'!$G$5:$G$504)</f>
        <v>0</v>
      </c>
      <c r="F1012" s="32" t="n">
        <f aca="false">IF(D1012&gt;=E1012,D1012-E1012,0)</f>
        <v>0</v>
      </c>
      <c r="G1012" s="32" t="n">
        <f aca="false">IF(E1012&gt;D1012,E1012-D1012,0)</f>
        <v>0</v>
      </c>
    </row>
    <row r="1013" customFormat="false" ht="15" hidden="false" customHeight="true" outlineLevel="0" collapsed="false">
      <c r="A1013" s="30" t="s">
        <v>1424</v>
      </c>
      <c r="B1013" s="31" t="s">
        <v>393</v>
      </c>
      <c r="C1013" s="30" t="s">
        <v>1121</v>
      </c>
      <c r="D1013" s="32" t="n">
        <f aca="false">SUMIF('Libro Diario'!$C$5:$C$504,A1013,'Libro Diario'!$F$5:$F$504)</f>
        <v>0</v>
      </c>
      <c r="E1013" s="32" t="n">
        <f aca="false">SUMIF('Libro Diario'!$C$5:$C$504,A1013,'Libro Diario'!$G$5:$G$504)</f>
        <v>0</v>
      </c>
      <c r="F1013" s="32" t="n">
        <f aca="false">IF(D1013&gt;=E1013,D1013-E1013,0)</f>
        <v>0</v>
      </c>
      <c r="G1013" s="32" t="n">
        <f aca="false">IF(E1013&gt;D1013,E1013-D1013,0)</f>
        <v>0</v>
      </c>
    </row>
    <row r="1014" customFormat="false" ht="15" hidden="false" customHeight="true" outlineLevel="0" collapsed="false">
      <c r="A1014" s="30" t="s">
        <v>1425</v>
      </c>
      <c r="B1014" s="31" t="s">
        <v>395</v>
      </c>
      <c r="C1014" s="30" t="s">
        <v>1121</v>
      </c>
      <c r="D1014" s="32" t="n">
        <f aca="false">SUMIF('Libro Diario'!$C$5:$C$504,A1014,'Libro Diario'!$F$5:$F$504)</f>
        <v>0</v>
      </c>
      <c r="E1014" s="32" t="n">
        <f aca="false">SUMIF('Libro Diario'!$C$5:$C$504,A1014,'Libro Diario'!$G$5:$G$504)</f>
        <v>0</v>
      </c>
      <c r="F1014" s="32" t="n">
        <f aca="false">IF(D1014&gt;=E1014,D1014-E1014,0)</f>
        <v>0</v>
      </c>
      <c r="G1014" s="32" t="n">
        <f aca="false">IF(E1014&gt;D1014,E1014-D1014,0)</f>
        <v>0</v>
      </c>
    </row>
    <row r="1015" customFormat="false" ht="15" hidden="false" customHeight="true" outlineLevel="0" collapsed="false">
      <c r="A1015" s="30" t="s">
        <v>1426</v>
      </c>
      <c r="B1015" s="31" t="s">
        <v>397</v>
      </c>
      <c r="C1015" s="30" t="s">
        <v>1121</v>
      </c>
      <c r="D1015" s="32" t="n">
        <f aca="false">SUMIF('Libro Diario'!$C$5:$C$504,A1015,'Libro Diario'!$F$5:$F$504)</f>
        <v>0</v>
      </c>
      <c r="E1015" s="32" t="n">
        <f aca="false">SUMIF('Libro Diario'!$C$5:$C$504,A1015,'Libro Diario'!$G$5:$G$504)</f>
        <v>0</v>
      </c>
      <c r="F1015" s="32" t="n">
        <f aca="false">IF(D1015&gt;=E1015,D1015-E1015,0)</f>
        <v>0</v>
      </c>
      <c r="G1015" s="32" t="n">
        <f aca="false">IF(E1015&gt;D1015,E1015-D1015,0)</f>
        <v>0</v>
      </c>
    </row>
    <row r="1016" customFormat="false" ht="15" hidden="false" customHeight="true" outlineLevel="0" collapsed="false">
      <c r="A1016" s="30" t="s">
        <v>1427</v>
      </c>
      <c r="B1016" s="31" t="s">
        <v>399</v>
      </c>
      <c r="C1016" s="30" t="s">
        <v>1121</v>
      </c>
      <c r="D1016" s="32" t="n">
        <f aca="false">SUMIF('Libro Diario'!$C$5:$C$504,A1016,'Libro Diario'!$F$5:$F$504)</f>
        <v>0</v>
      </c>
      <c r="E1016" s="32" t="n">
        <f aca="false">SUMIF('Libro Diario'!$C$5:$C$504,A1016,'Libro Diario'!$G$5:$G$504)</f>
        <v>0</v>
      </c>
      <c r="F1016" s="32" t="n">
        <f aca="false">IF(D1016&gt;=E1016,D1016-E1016,0)</f>
        <v>0</v>
      </c>
      <c r="G1016" s="32" t="n">
        <f aca="false">IF(E1016&gt;D1016,E1016-D1016,0)</f>
        <v>0</v>
      </c>
    </row>
    <row r="1017" customFormat="false" ht="15" hidden="false" customHeight="true" outlineLevel="0" collapsed="false">
      <c r="A1017" s="30" t="s">
        <v>1428</v>
      </c>
      <c r="B1017" s="31" t="s">
        <v>401</v>
      </c>
      <c r="C1017" s="30" t="s">
        <v>1121</v>
      </c>
      <c r="D1017" s="32" t="n">
        <f aca="false">SUMIF('Libro Diario'!$C$5:$C$504,A1017,'Libro Diario'!$F$5:$F$504)</f>
        <v>0</v>
      </c>
      <c r="E1017" s="32" t="n">
        <f aca="false">SUMIF('Libro Diario'!$C$5:$C$504,A1017,'Libro Diario'!$G$5:$G$504)</f>
        <v>0</v>
      </c>
      <c r="F1017" s="32" t="n">
        <f aca="false">IF(D1017&gt;=E1017,D1017-E1017,0)</f>
        <v>0</v>
      </c>
      <c r="G1017" s="32" t="n">
        <f aca="false">IF(E1017&gt;D1017,E1017-D1017,0)</f>
        <v>0</v>
      </c>
    </row>
    <row r="1018" customFormat="false" ht="15" hidden="false" customHeight="true" outlineLevel="0" collapsed="false">
      <c r="A1018" s="30" t="s">
        <v>1429</v>
      </c>
      <c r="B1018" s="31" t="s">
        <v>391</v>
      </c>
      <c r="C1018" s="30" t="s">
        <v>1121</v>
      </c>
      <c r="D1018" s="32" t="n">
        <f aca="false">SUMIF('Libro Diario'!$C$5:$C$504,A1018,'Libro Diario'!$F$5:$F$504)</f>
        <v>0</v>
      </c>
      <c r="E1018" s="32" t="n">
        <f aca="false">SUMIF('Libro Diario'!$C$5:$C$504,A1018,'Libro Diario'!$G$5:$G$504)</f>
        <v>0</v>
      </c>
      <c r="F1018" s="32" t="n">
        <f aca="false">IF(D1018&gt;=E1018,D1018-E1018,0)</f>
        <v>0</v>
      </c>
      <c r="G1018" s="32" t="n">
        <f aca="false">IF(E1018&gt;D1018,E1018-D1018,0)</f>
        <v>0</v>
      </c>
    </row>
    <row r="1019" customFormat="false" ht="15" hidden="false" customHeight="true" outlineLevel="0" collapsed="false">
      <c r="A1019" s="30" t="s">
        <v>1430</v>
      </c>
      <c r="B1019" s="31" t="s">
        <v>393</v>
      </c>
      <c r="C1019" s="30" t="s">
        <v>1121</v>
      </c>
      <c r="D1019" s="32" t="n">
        <f aca="false">SUMIF('Libro Diario'!$C$5:$C$504,A1019,'Libro Diario'!$F$5:$F$504)</f>
        <v>0</v>
      </c>
      <c r="E1019" s="32" t="n">
        <f aca="false">SUMIF('Libro Diario'!$C$5:$C$504,A1019,'Libro Diario'!$G$5:$G$504)</f>
        <v>0</v>
      </c>
      <c r="F1019" s="32" t="n">
        <f aca="false">IF(D1019&gt;=E1019,D1019-E1019,0)</f>
        <v>0</v>
      </c>
      <c r="G1019" s="32" t="n">
        <f aca="false">IF(E1019&gt;D1019,E1019-D1019,0)</f>
        <v>0</v>
      </c>
    </row>
    <row r="1020" customFormat="false" ht="15" hidden="false" customHeight="true" outlineLevel="0" collapsed="false">
      <c r="A1020" s="30" t="s">
        <v>1431</v>
      </c>
      <c r="B1020" s="31" t="s">
        <v>395</v>
      </c>
      <c r="C1020" s="30" t="s">
        <v>1121</v>
      </c>
      <c r="D1020" s="32" t="n">
        <f aca="false">SUMIF('Libro Diario'!$C$5:$C$504,A1020,'Libro Diario'!$F$5:$F$504)</f>
        <v>0</v>
      </c>
      <c r="E1020" s="32" t="n">
        <f aca="false">SUMIF('Libro Diario'!$C$5:$C$504,A1020,'Libro Diario'!$G$5:$G$504)</f>
        <v>0</v>
      </c>
      <c r="F1020" s="32" t="n">
        <f aca="false">IF(D1020&gt;=E1020,D1020-E1020,0)</f>
        <v>0</v>
      </c>
      <c r="G1020" s="32" t="n">
        <f aca="false">IF(E1020&gt;D1020,E1020-D1020,0)</f>
        <v>0</v>
      </c>
    </row>
    <row r="1021" customFormat="false" ht="15" hidden="false" customHeight="true" outlineLevel="0" collapsed="false">
      <c r="A1021" s="30" t="s">
        <v>1432</v>
      </c>
      <c r="B1021" s="31" t="s">
        <v>397</v>
      </c>
      <c r="C1021" s="30" t="s">
        <v>1121</v>
      </c>
      <c r="D1021" s="32" t="n">
        <f aca="false">SUMIF('Libro Diario'!$C$5:$C$504,A1021,'Libro Diario'!$F$5:$F$504)</f>
        <v>0</v>
      </c>
      <c r="E1021" s="32" t="n">
        <f aca="false">SUMIF('Libro Diario'!$C$5:$C$504,A1021,'Libro Diario'!$G$5:$G$504)</f>
        <v>0</v>
      </c>
      <c r="F1021" s="32" t="n">
        <f aca="false">IF(D1021&gt;=E1021,D1021-E1021,0)</f>
        <v>0</v>
      </c>
      <c r="G1021" s="32" t="n">
        <f aca="false">IF(E1021&gt;D1021,E1021-D1021,0)</f>
        <v>0</v>
      </c>
    </row>
    <row r="1022" customFormat="false" ht="15" hidden="false" customHeight="true" outlineLevel="0" collapsed="false">
      <c r="A1022" s="30" t="s">
        <v>1433</v>
      </c>
      <c r="B1022" s="31" t="s">
        <v>399</v>
      </c>
      <c r="C1022" s="30" t="s">
        <v>1121</v>
      </c>
      <c r="D1022" s="32" t="n">
        <f aca="false">SUMIF('Libro Diario'!$C$5:$C$504,A1022,'Libro Diario'!$F$5:$F$504)</f>
        <v>0</v>
      </c>
      <c r="E1022" s="32" t="n">
        <f aca="false">SUMIF('Libro Diario'!$C$5:$C$504,A1022,'Libro Diario'!$G$5:$G$504)</f>
        <v>0</v>
      </c>
      <c r="F1022" s="32" t="n">
        <f aca="false">IF(D1022&gt;=E1022,D1022-E1022,0)</f>
        <v>0</v>
      </c>
      <c r="G1022" s="32" t="n">
        <f aca="false">IF(E1022&gt;D1022,E1022-D1022,0)</f>
        <v>0</v>
      </c>
    </row>
    <row r="1023" customFormat="false" ht="15" hidden="false" customHeight="true" outlineLevel="0" collapsed="false">
      <c r="A1023" s="30" t="s">
        <v>1434</v>
      </c>
      <c r="B1023" s="31" t="s">
        <v>401</v>
      </c>
      <c r="C1023" s="30" t="s">
        <v>1121</v>
      </c>
      <c r="D1023" s="32" t="n">
        <f aca="false">SUMIF('Libro Diario'!$C$5:$C$504,A1023,'Libro Diario'!$F$5:$F$504)</f>
        <v>0</v>
      </c>
      <c r="E1023" s="32" t="n">
        <f aca="false">SUMIF('Libro Diario'!$C$5:$C$504,A1023,'Libro Diario'!$G$5:$G$504)</f>
        <v>0</v>
      </c>
      <c r="F1023" s="32" t="n">
        <f aca="false">IF(D1023&gt;=E1023,D1023-E1023,0)</f>
        <v>0</v>
      </c>
      <c r="G1023" s="32" t="n">
        <f aca="false">IF(E1023&gt;D1023,E1023-D1023,0)</f>
        <v>0</v>
      </c>
    </row>
    <row r="1024" customFormat="false" ht="15" hidden="false" customHeight="true" outlineLevel="0" collapsed="false">
      <c r="A1024" s="30" t="s">
        <v>1435</v>
      </c>
      <c r="B1024" s="31" t="s">
        <v>1436</v>
      </c>
      <c r="C1024" s="30" t="s">
        <v>1121</v>
      </c>
      <c r="D1024" s="32" t="n">
        <f aca="false">SUMIF('Libro Diario'!$C$5:$C$504,A1024,'Libro Diario'!$F$5:$F$504)</f>
        <v>0</v>
      </c>
      <c r="E1024" s="32" t="n">
        <f aca="false">SUMIF('Libro Diario'!$C$5:$C$504,A1024,'Libro Diario'!$G$5:$G$504)</f>
        <v>0</v>
      </c>
      <c r="F1024" s="32" t="n">
        <f aca="false">IF(D1024&gt;=E1024,D1024-E1024,0)</f>
        <v>0</v>
      </c>
      <c r="G1024" s="32" t="n">
        <f aca="false">IF(E1024&gt;D1024,E1024-D1024,0)</f>
        <v>0</v>
      </c>
    </row>
    <row r="1025" customFormat="false" ht="15" hidden="false" customHeight="true" outlineLevel="0" collapsed="false">
      <c r="A1025" s="30" t="s">
        <v>1437</v>
      </c>
      <c r="B1025" s="31" t="s">
        <v>1438</v>
      </c>
      <c r="C1025" s="30" t="s">
        <v>1121</v>
      </c>
      <c r="D1025" s="32" t="n">
        <f aca="false">SUMIF('Libro Diario'!$C$5:$C$504,A1025,'Libro Diario'!$F$5:$F$504)</f>
        <v>0</v>
      </c>
      <c r="E1025" s="32" t="n">
        <f aca="false">SUMIF('Libro Diario'!$C$5:$C$504,A1025,'Libro Diario'!$G$5:$G$504)</f>
        <v>0</v>
      </c>
      <c r="F1025" s="32" t="n">
        <f aca="false">IF(D1025&gt;=E1025,D1025-E1025,0)</f>
        <v>0</v>
      </c>
      <c r="G1025" s="32" t="n">
        <f aca="false">IF(E1025&gt;D1025,E1025-D1025,0)</f>
        <v>0</v>
      </c>
    </row>
    <row r="1026" customFormat="false" ht="15" hidden="false" customHeight="true" outlineLevel="0" collapsed="false">
      <c r="A1026" s="30" t="s">
        <v>1439</v>
      </c>
      <c r="B1026" s="31" t="s">
        <v>1440</v>
      </c>
      <c r="C1026" s="30" t="s">
        <v>1121</v>
      </c>
      <c r="D1026" s="32" t="n">
        <f aca="false">SUMIF('Libro Diario'!$C$5:$C$504,A1026,'Libro Diario'!$F$5:$F$504)</f>
        <v>0</v>
      </c>
      <c r="E1026" s="32" t="n">
        <f aca="false">SUMIF('Libro Diario'!$C$5:$C$504,A1026,'Libro Diario'!$G$5:$G$504)</f>
        <v>0</v>
      </c>
      <c r="F1026" s="32" t="n">
        <f aca="false">IF(D1026&gt;=E1026,D1026-E1026,0)</f>
        <v>0</v>
      </c>
      <c r="G1026" s="32" t="n">
        <f aca="false">IF(E1026&gt;D1026,E1026-D1026,0)</f>
        <v>0</v>
      </c>
    </row>
    <row r="1027" customFormat="false" ht="15" hidden="false" customHeight="true" outlineLevel="0" collapsed="false">
      <c r="A1027" s="30" t="s">
        <v>1441</v>
      </c>
      <c r="B1027" s="31" t="s">
        <v>1442</v>
      </c>
      <c r="C1027" s="30" t="s">
        <v>1121</v>
      </c>
      <c r="D1027" s="32" t="n">
        <f aca="false">SUMIF('Libro Diario'!$C$5:$C$504,A1027,'Libro Diario'!$F$5:$F$504)</f>
        <v>0</v>
      </c>
      <c r="E1027" s="32" t="n">
        <f aca="false">SUMIF('Libro Diario'!$C$5:$C$504,A1027,'Libro Diario'!$G$5:$G$504)</f>
        <v>0</v>
      </c>
      <c r="F1027" s="32" t="n">
        <f aca="false">IF(D1027&gt;=E1027,D1027-E1027,0)</f>
        <v>0</v>
      </c>
      <c r="G1027" s="32" t="n">
        <f aca="false">IF(E1027&gt;D1027,E1027-D1027,0)</f>
        <v>0</v>
      </c>
    </row>
    <row r="1028" customFormat="false" ht="15" hidden="false" customHeight="true" outlineLevel="0" collapsed="false">
      <c r="A1028" s="30" t="s">
        <v>1443</v>
      </c>
      <c r="B1028" s="31" t="s">
        <v>1444</v>
      </c>
      <c r="C1028" s="30" t="s">
        <v>1121</v>
      </c>
      <c r="D1028" s="32" t="n">
        <f aca="false">SUMIF('Libro Diario'!$C$5:$C$504,A1028,'Libro Diario'!$F$5:$F$504)</f>
        <v>0</v>
      </c>
      <c r="E1028" s="32" t="n">
        <f aca="false">SUMIF('Libro Diario'!$C$5:$C$504,A1028,'Libro Diario'!$G$5:$G$504)</f>
        <v>0</v>
      </c>
      <c r="F1028" s="32" t="n">
        <f aca="false">IF(D1028&gt;=E1028,D1028-E1028,0)</f>
        <v>0</v>
      </c>
      <c r="G1028" s="32" t="n">
        <f aca="false">IF(E1028&gt;D1028,E1028-D1028,0)</f>
        <v>0</v>
      </c>
    </row>
    <row r="1029" customFormat="false" ht="15" hidden="false" customHeight="true" outlineLevel="0" collapsed="false">
      <c r="A1029" s="30" t="s">
        <v>1445</v>
      </c>
      <c r="B1029" s="31" t="s">
        <v>1446</v>
      </c>
      <c r="C1029" s="30" t="s">
        <v>1121</v>
      </c>
      <c r="D1029" s="32" t="n">
        <f aca="false">SUMIF('Libro Diario'!$C$5:$C$504,A1029,'Libro Diario'!$F$5:$F$504)</f>
        <v>0</v>
      </c>
      <c r="E1029" s="32" t="n">
        <f aca="false">SUMIF('Libro Diario'!$C$5:$C$504,A1029,'Libro Diario'!$G$5:$G$504)</f>
        <v>0</v>
      </c>
      <c r="F1029" s="32" t="n">
        <f aca="false">IF(D1029&gt;=E1029,D1029-E1029,0)</f>
        <v>0</v>
      </c>
      <c r="G1029" s="32" t="n">
        <f aca="false">IF(E1029&gt;D1029,E1029-D1029,0)</f>
        <v>0</v>
      </c>
    </row>
    <row r="1030" customFormat="false" ht="15" hidden="false" customHeight="true" outlineLevel="0" collapsed="false">
      <c r="A1030" s="30" t="s">
        <v>1447</v>
      </c>
      <c r="B1030" s="31" t="s">
        <v>1448</v>
      </c>
      <c r="C1030" s="30" t="s">
        <v>1121</v>
      </c>
      <c r="D1030" s="32" t="n">
        <f aca="false">SUMIF('Libro Diario'!$C$5:$C$504,A1030,'Libro Diario'!$F$5:$F$504)</f>
        <v>0</v>
      </c>
      <c r="E1030" s="32" t="n">
        <f aca="false">SUMIF('Libro Diario'!$C$5:$C$504,A1030,'Libro Diario'!$G$5:$G$504)</f>
        <v>0</v>
      </c>
      <c r="F1030" s="32" t="n">
        <f aca="false">IF(D1030&gt;=E1030,D1030-E1030,0)</f>
        <v>0</v>
      </c>
      <c r="G1030" s="32" t="n">
        <f aca="false">IF(E1030&gt;D1030,E1030-D1030,0)</f>
        <v>0</v>
      </c>
    </row>
    <row r="1031" customFormat="false" ht="15" hidden="false" customHeight="true" outlineLevel="0" collapsed="false">
      <c r="A1031" s="30" t="s">
        <v>1449</v>
      </c>
      <c r="B1031" s="31" t="s">
        <v>374</v>
      </c>
      <c r="C1031" s="30" t="s">
        <v>1121</v>
      </c>
      <c r="D1031" s="32" t="n">
        <f aca="false">SUMIF('Libro Diario'!$C$5:$C$504,A1031,'Libro Diario'!$F$5:$F$504)</f>
        <v>0</v>
      </c>
      <c r="E1031" s="32" t="n">
        <f aca="false">SUMIF('Libro Diario'!$C$5:$C$504,A1031,'Libro Diario'!$G$5:$G$504)</f>
        <v>0</v>
      </c>
      <c r="F1031" s="32" t="n">
        <f aca="false">IF(D1031&gt;=E1031,D1031-E1031,0)</f>
        <v>0</v>
      </c>
      <c r="G1031" s="32" t="n">
        <f aca="false">IF(E1031&gt;D1031,E1031-D1031,0)</f>
        <v>0</v>
      </c>
    </row>
    <row r="1032" customFormat="false" ht="15" hidden="false" customHeight="true" outlineLevel="0" collapsed="false">
      <c r="A1032" s="30" t="s">
        <v>1450</v>
      </c>
      <c r="B1032" s="31" t="s">
        <v>1451</v>
      </c>
      <c r="C1032" s="30" t="s">
        <v>1121</v>
      </c>
      <c r="D1032" s="32" t="n">
        <f aca="false">SUMIF('Libro Diario'!$C$5:$C$504,A1032,'Libro Diario'!$F$5:$F$504)</f>
        <v>0</v>
      </c>
      <c r="E1032" s="32" t="n">
        <f aca="false">SUMIF('Libro Diario'!$C$5:$C$504,A1032,'Libro Diario'!$G$5:$G$504)</f>
        <v>0</v>
      </c>
      <c r="F1032" s="32" t="n">
        <f aca="false">IF(D1032&gt;=E1032,D1032-E1032,0)</f>
        <v>0</v>
      </c>
      <c r="G1032" s="32" t="n">
        <f aca="false">IF(E1032&gt;D1032,E1032-D1032,0)</f>
        <v>0</v>
      </c>
    </row>
    <row r="1033" customFormat="false" ht="15" hidden="false" customHeight="true" outlineLevel="0" collapsed="false">
      <c r="A1033" s="30" t="s">
        <v>1452</v>
      </c>
      <c r="B1033" s="31" t="s">
        <v>368</v>
      </c>
      <c r="C1033" s="30" t="s">
        <v>1121</v>
      </c>
      <c r="D1033" s="32" t="n">
        <f aca="false">SUMIF('Libro Diario'!$C$5:$C$504,A1033,'Libro Diario'!$F$5:$F$504)</f>
        <v>0</v>
      </c>
      <c r="E1033" s="32" t="n">
        <f aca="false">SUMIF('Libro Diario'!$C$5:$C$504,A1033,'Libro Diario'!$G$5:$G$504)</f>
        <v>0</v>
      </c>
      <c r="F1033" s="32" t="n">
        <f aca="false">IF(D1033&gt;=E1033,D1033-E1033,0)</f>
        <v>0</v>
      </c>
      <c r="G1033" s="32" t="n">
        <f aca="false">IF(E1033&gt;D1033,E1033-D1033,0)</f>
        <v>0</v>
      </c>
    </row>
    <row r="1034" customFormat="false" ht="15" hidden="false" customHeight="true" outlineLevel="0" collapsed="false">
      <c r="A1034" s="30" t="s">
        <v>1453</v>
      </c>
      <c r="B1034" s="31" t="s">
        <v>370</v>
      </c>
      <c r="C1034" s="30" t="s">
        <v>1121</v>
      </c>
      <c r="D1034" s="32" t="n">
        <f aca="false">SUMIF('Libro Diario'!$C$5:$C$504,A1034,'Libro Diario'!$F$5:$F$504)</f>
        <v>0</v>
      </c>
      <c r="E1034" s="32" t="n">
        <f aca="false">SUMIF('Libro Diario'!$C$5:$C$504,A1034,'Libro Diario'!$G$5:$G$504)</f>
        <v>0</v>
      </c>
      <c r="F1034" s="32" t="n">
        <f aca="false">IF(D1034&gt;=E1034,D1034-E1034,0)</f>
        <v>0</v>
      </c>
      <c r="G1034" s="32" t="n">
        <f aca="false">IF(E1034&gt;D1034,E1034-D1034,0)</f>
        <v>0</v>
      </c>
    </row>
    <row r="1035" customFormat="false" ht="15" hidden="false" customHeight="true" outlineLevel="0" collapsed="false">
      <c r="A1035" s="30" t="s">
        <v>1454</v>
      </c>
      <c r="B1035" s="31" t="s">
        <v>372</v>
      </c>
      <c r="C1035" s="30" t="s">
        <v>1121</v>
      </c>
      <c r="D1035" s="32" t="n">
        <f aca="false">SUMIF('Libro Diario'!$C$5:$C$504,A1035,'Libro Diario'!$F$5:$F$504)</f>
        <v>0</v>
      </c>
      <c r="E1035" s="32" t="n">
        <f aca="false">SUMIF('Libro Diario'!$C$5:$C$504,A1035,'Libro Diario'!$G$5:$G$504)</f>
        <v>0</v>
      </c>
      <c r="F1035" s="32" t="n">
        <f aca="false">IF(D1035&gt;=E1035,D1035-E1035,0)</f>
        <v>0</v>
      </c>
      <c r="G1035" s="32" t="n">
        <f aca="false">IF(E1035&gt;D1035,E1035-D1035,0)</f>
        <v>0</v>
      </c>
    </row>
    <row r="1036" customFormat="false" ht="15" hidden="false" customHeight="true" outlineLevel="0" collapsed="false">
      <c r="A1036" s="30" t="s">
        <v>1455</v>
      </c>
      <c r="B1036" s="31" t="s">
        <v>374</v>
      </c>
      <c r="C1036" s="30" t="s">
        <v>1121</v>
      </c>
      <c r="D1036" s="32" t="n">
        <f aca="false">SUMIF('Libro Diario'!$C$5:$C$504,A1036,'Libro Diario'!$F$5:$F$504)</f>
        <v>0</v>
      </c>
      <c r="E1036" s="32" t="n">
        <f aca="false">SUMIF('Libro Diario'!$C$5:$C$504,A1036,'Libro Diario'!$G$5:$G$504)</f>
        <v>0</v>
      </c>
      <c r="F1036" s="32" t="n">
        <f aca="false">IF(D1036&gt;=E1036,D1036-E1036,0)</f>
        <v>0</v>
      </c>
      <c r="G1036" s="32" t="n">
        <f aca="false">IF(E1036&gt;D1036,E1036-D1036,0)</f>
        <v>0</v>
      </c>
    </row>
    <row r="1037" customFormat="false" ht="15" hidden="false" customHeight="true" outlineLevel="0" collapsed="false">
      <c r="A1037" s="30" t="s">
        <v>1456</v>
      </c>
      <c r="B1037" s="31" t="s">
        <v>381</v>
      </c>
      <c r="C1037" s="30" t="s">
        <v>1121</v>
      </c>
      <c r="D1037" s="32" t="n">
        <f aca="false">SUMIF('Libro Diario'!$C$5:$C$504,A1037,'Libro Diario'!$F$5:$F$504)</f>
        <v>0</v>
      </c>
      <c r="E1037" s="32" t="n">
        <f aca="false">SUMIF('Libro Diario'!$C$5:$C$504,A1037,'Libro Diario'!$G$5:$G$504)</f>
        <v>0</v>
      </c>
      <c r="F1037" s="32" t="n">
        <f aca="false">IF(D1037&gt;=E1037,D1037-E1037,0)</f>
        <v>0</v>
      </c>
      <c r="G1037" s="32" t="n">
        <f aca="false">IF(E1037&gt;D1037,E1037-D1037,0)</f>
        <v>0</v>
      </c>
    </row>
    <row r="1038" customFormat="false" ht="15" hidden="false" customHeight="true" outlineLevel="0" collapsed="false">
      <c r="A1038" s="30" t="s">
        <v>1457</v>
      </c>
      <c r="B1038" s="31" t="s">
        <v>383</v>
      </c>
      <c r="C1038" s="30" t="s">
        <v>1121</v>
      </c>
      <c r="D1038" s="32" t="n">
        <f aca="false">SUMIF('Libro Diario'!$C$5:$C$504,A1038,'Libro Diario'!$F$5:$F$504)</f>
        <v>0</v>
      </c>
      <c r="E1038" s="32" t="n">
        <f aca="false">SUMIF('Libro Diario'!$C$5:$C$504,A1038,'Libro Diario'!$G$5:$G$504)</f>
        <v>0</v>
      </c>
      <c r="F1038" s="32" t="n">
        <f aca="false">IF(D1038&gt;=E1038,D1038-E1038,0)</f>
        <v>0</v>
      </c>
      <c r="G1038" s="32" t="n">
        <f aca="false">IF(E1038&gt;D1038,E1038-D1038,0)</f>
        <v>0</v>
      </c>
    </row>
    <row r="1039" customFormat="false" ht="15" hidden="false" customHeight="true" outlineLevel="0" collapsed="false">
      <c r="A1039" s="30" t="s">
        <v>1458</v>
      </c>
      <c r="B1039" s="31" t="s">
        <v>385</v>
      </c>
      <c r="C1039" s="30" t="s">
        <v>1121</v>
      </c>
      <c r="D1039" s="32" t="n">
        <f aca="false">SUMIF('Libro Diario'!$C$5:$C$504,A1039,'Libro Diario'!$F$5:$F$504)</f>
        <v>0</v>
      </c>
      <c r="E1039" s="32" t="n">
        <f aca="false">SUMIF('Libro Diario'!$C$5:$C$504,A1039,'Libro Diario'!$G$5:$G$504)</f>
        <v>0</v>
      </c>
      <c r="F1039" s="32" t="n">
        <f aca="false">IF(D1039&gt;=E1039,D1039-E1039,0)</f>
        <v>0</v>
      </c>
      <c r="G1039" s="32" t="n">
        <f aca="false">IF(E1039&gt;D1039,E1039-D1039,0)</f>
        <v>0</v>
      </c>
    </row>
    <row r="1040" customFormat="false" ht="15" hidden="false" customHeight="true" outlineLevel="0" collapsed="false">
      <c r="A1040" s="30" t="s">
        <v>1459</v>
      </c>
      <c r="B1040" s="31" t="s">
        <v>387</v>
      </c>
      <c r="C1040" s="30" t="s">
        <v>1121</v>
      </c>
      <c r="D1040" s="32" t="n">
        <f aca="false">SUMIF('Libro Diario'!$C$5:$C$504,A1040,'Libro Diario'!$F$5:$F$504)</f>
        <v>0</v>
      </c>
      <c r="E1040" s="32" t="n">
        <f aca="false">SUMIF('Libro Diario'!$C$5:$C$504,A1040,'Libro Diario'!$G$5:$G$504)</f>
        <v>0</v>
      </c>
      <c r="F1040" s="32" t="n">
        <f aca="false">IF(D1040&gt;=E1040,D1040-E1040,0)</f>
        <v>0</v>
      </c>
      <c r="G1040" s="32" t="n">
        <f aca="false">IF(E1040&gt;D1040,E1040-D1040,0)</f>
        <v>0</v>
      </c>
    </row>
    <row r="1041" customFormat="false" ht="15" hidden="false" customHeight="true" outlineLevel="0" collapsed="false">
      <c r="A1041" s="30" t="s">
        <v>1460</v>
      </c>
      <c r="B1041" s="31" t="s">
        <v>389</v>
      </c>
      <c r="C1041" s="30" t="s">
        <v>1121</v>
      </c>
      <c r="D1041" s="32" t="n">
        <f aca="false">SUMIF('Libro Diario'!$C$5:$C$504,A1041,'Libro Diario'!$F$5:$F$504)</f>
        <v>0</v>
      </c>
      <c r="E1041" s="32" t="n">
        <f aca="false">SUMIF('Libro Diario'!$C$5:$C$504,A1041,'Libro Diario'!$G$5:$G$504)</f>
        <v>0</v>
      </c>
      <c r="F1041" s="32" t="n">
        <f aca="false">IF(D1041&gt;=E1041,D1041-E1041,0)</f>
        <v>0</v>
      </c>
      <c r="G1041" s="32" t="n">
        <f aca="false">IF(E1041&gt;D1041,E1041-D1041,0)</f>
        <v>0</v>
      </c>
    </row>
    <row r="1042" customFormat="false" ht="15" hidden="false" customHeight="true" outlineLevel="0" collapsed="false">
      <c r="A1042" s="30" t="s">
        <v>1461</v>
      </c>
      <c r="B1042" s="31" t="s">
        <v>368</v>
      </c>
      <c r="C1042" s="30" t="s">
        <v>1121</v>
      </c>
      <c r="D1042" s="32" t="n">
        <f aca="false">SUMIF('Libro Diario'!$C$5:$C$504,A1042,'Libro Diario'!$F$5:$F$504)</f>
        <v>0</v>
      </c>
      <c r="E1042" s="32" t="n">
        <f aca="false">SUMIF('Libro Diario'!$C$5:$C$504,A1042,'Libro Diario'!$G$5:$G$504)</f>
        <v>0</v>
      </c>
      <c r="F1042" s="32" t="n">
        <f aca="false">IF(D1042&gt;=E1042,D1042-E1042,0)</f>
        <v>0</v>
      </c>
      <c r="G1042" s="32" t="n">
        <f aca="false">IF(E1042&gt;D1042,E1042-D1042,0)</f>
        <v>0</v>
      </c>
    </row>
    <row r="1043" customFormat="false" ht="15" hidden="false" customHeight="true" outlineLevel="0" collapsed="false">
      <c r="A1043" s="30" t="s">
        <v>1462</v>
      </c>
      <c r="B1043" s="31" t="s">
        <v>370</v>
      </c>
      <c r="C1043" s="30" t="s">
        <v>1121</v>
      </c>
      <c r="D1043" s="32" t="n">
        <f aca="false">SUMIF('Libro Diario'!$C$5:$C$504,A1043,'Libro Diario'!$F$5:$F$504)</f>
        <v>0</v>
      </c>
      <c r="E1043" s="32" t="n">
        <f aca="false">SUMIF('Libro Diario'!$C$5:$C$504,A1043,'Libro Diario'!$G$5:$G$504)</f>
        <v>0</v>
      </c>
      <c r="F1043" s="32" t="n">
        <f aca="false">IF(D1043&gt;=E1043,D1043-E1043,0)</f>
        <v>0</v>
      </c>
      <c r="G1043" s="32" t="n">
        <f aca="false">IF(E1043&gt;D1043,E1043-D1043,0)</f>
        <v>0</v>
      </c>
    </row>
    <row r="1044" customFormat="false" ht="15" hidden="false" customHeight="true" outlineLevel="0" collapsed="false">
      <c r="A1044" s="30" t="s">
        <v>1463</v>
      </c>
      <c r="B1044" s="31" t="s">
        <v>372</v>
      </c>
      <c r="C1044" s="30" t="s">
        <v>1121</v>
      </c>
      <c r="D1044" s="32" t="n">
        <f aca="false">SUMIF('Libro Diario'!$C$5:$C$504,A1044,'Libro Diario'!$F$5:$F$504)</f>
        <v>0</v>
      </c>
      <c r="E1044" s="32" t="n">
        <f aca="false">SUMIF('Libro Diario'!$C$5:$C$504,A1044,'Libro Diario'!$G$5:$G$504)</f>
        <v>0</v>
      </c>
      <c r="F1044" s="32" t="n">
        <f aca="false">IF(D1044&gt;=E1044,D1044-E1044,0)</f>
        <v>0</v>
      </c>
      <c r="G1044" s="32" t="n">
        <f aca="false">IF(E1044&gt;D1044,E1044-D1044,0)</f>
        <v>0</v>
      </c>
    </row>
    <row r="1045" customFormat="false" ht="15" hidden="false" customHeight="true" outlineLevel="0" collapsed="false">
      <c r="A1045" s="30" t="s">
        <v>1464</v>
      </c>
      <c r="B1045" s="31" t="s">
        <v>374</v>
      </c>
      <c r="C1045" s="30" t="s">
        <v>1121</v>
      </c>
      <c r="D1045" s="32" t="n">
        <f aca="false">SUMIF('Libro Diario'!$C$5:$C$504,A1045,'Libro Diario'!$F$5:$F$504)</f>
        <v>0</v>
      </c>
      <c r="E1045" s="32" t="n">
        <f aca="false">SUMIF('Libro Diario'!$C$5:$C$504,A1045,'Libro Diario'!$G$5:$G$504)</f>
        <v>0</v>
      </c>
      <c r="F1045" s="32" t="n">
        <f aca="false">IF(D1045&gt;=E1045,D1045-E1045,0)</f>
        <v>0</v>
      </c>
      <c r="G1045" s="32" t="n">
        <f aca="false">IF(E1045&gt;D1045,E1045-D1045,0)</f>
        <v>0</v>
      </c>
    </row>
    <row r="1046" customFormat="false" ht="15" hidden="false" customHeight="true" outlineLevel="0" collapsed="false">
      <c r="A1046" s="30" t="s">
        <v>1465</v>
      </c>
      <c r="B1046" s="31" t="s">
        <v>381</v>
      </c>
      <c r="C1046" s="30" t="s">
        <v>1121</v>
      </c>
      <c r="D1046" s="32" t="n">
        <f aca="false">SUMIF('Libro Diario'!$C$5:$C$504,A1046,'Libro Diario'!$F$5:$F$504)</f>
        <v>0</v>
      </c>
      <c r="E1046" s="32" t="n">
        <f aca="false">SUMIF('Libro Diario'!$C$5:$C$504,A1046,'Libro Diario'!$G$5:$G$504)</f>
        <v>0</v>
      </c>
      <c r="F1046" s="32" t="n">
        <f aca="false">IF(D1046&gt;=E1046,D1046-E1046,0)</f>
        <v>0</v>
      </c>
      <c r="G1046" s="32" t="n">
        <f aca="false">IF(E1046&gt;D1046,E1046-D1046,0)</f>
        <v>0</v>
      </c>
    </row>
    <row r="1047" customFormat="false" ht="15" hidden="false" customHeight="true" outlineLevel="0" collapsed="false">
      <c r="A1047" s="30" t="s">
        <v>1466</v>
      </c>
      <c r="B1047" s="31" t="s">
        <v>383</v>
      </c>
      <c r="C1047" s="30" t="s">
        <v>1121</v>
      </c>
      <c r="D1047" s="32" t="n">
        <f aca="false">SUMIF('Libro Diario'!$C$5:$C$504,A1047,'Libro Diario'!$F$5:$F$504)</f>
        <v>0</v>
      </c>
      <c r="E1047" s="32" t="n">
        <f aca="false">SUMIF('Libro Diario'!$C$5:$C$504,A1047,'Libro Diario'!$G$5:$G$504)</f>
        <v>0</v>
      </c>
      <c r="F1047" s="32" t="n">
        <f aca="false">IF(D1047&gt;=E1047,D1047-E1047,0)</f>
        <v>0</v>
      </c>
      <c r="G1047" s="32" t="n">
        <f aca="false">IF(E1047&gt;D1047,E1047-D1047,0)</f>
        <v>0</v>
      </c>
    </row>
    <row r="1048" customFormat="false" ht="15" hidden="false" customHeight="true" outlineLevel="0" collapsed="false">
      <c r="A1048" s="30" t="s">
        <v>1467</v>
      </c>
      <c r="B1048" s="31" t="s">
        <v>385</v>
      </c>
      <c r="C1048" s="30" t="s">
        <v>1121</v>
      </c>
      <c r="D1048" s="32" t="n">
        <f aca="false">SUMIF('Libro Diario'!$C$5:$C$504,A1048,'Libro Diario'!$F$5:$F$504)</f>
        <v>0</v>
      </c>
      <c r="E1048" s="32" t="n">
        <f aca="false">SUMIF('Libro Diario'!$C$5:$C$504,A1048,'Libro Diario'!$G$5:$G$504)</f>
        <v>0</v>
      </c>
      <c r="F1048" s="32" t="n">
        <f aca="false">IF(D1048&gt;=E1048,D1048-E1048,0)</f>
        <v>0</v>
      </c>
      <c r="G1048" s="32" t="n">
        <f aca="false">IF(E1048&gt;D1048,E1048-D1048,0)</f>
        <v>0</v>
      </c>
    </row>
    <row r="1049" customFormat="false" ht="15" hidden="false" customHeight="true" outlineLevel="0" collapsed="false">
      <c r="A1049" s="30" t="s">
        <v>1468</v>
      </c>
      <c r="B1049" s="31" t="s">
        <v>387</v>
      </c>
      <c r="C1049" s="30" t="s">
        <v>1121</v>
      </c>
      <c r="D1049" s="32" t="n">
        <f aca="false">SUMIF('Libro Diario'!$C$5:$C$504,A1049,'Libro Diario'!$F$5:$F$504)</f>
        <v>0</v>
      </c>
      <c r="E1049" s="32" t="n">
        <f aca="false">SUMIF('Libro Diario'!$C$5:$C$504,A1049,'Libro Diario'!$G$5:$G$504)</f>
        <v>0</v>
      </c>
      <c r="F1049" s="32" t="n">
        <f aca="false">IF(D1049&gt;=E1049,D1049-E1049,0)</f>
        <v>0</v>
      </c>
      <c r="G1049" s="32" t="n">
        <f aca="false">IF(E1049&gt;D1049,E1049-D1049,0)</f>
        <v>0</v>
      </c>
    </row>
    <row r="1050" customFormat="false" ht="15" hidden="false" customHeight="true" outlineLevel="0" collapsed="false">
      <c r="A1050" s="30" t="s">
        <v>1469</v>
      </c>
      <c r="B1050" s="31" t="s">
        <v>389</v>
      </c>
      <c r="C1050" s="30" t="s">
        <v>1121</v>
      </c>
      <c r="D1050" s="32" t="n">
        <f aca="false">SUMIF('Libro Diario'!$C$5:$C$504,A1050,'Libro Diario'!$F$5:$F$504)</f>
        <v>0</v>
      </c>
      <c r="E1050" s="32" t="n">
        <f aca="false">SUMIF('Libro Diario'!$C$5:$C$504,A1050,'Libro Diario'!$G$5:$G$504)</f>
        <v>0</v>
      </c>
      <c r="F1050" s="32" t="n">
        <f aca="false">IF(D1050&gt;=E1050,D1050-E1050,0)</f>
        <v>0</v>
      </c>
      <c r="G1050" s="32" t="n">
        <f aca="false">IF(E1050&gt;D1050,E1050-D1050,0)</f>
        <v>0</v>
      </c>
    </row>
    <row r="1051" customFormat="false" ht="15" hidden="false" customHeight="true" outlineLevel="0" collapsed="false">
      <c r="A1051" s="30" t="s">
        <v>1470</v>
      </c>
      <c r="B1051" s="31" t="s">
        <v>391</v>
      </c>
      <c r="C1051" s="30" t="s">
        <v>1121</v>
      </c>
      <c r="D1051" s="32" t="n">
        <f aca="false">SUMIF('Libro Diario'!$C$5:$C$504,A1051,'Libro Diario'!$F$5:$F$504)</f>
        <v>0</v>
      </c>
      <c r="E1051" s="32" t="n">
        <f aca="false">SUMIF('Libro Diario'!$C$5:$C$504,A1051,'Libro Diario'!$G$5:$G$504)</f>
        <v>0</v>
      </c>
      <c r="F1051" s="32" t="n">
        <f aca="false">IF(D1051&gt;=E1051,D1051-E1051,0)</f>
        <v>0</v>
      </c>
      <c r="G1051" s="32" t="n">
        <f aca="false">IF(E1051&gt;D1051,E1051-D1051,0)</f>
        <v>0</v>
      </c>
    </row>
    <row r="1052" customFormat="false" ht="15" hidden="false" customHeight="true" outlineLevel="0" collapsed="false">
      <c r="A1052" s="30" t="s">
        <v>1471</v>
      </c>
      <c r="B1052" s="31" t="s">
        <v>393</v>
      </c>
      <c r="C1052" s="30" t="s">
        <v>1121</v>
      </c>
      <c r="D1052" s="32" t="n">
        <f aca="false">SUMIF('Libro Diario'!$C$5:$C$504,A1052,'Libro Diario'!$F$5:$F$504)</f>
        <v>0</v>
      </c>
      <c r="E1052" s="32" t="n">
        <f aca="false">SUMIF('Libro Diario'!$C$5:$C$504,A1052,'Libro Diario'!$G$5:$G$504)</f>
        <v>0</v>
      </c>
      <c r="F1052" s="32" t="n">
        <f aca="false">IF(D1052&gt;=E1052,D1052-E1052,0)</f>
        <v>0</v>
      </c>
      <c r="G1052" s="32" t="n">
        <f aca="false">IF(E1052&gt;D1052,E1052-D1052,0)</f>
        <v>0</v>
      </c>
    </row>
    <row r="1053" customFormat="false" ht="15" hidden="false" customHeight="true" outlineLevel="0" collapsed="false">
      <c r="A1053" s="30" t="s">
        <v>1472</v>
      </c>
      <c r="B1053" s="31" t="s">
        <v>395</v>
      </c>
      <c r="C1053" s="30" t="s">
        <v>1121</v>
      </c>
      <c r="D1053" s="32" t="n">
        <f aca="false">SUMIF('Libro Diario'!$C$5:$C$504,A1053,'Libro Diario'!$F$5:$F$504)</f>
        <v>0</v>
      </c>
      <c r="E1053" s="32" t="n">
        <f aca="false">SUMIF('Libro Diario'!$C$5:$C$504,A1053,'Libro Diario'!$G$5:$G$504)</f>
        <v>0</v>
      </c>
      <c r="F1053" s="32" t="n">
        <f aca="false">IF(D1053&gt;=E1053,D1053-E1053,0)</f>
        <v>0</v>
      </c>
      <c r="G1053" s="32" t="n">
        <f aca="false">IF(E1053&gt;D1053,E1053-D1053,0)</f>
        <v>0</v>
      </c>
    </row>
    <row r="1054" customFormat="false" ht="15" hidden="false" customHeight="true" outlineLevel="0" collapsed="false">
      <c r="A1054" s="30" t="s">
        <v>1473</v>
      </c>
      <c r="B1054" s="31" t="s">
        <v>397</v>
      </c>
      <c r="C1054" s="30" t="s">
        <v>1121</v>
      </c>
      <c r="D1054" s="32" t="n">
        <f aca="false">SUMIF('Libro Diario'!$C$5:$C$504,A1054,'Libro Diario'!$F$5:$F$504)</f>
        <v>0</v>
      </c>
      <c r="E1054" s="32" t="n">
        <f aca="false">SUMIF('Libro Diario'!$C$5:$C$504,A1054,'Libro Diario'!$G$5:$G$504)</f>
        <v>0</v>
      </c>
      <c r="F1054" s="32" t="n">
        <f aca="false">IF(D1054&gt;=E1054,D1054-E1054,0)</f>
        <v>0</v>
      </c>
      <c r="G1054" s="32" t="n">
        <f aca="false">IF(E1054&gt;D1054,E1054-D1054,0)</f>
        <v>0</v>
      </c>
    </row>
    <row r="1055" customFormat="false" ht="15" hidden="false" customHeight="true" outlineLevel="0" collapsed="false">
      <c r="A1055" s="30" t="s">
        <v>1474</v>
      </c>
      <c r="B1055" s="31" t="s">
        <v>399</v>
      </c>
      <c r="C1055" s="30" t="s">
        <v>1121</v>
      </c>
      <c r="D1055" s="32" t="n">
        <f aca="false">SUMIF('Libro Diario'!$C$5:$C$504,A1055,'Libro Diario'!$F$5:$F$504)</f>
        <v>0</v>
      </c>
      <c r="E1055" s="32" t="n">
        <f aca="false">SUMIF('Libro Diario'!$C$5:$C$504,A1055,'Libro Diario'!$G$5:$G$504)</f>
        <v>0</v>
      </c>
      <c r="F1055" s="32" t="n">
        <f aca="false">IF(D1055&gt;=E1055,D1055-E1055,0)</f>
        <v>0</v>
      </c>
      <c r="G1055" s="32" t="n">
        <f aca="false">IF(E1055&gt;D1055,E1055-D1055,0)</f>
        <v>0</v>
      </c>
    </row>
    <row r="1056" customFormat="false" ht="15" hidden="false" customHeight="true" outlineLevel="0" collapsed="false">
      <c r="A1056" s="30" t="s">
        <v>1475</v>
      </c>
      <c r="B1056" s="31" t="s">
        <v>401</v>
      </c>
      <c r="C1056" s="30" t="s">
        <v>1121</v>
      </c>
      <c r="D1056" s="32" t="n">
        <f aca="false">SUMIF('Libro Diario'!$C$5:$C$504,A1056,'Libro Diario'!$F$5:$F$504)</f>
        <v>0</v>
      </c>
      <c r="E1056" s="32" t="n">
        <f aca="false">SUMIF('Libro Diario'!$C$5:$C$504,A1056,'Libro Diario'!$G$5:$G$504)</f>
        <v>0</v>
      </c>
      <c r="F1056" s="32" t="n">
        <f aca="false">IF(D1056&gt;=E1056,D1056-E1056,0)</f>
        <v>0</v>
      </c>
      <c r="G1056" s="32" t="n">
        <f aca="false">IF(E1056&gt;D1056,E1056-D1056,0)</f>
        <v>0</v>
      </c>
    </row>
    <row r="1057" customFormat="false" ht="15" hidden="false" customHeight="true" outlineLevel="0" collapsed="false">
      <c r="A1057" s="30" t="s">
        <v>1476</v>
      </c>
      <c r="B1057" s="31" t="s">
        <v>602</v>
      </c>
      <c r="C1057" s="30" t="s">
        <v>1121</v>
      </c>
      <c r="D1057" s="32" t="n">
        <f aca="false">SUMIF('Libro Diario'!$C$5:$C$504,A1057,'Libro Diario'!$F$5:$F$504)</f>
        <v>0</v>
      </c>
      <c r="E1057" s="32" t="n">
        <f aca="false">SUMIF('Libro Diario'!$C$5:$C$504,A1057,'Libro Diario'!$G$5:$G$504)</f>
        <v>0</v>
      </c>
      <c r="F1057" s="32" t="n">
        <f aca="false">IF(D1057&gt;=E1057,D1057-E1057,0)</f>
        <v>0</v>
      </c>
      <c r="G1057" s="32" t="n">
        <f aca="false">IF(E1057&gt;D1057,E1057-D1057,0)</f>
        <v>0</v>
      </c>
    </row>
    <row r="1058" customFormat="false" ht="15" hidden="false" customHeight="true" outlineLevel="0" collapsed="false">
      <c r="A1058" s="30" t="s">
        <v>1477</v>
      </c>
      <c r="B1058" s="31" t="s">
        <v>1418</v>
      </c>
      <c r="C1058" s="30" t="s">
        <v>1121</v>
      </c>
      <c r="D1058" s="32" t="n">
        <f aca="false">SUMIF('Libro Diario'!$C$5:$C$504,A1058,'Libro Diario'!$F$5:$F$504)</f>
        <v>0</v>
      </c>
      <c r="E1058" s="32" t="n">
        <f aca="false">SUMIF('Libro Diario'!$C$5:$C$504,A1058,'Libro Diario'!$G$5:$G$504)</f>
        <v>0</v>
      </c>
      <c r="F1058" s="32" t="n">
        <f aca="false">IF(D1058&gt;=E1058,D1058-E1058,0)</f>
        <v>0</v>
      </c>
      <c r="G1058" s="32" t="n">
        <f aca="false">IF(E1058&gt;D1058,E1058-D1058,0)</f>
        <v>0</v>
      </c>
    </row>
    <row r="1059" customFormat="false" ht="15" hidden="false" customHeight="true" outlineLevel="0" collapsed="false">
      <c r="A1059" s="30" t="s">
        <v>1478</v>
      </c>
      <c r="B1059" s="31" t="s">
        <v>1420</v>
      </c>
      <c r="C1059" s="30" t="s">
        <v>1121</v>
      </c>
      <c r="D1059" s="32" t="n">
        <f aca="false">SUMIF('Libro Diario'!$C$5:$C$504,A1059,'Libro Diario'!$F$5:$F$504)</f>
        <v>0</v>
      </c>
      <c r="E1059" s="32" t="n">
        <f aca="false">SUMIF('Libro Diario'!$C$5:$C$504,A1059,'Libro Diario'!$G$5:$G$504)</f>
        <v>0</v>
      </c>
      <c r="F1059" s="32" t="n">
        <f aca="false">IF(D1059&gt;=E1059,D1059-E1059,0)</f>
        <v>0</v>
      </c>
      <c r="G1059" s="32" t="n">
        <f aca="false">IF(E1059&gt;D1059,E1059-D1059,0)</f>
        <v>0</v>
      </c>
    </row>
    <row r="1060" customFormat="false" ht="15" hidden="false" customHeight="true" outlineLevel="0" collapsed="false">
      <c r="A1060" s="30" t="s">
        <v>1479</v>
      </c>
      <c r="B1060" s="31" t="s">
        <v>1480</v>
      </c>
      <c r="C1060" s="30" t="s">
        <v>1121</v>
      </c>
      <c r="D1060" s="32" t="n">
        <f aca="false">SUMIF('Libro Diario'!$C$5:$C$504,A1060,'Libro Diario'!$F$5:$F$504)</f>
        <v>0</v>
      </c>
      <c r="E1060" s="32" t="n">
        <f aca="false">SUMIF('Libro Diario'!$C$5:$C$504,A1060,'Libro Diario'!$G$5:$G$504)</f>
        <v>0</v>
      </c>
      <c r="F1060" s="32" t="n">
        <f aca="false">IF(D1060&gt;=E1060,D1060-E1060,0)</f>
        <v>0</v>
      </c>
      <c r="G1060" s="32" t="n">
        <f aca="false">IF(E1060&gt;D1060,E1060-D1060,0)</f>
        <v>0</v>
      </c>
    </row>
    <row r="1061" customFormat="false" ht="15" hidden="false" customHeight="true" outlineLevel="0" collapsed="false">
      <c r="A1061" s="30" t="s">
        <v>1481</v>
      </c>
      <c r="B1061" s="31" t="s">
        <v>1482</v>
      </c>
      <c r="C1061" s="30" t="s">
        <v>1121</v>
      </c>
      <c r="D1061" s="32" t="n">
        <f aca="false">SUMIF('Libro Diario'!$C$5:$C$504,A1061,'Libro Diario'!$F$5:$F$504)</f>
        <v>0</v>
      </c>
      <c r="E1061" s="32" t="n">
        <f aca="false">SUMIF('Libro Diario'!$C$5:$C$504,A1061,'Libro Diario'!$G$5:$G$504)</f>
        <v>0</v>
      </c>
      <c r="F1061" s="32" t="n">
        <f aca="false">IF(D1061&gt;=E1061,D1061-E1061,0)</f>
        <v>0</v>
      </c>
      <c r="G1061" s="32" t="n">
        <f aca="false">IF(E1061&gt;D1061,E1061-D1061,0)</f>
        <v>0</v>
      </c>
    </row>
    <row r="1062" customFormat="false" ht="15" hidden="false" customHeight="true" outlineLevel="0" collapsed="false">
      <c r="A1062" s="30" t="s">
        <v>1483</v>
      </c>
      <c r="B1062" s="31" t="s">
        <v>1484</v>
      </c>
      <c r="C1062" s="30" t="s">
        <v>1121</v>
      </c>
      <c r="D1062" s="32" t="n">
        <f aca="false">SUMIF('Libro Diario'!$C$5:$C$504,A1062,'Libro Diario'!$F$5:$F$504)</f>
        <v>0</v>
      </c>
      <c r="E1062" s="32" t="n">
        <f aca="false">SUMIF('Libro Diario'!$C$5:$C$504,A1062,'Libro Diario'!$G$5:$G$504)</f>
        <v>0</v>
      </c>
      <c r="F1062" s="32" t="n">
        <f aca="false">IF(D1062&gt;=E1062,D1062-E1062,0)</f>
        <v>0</v>
      </c>
      <c r="G1062" s="32" t="n">
        <f aca="false">IF(E1062&gt;D1062,E1062-D1062,0)</f>
        <v>0</v>
      </c>
    </row>
    <row r="1063" customFormat="false" ht="15" hidden="false" customHeight="true" outlineLevel="0" collapsed="false">
      <c r="A1063" s="30" t="s">
        <v>1485</v>
      </c>
      <c r="B1063" s="31" t="s">
        <v>1486</v>
      </c>
      <c r="C1063" s="30" t="s">
        <v>1121</v>
      </c>
      <c r="D1063" s="32" t="n">
        <f aca="false">SUMIF('Libro Diario'!$C$5:$C$504,A1063,'Libro Diario'!$F$5:$F$504)</f>
        <v>0</v>
      </c>
      <c r="E1063" s="32" t="n">
        <f aca="false">SUMIF('Libro Diario'!$C$5:$C$504,A1063,'Libro Diario'!$G$5:$G$504)</f>
        <v>0</v>
      </c>
      <c r="F1063" s="32" t="n">
        <f aca="false">IF(D1063&gt;=E1063,D1063-E1063,0)</f>
        <v>0</v>
      </c>
      <c r="G1063" s="32" t="n">
        <f aca="false">IF(E1063&gt;D1063,E1063-D1063,0)</f>
        <v>0</v>
      </c>
    </row>
    <row r="1064" customFormat="false" ht="15" hidden="false" customHeight="true" outlineLevel="0" collapsed="false">
      <c r="A1064" s="30" t="s">
        <v>1487</v>
      </c>
      <c r="B1064" s="31" t="s">
        <v>1028</v>
      </c>
      <c r="C1064" s="30" t="s">
        <v>1121</v>
      </c>
      <c r="D1064" s="32" t="n">
        <f aca="false">SUMIF('Libro Diario'!$C$5:$C$504,A1064,'Libro Diario'!$F$5:$F$504)</f>
        <v>0</v>
      </c>
      <c r="E1064" s="32" t="n">
        <f aca="false">SUMIF('Libro Diario'!$C$5:$C$504,A1064,'Libro Diario'!$G$5:$G$504)</f>
        <v>0</v>
      </c>
      <c r="F1064" s="32" t="n">
        <f aca="false">IF(D1064&gt;=E1064,D1064-E1064,0)</f>
        <v>0</v>
      </c>
      <c r="G1064" s="32" t="n">
        <f aca="false">IF(E1064&gt;D1064,E1064-D1064,0)</f>
        <v>0</v>
      </c>
    </row>
    <row r="1065" customFormat="false" ht="15" hidden="false" customHeight="true" outlineLevel="0" collapsed="false">
      <c r="A1065" s="30" t="s">
        <v>1488</v>
      </c>
      <c r="B1065" s="31" t="s">
        <v>1489</v>
      </c>
      <c r="C1065" s="30" t="s">
        <v>1121</v>
      </c>
      <c r="D1065" s="32" t="n">
        <f aca="false">SUMIF('Libro Diario'!$C$5:$C$504,A1065,'Libro Diario'!$F$5:$F$504)</f>
        <v>0</v>
      </c>
      <c r="E1065" s="32" t="n">
        <f aca="false">SUMIF('Libro Diario'!$C$5:$C$504,A1065,'Libro Diario'!$G$5:$G$504)</f>
        <v>0</v>
      </c>
      <c r="F1065" s="32" t="n">
        <f aca="false">IF(D1065&gt;=E1065,D1065-E1065,0)</f>
        <v>0</v>
      </c>
      <c r="G1065" s="32" t="n">
        <f aca="false">IF(E1065&gt;D1065,E1065-D1065,0)</f>
        <v>0</v>
      </c>
    </row>
    <row r="1066" customFormat="false" ht="15" hidden="false" customHeight="true" outlineLevel="0" collapsed="false">
      <c r="A1066" s="30" t="s">
        <v>1490</v>
      </c>
      <c r="B1066" s="31" t="s">
        <v>1491</v>
      </c>
      <c r="C1066" s="30" t="s">
        <v>1121</v>
      </c>
      <c r="D1066" s="32" t="n">
        <f aca="false">SUMIF('Libro Diario'!$C$5:$C$504,A1066,'Libro Diario'!$F$5:$F$504)</f>
        <v>0</v>
      </c>
      <c r="E1066" s="32" t="n">
        <f aca="false">SUMIF('Libro Diario'!$C$5:$C$504,A1066,'Libro Diario'!$G$5:$G$504)</f>
        <v>0</v>
      </c>
      <c r="F1066" s="32" t="n">
        <f aca="false">IF(D1066&gt;=E1066,D1066-E1066,0)</f>
        <v>0</v>
      </c>
      <c r="G1066" s="32" t="n">
        <f aca="false">IF(E1066&gt;D1066,E1066-D1066,0)</f>
        <v>0</v>
      </c>
    </row>
    <row r="1067" customFormat="false" ht="15" hidden="false" customHeight="true" outlineLevel="0" collapsed="false">
      <c r="A1067" s="30" t="s">
        <v>1492</v>
      </c>
      <c r="B1067" s="31" t="s">
        <v>1493</v>
      </c>
      <c r="C1067" s="30" t="s">
        <v>1121</v>
      </c>
      <c r="D1067" s="32" t="n">
        <f aca="false">SUMIF('Libro Diario'!$C$5:$C$504,A1067,'Libro Diario'!$F$5:$F$504)</f>
        <v>0</v>
      </c>
      <c r="E1067" s="32" t="n">
        <f aca="false">SUMIF('Libro Diario'!$C$5:$C$504,A1067,'Libro Diario'!$G$5:$G$504)</f>
        <v>0</v>
      </c>
      <c r="F1067" s="32" t="n">
        <f aca="false">IF(D1067&gt;=E1067,D1067-E1067,0)</f>
        <v>0</v>
      </c>
      <c r="G1067" s="32" t="n">
        <f aca="false">IF(E1067&gt;D1067,E1067-D1067,0)</f>
        <v>0</v>
      </c>
    </row>
    <row r="1068" customFormat="false" ht="15" hidden="false" customHeight="true" outlineLevel="0" collapsed="false">
      <c r="A1068" s="30" t="s">
        <v>1494</v>
      </c>
      <c r="B1068" s="31" t="s">
        <v>1495</v>
      </c>
      <c r="C1068" s="30" t="s">
        <v>1121</v>
      </c>
      <c r="D1068" s="32" t="n">
        <f aca="false">SUMIF('Libro Diario'!$C$5:$C$504,A1068,'Libro Diario'!$F$5:$F$504)</f>
        <v>0</v>
      </c>
      <c r="E1068" s="32" t="n">
        <f aca="false">SUMIF('Libro Diario'!$C$5:$C$504,A1068,'Libro Diario'!$G$5:$G$504)</f>
        <v>0</v>
      </c>
      <c r="F1068" s="32" t="n">
        <f aca="false">IF(D1068&gt;=E1068,D1068-E1068,0)</f>
        <v>0</v>
      </c>
      <c r="G1068" s="32" t="n">
        <f aca="false">IF(E1068&gt;D1068,E1068-D1068,0)</f>
        <v>0</v>
      </c>
    </row>
    <row r="1069" customFormat="false" ht="15" hidden="false" customHeight="true" outlineLevel="0" collapsed="false">
      <c r="A1069" s="30" t="s">
        <v>1496</v>
      </c>
      <c r="B1069" s="31" t="s">
        <v>1497</v>
      </c>
      <c r="C1069" s="30" t="s">
        <v>1121</v>
      </c>
      <c r="D1069" s="32" t="n">
        <f aca="false">SUMIF('Libro Diario'!$C$5:$C$504,A1069,'Libro Diario'!$F$5:$F$504)</f>
        <v>0</v>
      </c>
      <c r="E1069" s="32" t="n">
        <f aca="false">SUMIF('Libro Diario'!$C$5:$C$504,A1069,'Libro Diario'!$G$5:$G$504)</f>
        <v>0</v>
      </c>
      <c r="F1069" s="32" t="n">
        <f aca="false">IF(D1069&gt;=E1069,D1069-E1069,0)</f>
        <v>0</v>
      </c>
      <c r="G1069" s="32" t="n">
        <f aca="false">IF(E1069&gt;D1069,E1069-D1069,0)</f>
        <v>0</v>
      </c>
    </row>
    <row r="1070" customFormat="false" ht="15" hidden="false" customHeight="true" outlineLevel="0" collapsed="false">
      <c r="A1070" s="30" t="s">
        <v>1498</v>
      </c>
      <c r="B1070" s="31" t="s">
        <v>1499</v>
      </c>
      <c r="C1070" s="30" t="s">
        <v>1121</v>
      </c>
      <c r="D1070" s="32" t="n">
        <f aca="false">SUMIF('Libro Diario'!$C$5:$C$504,A1070,'Libro Diario'!$F$5:$F$504)</f>
        <v>0</v>
      </c>
      <c r="E1070" s="32" t="n">
        <f aca="false">SUMIF('Libro Diario'!$C$5:$C$504,A1070,'Libro Diario'!$G$5:$G$504)</f>
        <v>0</v>
      </c>
      <c r="F1070" s="32" t="n">
        <f aca="false">IF(D1070&gt;=E1070,D1070-E1070,0)</f>
        <v>0</v>
      </c>
      <c r="G1070" s="32" t="n">
        <f aca="false">IF(E1070&gt;D1070,E1070-D1070,0)</f>
        <v>0</v>
      </c>
    </row>
    <row r="1071" customFormat="false" ht="15" hidden="false" customHeight="true" outlineLevel="0" collapsed="false">
      <c r="A1071" s="30" t="s">
        <v>1500</v>
      </c>
      <c r="B1071" s="31" t="s">
        <v>1038</v>
      </c>
      <c r="C1071" s="30" t="s">
        <v>1121</v>
      </c>
      <c r="D1071" s="32" t="n">
        <f aca="false">SUMIF('Libro Diario'!$C$5:$C$504,A1071,'Libro Diario'!$F$5:$F$504)</f>
        <v>0</v>
      </c>
      <c r="E1071" s="32" t="n">
        <f aca="false">SUMIF('Libro Diario'!$C$5:$C$504,A1071,'Libro Diario'!$G$5:$G$504)</f>
        <v>0</v>
      </c>
      <c r="F1071" s="32" t="n">
        <f aca="false">IF(D1071&gt;=E1071,D1071-E1071,0)</f>
        <v>0</v>
      </c>
      <c r="G1071" s="32" t="n">
        <f aca="false">IF(E1071&gt;D1071,E1071-D1071,0)</f>
        <v>0</v>
      </c>
    </row>
    <row r="1072" customFormat="false" ht="15" hidden="false" customHeight="true" outlineLevel="0" collapsed="false">
      <c r="A1072" s="30" t="s">
        <v>1501</v>
      </c>
      <c r="B1072" s="31" t="s">
        <v>1502</v>
      </c>
      <c r="C1072" s="30" t="s">
        <v>1121</v>
      </c>
      <c r="D1072" s="32" t="n">
        <f aca="false">SUMIF('Libro Diario'!$C$5:$C$504,A1072,'Libro Diario'!$F$5:$F$504)</f>
        <v>0</v>
      </c>
      <c r="E1072" s="32" t="n">
        <f aca="false">SUMIF('Libro Diario'!$C$5:$C$504,A1072,'Libro Diario'!$G$5:$G$504)</f>
        <v>0</v>
      </c>
      <c r="F1072" s="32" t="n">
        <f aca="false">IF(D1072&gt;=E1072,D1072-E1072,0)</f>
        <v>0</v>
      </c>
      <c r="G1072" s="32" t="n">
        <f aca="false">IF(E1072&gt;D1072,E1072-D1072,0)</f>
        <v>0</v>
      </c>
    </row>
    <row r="1073" customFormat="false" ht="15" hidden="false" customHeight="true" outlineLevel="0" collapsed="false">
      <c r="A1073" s="30" t="s">
        <v>1503</v>
      </c>
      <c r="B1073" s="31" t="s">
        <v>1504</v>
      </c>
      <c r="C1073" s="30" t="s">
        <v>1121</v>
      </c>
      <c r="D1073" s="32" t="n">
        <f aca="false">SUMIF('Libro Diario'!$C$5:$C$504,A1073,'Libro Diario'!$F$5:$F$504)</f>
        <v>0</v>
      </c>
      <c r="E1073" s="32" t="n">
        <f aca="false">SUMIF('Libro Diario'!$C$5:$C$504,A1073,'Libro Diario'!$G$5:$G$504)</f>
        <v>0</v>
      </c>
      <c r="F1073" s="32" t="n">
        <f aca="false">IF(D1073&gt;=E1073,D1073-E1073,0)</f>
        <v>0</v>
      </c>
      <c r="G1073" s="32" t="n">
        <f aca="false">IF(E1073&gt;D1073,E1073-D1073,0)</f>
        <v>0</v>
      </c>
    </row>
    <row r="1074" customFormat="false" ht="15" hidden="false" customHeight="true" outlineLevel="0" collapsed="false">
      <c r="A1074" s="30" t="s">
        <v>1505</v>
      </c>
      <c r="B1074" s="31" t="s">
        <v>1502</v>
      </c>
      <c r="C1074" s="30" t="s">
        <v>1121</v>
      </c>
      <c r="D1074" s="32" t="n">
        <f aca="false">SUMIF('Libro Diario'!$C$5:$C$504,A1074,'Libro Diario'!$F$5:$F$504)</f>
        <v>0</v>
      </c>
      <c r="E1074" s="32" t="n">
        <f aca="false">SUMIF('Libro Diario'!$C$5:$C$504,A1074,'Libro Diario'!$G$5:$G$504)</f>
        <v>0</v>
      </c>
      <c r="F1074" s="32" t="n">
        <f aca="false">IF(D1074&gt;=E1074,D1074-E1074,0)</f>
        <v>0</v>
      </c>
      <c r="G1074" s="32" t="n">
        <f aca="false">IF(E1074&gt;D1074,E1074-D1074,0)</f>
        <v>0</v>
      </c>
    </row>
    <row r="1075" customFormat="false" ht="15" hidden="false" customHeight="true" outlineLevel="0" collapsed="false">
      <c r="A1075" s="30" t="s">
        <v>1506</v>
      </c>
      <c r="B1075" s="31" t="s">
        <v>1504</v>
      </c>
      <c r="C1075" s="30" t="s">
        <v>1121</v>
      </c>
      <c r="D1075" s="32" t="n">
        <f aca="false">SUMIF('Libro Diario'!$C$5:$C$504,A1075,'Libro Diario'!$F$5:$F$504)</f>
        <v>0</v>
      </c>
      <c r="E1075" s="32" t="n">
        <f aca="false">SUMIF('Libro Diario'!$C$5:$C$504,A1075,'Libro Diario'!$G$5:$G$504)</f>
        <v>0</v>
      </c>
      <c r="F1075" s="32" t="n">
        <f aca="false">IF(D1075&gt;=E1075,D1075-E1075,0)</f>
        <v>0</v>
      </c>
      <c r="G1075" s="32" t="n">
        <f aca="false">IF(E1075&gt;D1075,E1075-D1075,0)</f>
        <v>0</v>
      </c>
    </row>
    <row r="1076" customFormat="false" ht="15" hidden="false" customHeight="true" outlineLevel="0" collapsed="false">
      <c r="A1076" s="30" t="s">
        <v>1507</v>
      </c>
      <c r="B1076" s="31" t="s">
        <v>1502</v>
      </c>
      <c r="C1076" s="30" t="s">
        <v>1121</v>
      </c>
      <c r="D1076" s="32" t="n">
        <f aca="false">SUMIF('Libro Diario'!$C$5:$C$504,A1076,'Libro Diario'!$F$5:$F$504)</f>
        <v>0</v>
      </c>
      <c r="E1076" s="32" t="n">
        <f aca="false">SUMIF('Libro Diario'!$C$5:$C$504,A1076,'Libro Diario'!$G$5:$G$504)</f>
        <v>0</v>
      </c>
      <c r="F1076" s="32" t="n">
        <f aca="false">IF(D1076&gt;=E1076,D1076-E1076,0)</f>
        <v>0</v>
      </c>
      <c r="G1076" s="32" t="n">
        <f aca="false">IF(E1076&gt;D1076,E1076-D1076,0)</f>
        <v>0</v>
      </c>
    </row>
    <row r="1077" customFormat="false" ht="15" hidden="false" customHeight="true" outlineLevel="0" collapsed="false">
      <c r="A1077" s="30" t="s">
        <v>1508</v>
      </c>
      <c r="B1077" s="31" t="s">
        <v>1504</v>
      </c>
      <c r="C1077" s="30" t="s">
        <v>1121</v>
      </c>
      <c r="D1077" s="32" t="n">
        <f aca="false">SUMIF('Libro Diario'!$C$5:$C$504,A1077,'Libro Diario'!$F$5:$F$504)</f>
        <v>0</v>
      </c>
      <c r="E1077" s="32" t="n">
        <f aca="false">SUMIF('Libro Diario'!$C$5:$C$504,A1077,'Libro Diario'!$G$5:$G$504)</f>
        <v>0</v>
      </c>
      <c r="F1077" s="32" t="n">
        <f aca="false">IF(D1077&gt;=E1077,D1077-E1077,0)</f>
        <v>0</v>
      </c>
      <c r="G1077" s="32" t="n">
        <f aca="false">IF(E1077&gt;D1077,E1077-D1077,0)</f>
        <v>0</v>
      </c>
    </row>
    <row r="1078" customFormat="false" ht="15" hidden="false" customHeight="true" outlineLevel="0" collapsed="false">
      <c r="A1078" s="30" t="s">
        <v>1509</v>
      </c>
      <c r="B1078" s="31" t="s">
        <v>1502</v>
      </c>
      <c r="C1078" s="30" t="s">
        <v>1121</v>
      </c>
      <c r="D1078" s="32" t="n">
        <f aca="false">SUMIF('Libro Diario'!$C$5:$C$504,A1078,'Libro Diario'!$F$5:$F$504)</f>
        <v>0</v>
      </c>
      <c r="E1078" s="32" t="n">
        <f aca="false">SUMIF('Libro Diario'!$C$5:$C$504,A1078,'Libro Diario'!$G$5:$G$504)</f>
        <v>0</v>
      </c>
      <c r="F1078" s="32" t="n">
        <f aca="false">IF(D1078&gt;=E1078,D1078-E1078,0)</f>
        <v>0</v>
      </c>
      <c r="G1078" s="32" t="n">
        <f aca="false">IF(E1078&gt;D1078,E1078-D1078,0)</f>
        <v>0</v>
      </c>
    </row>
    <row r="1079" customFormat="false" ht="15" hidden="false" customHeight="true" outlineLevel="0" collapsed="false">
      <c r="A1079" s="30" t="s">
        <v>1510</v>
      </c>
      <c r="B1079" s="31" t="s">
        <v>1504</v>
      </c>
      <c r="C1079" s="30" t="s">
        <v>1121</v>
      </c>
      <c r="D1079" s="32" t="n">
        <f aca="false">SUMIF('Libro Diario'!$C$5:$C$504,A1079,'Libro Diario'!$F$5:$F$504)</f>
        <v>0</v>
      </c>
      <c r="E1079" s="32" t="n">
        <f aca="false">SUMIF('Libro Diario'!$C$5:$C$504,A1079,'Libro Diario'!$G$5:$G$504)</f>
        <v>0</v>
      </c>
      <c r="F1079" s="32" t="n">
        <f aca="false">IF(D1079&gt;=E1079,D1079-E1079,0)</f>
        <v>0</v>
      </c>
      <c r="G1079" s="32" t="n">
        <f aca="false">IF(E1079&gt;D1079,E1079-D1079,0)</f>
        <v>0</v>
      </c>
    </row>
    <row r="1080" customFormat="false" ht="15" hidden="false" customHeight="true" outlineLevel="0" collapsed="false">
      <c r="A1080" s="30" t="s">
        <v>1511</v>
      </c>
      <c r="B1080" s="31" t="s">
        <v>1502</v>
      </c>
      <c r="C1080" s="30" t="s">
        <v>1121</v>
      </c>
      <c r="D1080" s="32" t="n">
        <f aca="false">SUMIF('Libro Diario'!$C$5:$C$504,A1080,'Libro Diario'!$F$5:$F$504)</f>
        <v>0</v>
      </c>
      <c r="E1080" s="32" t="n">
        <f aca="false">SUMIF('Libro Diario'!$C$5:$C$504,A1080,'Libro Diario'!$G$5:$G$504)</f>
        <v>0</v>
      </c>
      <c r="F1080" s="32" t="n">
        <f aca="false">IF(D1080&gt;=E1080,D1080-E1080,0)</f>
        <v>0</v>
      </c>
      <c r="G1080" s="32" t="n">
        <f aca="false">IF(E1080&gt;D1080,E1080-D1080,0)</f>
        <v>0</v>
      </c>
    </row>
    <row r="1081" customFormat="false" ht="15" hidden="false" customHeight="true" outlineLevel="0" collapsed="false">
      <c r="A1081" s="30" t="s">
        <v>1512</v>
      </c>
      <c r="B1081" s="31" t="s">
        <v>1504</v>
      </c>
      <c r="C1081" s="30" t="s">
        <v>1121</v>
      </c>
      <c r="D1081" s="32" t="n">
        <f aca="false">SUMIF('Libro Diario'!$C$5:$C$504,A1081,'Libro Diario'!$F$5:$F$504)</f>
        <v>0</v>
      </c>
      <c r="E1081" s="32" t="n">
        <f aca="false">SUMIF('Libro Diario'!$C$5:$C$504,A1081,'Libro Diario'!$G$5:$G$504)</f>
        <v>0</v>
      </c>
      <c r="F1081" s="32" t="n">
        <f aca="false">IF(D1081&gt;=E1081,D1081-E1081,0)</f>
        <v>0</v>
      </c>
      <c r="G1081" s="32" t="n">
        <f aca="false">IF(E1081&gt;D1081,E1081-D1081,0)</f>
        <v>0</v>
      </c>
    </row>
    <row r="1082" customFormat="false" ht="15" hidden="false" customHeight="true" outlineLevel="0" collapsed="false">
      <c r="A1082" s="30" t="s">
        <v>1513</v>
      </c>
      <c r="B1082" s="31" t="s">
        <v>1514</v>
      </c>
      <c r="C1082" s="30" t="s">
        <v>1121</v>
      </c>
      <c r="D1082" s="32" t="n">
        <f aca="false">SUMIF('Libro Diario'!$C$5:$C$504,A1082,'Libro Diario'!$F$5:$F$504)</f>
        <v>0</v>
      </c>
      <c r="E1082" s="32" t="n">
        <f aca="false">SUMIF('Libro Diario'!$C$5:$C$504,A1082,'Libro Diario'!$G$5:$G$504)</f>
        <v>0</v>
      </c>
      <c r="F1082" s="32" t="n">
        <f aca="false">IF(D1082&gt;=E1082,D1082-E1082,0)</f>
        <v>0</v>
      </c>
      <c r="G1082" s="32" t="n">
        <f aca="false">IF(E1082&gt;D1082,E1082-D1082,0)</f>
        <v>0</v>
      </c>
    </row>
    <row r="1083" customFormat="false" ht="15" hidden="false" customHeight="true" outlineLevel="0" collapsed="false">
      <c r="A1083" s="30" t="s">
        <v>1515</v>
      </c>
      <c r="B1083" s="31" t="s">
        <v>1516</v>
      </c>
      <c r="C1083" s="30" t="s">
        <v>1121</v>
      </c>
      <c r="D1083" s="32" t="n">
        <f aca="false">SUMIF('Libro Diario'!$C$5:$C$504,A1083,'Libro Diario'!$F$5:$F$504)</f>
        <v>0</v>
      </c>
      <c r="E1083" s="32" t="n">
        <f aca="false">SUMIF('Libro Diario'!$C$5:$C$504,A1083,'Libro Diario'!$G$5:$G$504)</f>
        <v>0</v>
      </c>
      <c r="F1083" s="32" t="n">
        <f aca="false">IF(D1083&gt;=E1083,D1083-E1083,0)</f>
        <v>0</v>
      </c>
      <c r="G1083" s="32" t="n">
        <f aca="false">IF(E1083&gt;D1083,E1083-D1083,0)</f>
        <v>0</v>
      </c>
    </row>
    <row r="1084" customFormat="false" ht="15" hidden="false" customHeight="true" outlineLevel="0" collapsed="false">
      <c r="A1084" s="30" t="s">
        <v>1517</v>
      </c>
      <c r="B1084" s="31" t="s">
        <v>1502</v>
      </c>
      <c r="C1084" s="30" t="s">
        <v>1121</v>
      </c>
      <c r="D1084" s="32" t="n">
        <f aca="false">SUMIF('Libro Diario'!$C$5:$C$504,A1084,'Libro Diario'!$F$5:$F$504)</f>
        <v>0</v>
      </c>
      <c r="E1084" s="32" t="n">
        <f aca="false">SUMIF('Libro Diario'!$C$5:$C$504,A1084,'Libro Diario'!$G$5:$G$504)</f>
        <v>0</v>
      </c>
      <c r="F1084" s="32" t="n">
        <f aca="false">IF(D1084&gt;=E1084,D1084-E1084,0)</f>
        <v>0</v>
      </c>
      <c r="G1084" s="32" t="n">
        <f aca="false">IF(E1084&gt;D1084,E1084-D1084,0)</f>
        <v>0</v>
      </c>
    </row>
    <row r="1085" customFormat="false" ht="15" hidden="false" customHeight="true" outlineLevel="0" collapsed="false">
      <c r="A1085" s="30" t="s">
        <v>1518</v>
      </c>
      <c r="B1085" s="31" t="s">
        <v>1504</v>
      </c>
      <c r="C1085" s="30" t="s">
        <v>1121</v>
      </c>
      <c r="D1085" s="32" t="n">
        <f aca="false">SUMIF('Libro Diario'!$C$5:$C$504,A1085,'Libro Diario'!$F$5:$F$504)</f>
        <v>0</v>
      </c>
      <c r="E1085" s="32" t="n">
        <f aca="false">SUMIF('Libro Diario'!$C$5:$C$504,A1085,'Libro Diario'!$G$5:$G$504)</f>
        <v>0</v>
      </c>
      <c r="F1085" s="32" t="n">
        <f aca="false">IF(D1085&gt;=E1085,D1085-E1085,0)</f>
        <v>0</v>
      </c>
      <c r="G1085" s="32" t="n">
        <f aca="false">IF(E1085&gt;D1085,E1085-D1085,0)</f>
        <v>0</v>
      </c>
    </row>
    <row r="1086" customFormat="false" ht="15" hidden="false" customHeight="true" outlineLevel="0" collapsed="false">
      <c r="A1086" s="30" t="s">
        <v>1519</v>
      </c>
      <c r="B1086" s="31" t="s">
        <v>1502</v>
      </c>
      <c r="C1086" s="30" t="s">
        <v>1121</v>
      </c>
      <c r="D1086" s="32" t="n">
        <f aca="false">SUMIF('Libro Diario'!$C$5:$C$504,A1086,'Libro Diario'!$F$5:$F$504)</f>
        <v>0</v>
      </c>
      <c r="E1086" s="32" t="n">
        <f aca="false">SUMIF('Libro Diario'!$C$5:$C$504,A1086,'Libro Diario'!$G$5:$G$504)</f>
        <v>0</v>
      </c>
      <c r="F1086" s="32" t="n">
        <f aca="false">IF(D1086&gt;=E1086,D1086-E1086,0)</f>
        <v>0</v>
      </c>
      <c r="G1086" s="32" t="n">
        <f aca="false">IF(E1086&gt;D1086,E1086-D1086,0)</f>
        <v>0</v>
      </c>
    </row>
    <row r="1087" customFormat="false" ht="15" hidden="false" customHeight="true" outlineLevel="0" collapsed="false">
      <c r="A1087" s="30" t="s">
        <v>1520</v>
      </c>
      <c r="B1087" s="31" t="s">
        <v>1504</v>
      </c>
      <c r="C1087" s="30" t="s">
        <v>1121</v>
      </c>
      <c r="D1087" s="32" t="n">
        <f aca="false">SUMIF('Libro Diario'!$C$5:$C$504,A1087,'Libro Diario'!$F$5:$F$504)</f>
        <v>0</v>
      </c>
      <c r="E1087" s="32" t="n">
        <f aca="false">SUMIF('Libro Diario'!$C$5:$C$504,A1087,'Libro Diario'!$G$5:$G$504)</f>
        <v>0</v>
      </c>
      <c r="F1087" s="32" t="n">
        <f aca="false">IF(D1087&gt;=E1087,D1087-E1087,0)</f>
        <v>0</v>
      </c>
      <c r="G1087" s="32" t="n">
        <f aca="false">IF(E1087&gt;D1087,E1087-D1087,0)</f>
        <v>0</v>
      </c>
    </row>
    <row r="1088" customFormat="false" ht="15" hidden="false" customHeight="true" outlineLevel="0" collapsed="false">
      <c r="A1088" s="30" t="s">
        <v>1521</v>
      </c>
      <c r="B1088" s="31" t="s">
        <v>1502</v>
      </c>
      <c r="C1088" s="30" t="s">
        <v>1121</v>
      </c>
      <c r="D1088" s="32" t="n">
        <f aca="false">SUMIF('Libro Diario'!$C$5:$C$504,A1088,'Libro Diario'!$F$5:$F$504)</f>
        <v>0</v>
      </c>
      <c r="E1088" s="32" t="n">
        <f aca="false">SUMIF('Libro Diario'!$C$5:$C$504,A1088,'Libro Diario'!$G$5:$G$504)</f>
        <v>0</v>
      </c>
      <c r="F1088" s="32" t="n">
        <f aca="false">IF(D1088&gt;=E1088,D1088-E1088,0)</f>
        <v>0</v>
      </c>
      <c r="G1088" s="32" t="n">
        <f aca="false">IF(E1088&gt;D1088,E1088-D1088,0)</f>
        <v>0</v>
      </c>
    </row>
    <row r="1089" customFormat="false" ht="15" hidden="false" customHeight="true" outlineLevel="0" collapsed="false">
      <c r="A1089" s="30" t="s">
        <v>1522</v>
      </c>
      <c r="B1089" s="31" t="s">
        <v>1504</v>
      </c>
      <c r="C1089" s="30" t="s">
        <v>1121</v>
      </c>
      <c r="D1089" s="32" t="n">
        <f aca="false">SUMIF('Libro Diario'!$C$5:$C$504,A1089,'Libro Diario'!$F$5:$F$504)</f>
        <v>0</v>
      </c>
      <c r="E1089" s="32" t="n">
        <f aca="false">SUMIF('Libro Diario'!$C$5:$C$504,A1089,'Libro Diario'!$G$5:$G$504)</f>
        <v>0</v>
      </c>
      <c r="F1089" s="32" t="n">
        <f aca="false">IF(D1089&gt;=E1089,D1089-E1089,0)</f>
        <v>0</v>
      </c>
      <c r="G1089" s="32" t="n">
        <f aca="false">IF(E1089&gt;D1089,E1089-D1089,0)</f>
        <v>0</v>
      </c>
    </row>
    <row r="1090" customFormat="false" ht="15" hidden="false" customHeight="true" outlineLevel="0" collapsed="false">
      <c r="A1090" s="30" t="s">
        <v>1523</v>
      </c>
      <c r="B1090" s="31" t="s">
        <v>1502</v>
      </c>
      <c r="C1090" s="30" t="s">
        <v>1121</v>
      </c>
      <c r="D1090" s="32" t="n">
        <f aca="false">SUMIF('Libro Diario'!$C$5:$C$504,A1090,'Libro Diario'!$F$5:$F$504)</f>
        <v>0</v>
      </c>
      <c r="E1090" s="32" t="n">
        <f aca="false">SUMIF('Libro Diario'!$C$5:$C$504,A1090,'Libro Diario'!$G$5:$G$504)</f>
        <v>0</v>
      </c>
      <c r="F1090" s="32" t="n">
        <f aca="false">IF(D1090&gt;=E1090,D1090-E1090,0)</f>
        <v>0</v>
      </c>
      <c r="G1090" s="32" t="n">
        <f aca="false">IF(E1090&gt;D1090,E1090-D1090,0)</f>
        <v>0</v>
      </c>
    </row>
    <row r="1091" customFormat="false" ht="15" hidden="false" customHeight="true" outlineLevel="0" collapsed="false">
      <c r="A1091" s="30" t="s">
        <v>1524</v>
      </c>
      <c r="B1091" s="31" t="s">
        <v>1504</v>
      </c>
      <c r="C1091" s="30" t="s">
        <v>1121</v>
      </c>
      <c r="D1091" s="32" t="n">
        <f aca="false">SUMIF('Libro Diario'!$C$5:$C$504,A1091,'Libro Diario'!$F$5:$F$504)</f>
        <v>0</v>
      </c>
      <c r="E1091" s="32" t="n">
        <f aca="false">SUMIF('Libro Diario'!$C$5:$C$504,A1091,'Libro Diario'!$G$5:$G$504)</f>
        <v>0</v>
      </c>
      <c r="F1091" s="32" t="n">
        <f aca="false">IF(D1091&gt;=E1091,D1091-E1091,0)</f>
        <v>0</v>
      </c>
      <c r="G1091" s="32" t="n">
        <f aca="false">IF(E1091&gt;D1091,E1091-D1091,0)</f>
        <v>0</v>
      </c>
    </row>
    <row r="1092" customFormat="false" ht="15" hidden="false" customHeight="true" outlineLevel="0" collapsed="false">
      <c r="A1092" s="30" t="s">
        <v>1525</v>
      </c>
      <c r="B1092" s="31" t="s">
        <v>407</v>
      </c>
      <c r="C1092" s="30" t="s">
        <v>1121</v>
      </c>
      <c r="D1092" s="32" t="n">
        <f aca="false">SUMIF('Libro Diario'!$C$5:$C$504,A1092,'Libro Diario'!$F$5:$F$504)</f>
        <v>0</v>
      </c>
      <c r="E1092" s="32" t="n">
        <f aca="false">SUMIF('Libro Diario'!$C$5:$C$504,A1092,'Libro Diario'!$G$5:$G$504)</f>
        <v>0</v>
      </c>
      <c r="F1092" s="32" t="n">
        <f aca="false">IF(D1092&gt;=E1092,D1092-E1092,0)</f>
        <v>0</v>
      </c>
      <c r="G1092" s="32" t="n">
        <f aca="false">IF(E1092&gt;D1092,E1092-D1092,0)</f>
        <v>0</v>
      </c>
    </row>
    <row r="1093" customFormat="false" ht="15" hidden="false" customHeight="true" outlineLevel="0" collapsed="false">
      <c r="A1093" s="30" t="s">
        <v>1526</v>
      </c>
      <c r="B1093" s="31" t="s">
        <v>1328</v>
      </c>
      <c r="C1093" s="30" t="s">
        <v>1121</v>
      </c>
      <c r="D1093" s="32" t="n">
        <f aca="false">SUMIF('Libro Diario'!$C$5:$C$504,A1093,'Libro Diario'!$F$5:$F$504)</f>
        <v>0</v>
      </c>
      <c r="E1093" s="32" t="n">
        <f aca="false">SUMIF('Libro Diario'!$C$5:$C$504,A1093,'Libro Diario'!$G$5:$G$504)</f>
        <v>0</v>
      </c>
      <c r="F1093" s="32" t="n">
        <f aca="false">IF(D1093&gt;=E1093,D1093-E1093,0)</f>
        <v>0</v>
      </c>
      <c r="G1093" s="32" t="n">
        <f aca="false">IF(E1093&gt;D1093,E1093-D1093,0)</f>
        <v>0</v>
      </c>
    </row>
    <row r="1094" customFormat="false" ht="15" hidden="false" customHeight="true" outlineLevel="0" collapsed="false">
      <c r="A1094" s="30" t="s">
        <v>1527</v>
      </c>
      <c r="B1094" s="31" t="s">
        <v>1528</v>
      </c>
      <c r="C1094" s="30" t="s">
        <v>1121</v>
      </c>
      <c r="D1094" s="32" t="n">
        <f aca="false">SUMIF('Libro Diario'!$C$5:$C$504,A1094,'Libro Diario'!$F$5:$F$504)</f>
        <v>0</v>
      </c>
      <c r="E1094" s="32" t="n">
        <f aca="false">SUMIF('Libro Diario'!$C$5:$C$504,A1094,'Libro Diario'!$G$5:$G$504)</f>
        <v>0</v>
      </c>
      <c r="F1094" s="32" t="n">
        <f aca="false">IF(D1094&gt;=E1094,D1094-E1094,0)</f>
        <v>0</v>
      </c>
      <c r="G1094" s="32" t="n">
        <f aca="false">IF(E1094&gt;D1094,E1094-D1094,0)</f>
        <v>0</v>
      </c>
    </row>
    <row r="1095" customFormat="false" ht="15" hidden="false" customHeight="true" outlineLevel="0" collapsed="false">
      <c r="A1095" s="30" t="s">
        <v>1529</v>
      </c>
      <c r="B1095" s="31" t="s">
        <v>1530</v>
      </c>
      <c r="C1095" s="30" t="s">
        <v>1121</v>
      </c>
      <c r="D1095" s="32" t="n">
        <f aca="false">SUMIF('Libro Diario'!$C$5:$C$504,A1095,'Libro Diario'!$F$5:$F$504)</f>
        <v>0</v>
      </c>
      <c r="E1095" s="32" t="n">
        <f aca="false">SUMIF('Libro Diario'!$C$5:$C$504,A1095,'Libro Diario'!$G$5:$G$504)</f>
        <v>0</v>
      </c>
      <c r="F1095" s="32" t="n">
        <f aca="false">IF(D1095&gt;=E1095,D1095-E1095,0)</f>
        <v>0</v>
      </c>
      <c r="G1095" s="32" t="n">
        <f aca="false">IF(E1095&gt;D1095,E1095-D1095,0)</f>
        <v>0</v>
      </c>
    </row>
    <row r="1096" customFormat="false" ht="15" hidden="false" customHeight="true" outlineLevel="0" collapsed="false">
      <c r="A1096" s="30" t="s">
        <v>1531</v>
      </c>
      <c r="B1096" s="31" t="s">
        <v>409</v>
      </c>
      <c r="C1096" s="30" t="s">
        <v>1121</v>
      </c>
      <c r="D1096" s="32" t="n">
        <f aca="false">SUMIF('Libro Diario'!$C$5:$C$504,A1096,'Libro Diario'!$F$5:$F$504)</f>
        <v>0</v>
      </c>
      <c r="E1096" s="32" t="n">
        <f aca="false">SUMIF('Libro Diario'!$C$5:$C$504,A1096,'Libro Diario'!$G$5:$G$504)</f>
        <v>0</v>
      </c>
      <c r="F1096" s="32" t="n">
        <f aca="false">IF(D1096&gt;=E1096,D1096-E1096,0)</f>
        <v>0</v>
      </c>
      <c r="G1096" s="32" t="n">
        <f aca="false">IF(E1096&gt;D1096,E1096-D1096,0)</f>
        <v>0</v>
      </c>
    </row>
    <row r="1097" customFormat="false" ht="15" hidden="false" customHeight="true" outlineLevel="0" collapsed="false">
      <c r="A1097" s="30" t="s">
        <v>1532</v>
      </c>
      <c r="B1097" s="31" t="s">
        <v>411</v>
      </c>
      <c r="C1097" s="30" t="s">
        <v>1121</v>
      </c>
      <c r="D1097" s="32" t="n">
        <f aca="false">SUMIF('Libro Diario'!$C$5:$C$504,A1097,'Libro Diario'!$F$5:$F$504)</f>
        <v>0</v>
      </c>
      <c r="E1097" s="32" t="n">
        <f aca="false">SUMIF('Libro Diario'!$C$5:$C$504,A1097,'Libro Diario'!$G$5:$G$504)</f>
        <v>0</v>
      </c>
      <c r="F1097" s="32" t="n">
        <f aca="false">IF(D1097&gt;=E1097,D1097-E1097,0)</f>
        <v>0</v>
      </c>
      <c r="G1097" s="32" t="n">
        <f aca="false">IF(E1097&gt;D1097,E1097-D1097,0)</f>
        <v>0</v>
      </c>
    </row>
    <row r="1098" customFormat="false" ht="15" hidden="false" customHeight="true" outlineLevel="0" collapsed="false">
      <c r="A1098" s="30" t="s">
        <v>1533</v>
      </c>
      <c r="B1098" s="31" t="s">
        <v>413</v>
      </c>
      <c r="C1098" s="30" t="s">
        <v>1121</v>
      </c>
      <c r="D1098" s="32" t="n">
        <f aca="false">SUMIF('Libro Diario'!$C$5:$C$504,A1098,'Libro Diario'!$F$5:$F$504)</f>
        <v>0</v>
      </c>
      <c r="E1098" s="32" t="n">
        <f aca="false">SUMIF('Libro Diario'!$C$5:$C$504,A1098,'Libro Diario'!$G$5:$G$504)</f>
        <v>0</v>
      </c>
      <c r="F1098" s="32" t="n">
        <f aca="false">IF(D1098&gt;=E1098,D1098-E1098,0)</f>
        <v>0</v>
      </c>
      <c r="G1098" s="32" t="n">
        <f aca="false">IF(E1098&gt;D1098,E1098-D1098,0)</f>
        <v>0</v>
      </c>
    </row>
    <row r="1099" customFormat="false" ht="15" hidden="false" customHeight="true" outlineLevel="0" collapsed="false">
      <c r="A1099" s="30" t="s">
        <v>1534</v>
      </c>
      <c r="B1099" s="31" t="s">
        <v>1535</v>
      </c>
      <c r="C1099" s="30" t="s">
        <v>1121</v>
      </c>
      <c r="D1099" s="32" t="n">
        <f aca="false">SUMIF('Libro Diario'!$C$5:$C$504,A1099,'Libro Diario'!$F$5:$F$504)</f>
        <v>0</v>
      </c>
      <c r="E1099" s="32" t="n">
        <f aca="false">SUMIF('Libro Diario'!$C$5:$C$504,A1099,'Libro Diario'!$G$5:$G$504)</f>
        <v>0</v>
      </c>
      <c r="F1099" s="32" t="n">
        <f aca="false">IF(D1099&gt;=E1099,D1099-E1099,0)</f>
        <v>0</v>
      </c>
      <c r="G1099" s="32" t="n">
        <f aca="false">IF(E1099&gt;D1099,E1099-D1099,0)</f>
        <v>0</v>
      </c>
    </row>
    <row r="1100" customFormat="false" ht="15" hidden="false" customHeight="true" outlineLevel="0" collapsed="false">
      <c r="A1100" s="30" t="s">
        <v>1536</v>
      </c>
      <c r="B1100" s="31" t="s">
        <v>1502</v>
      </c>
      <c r="C1100" s="30" t="s">
        <v>1537</v>
      </c>
      <c r="D1100" s="32" t="n">
        <f aca="false">SUMIF('Libro Diario'!$C$5:$C$504,A1100,'Libro Diario'!$F$5:$F$504)</f>
        <v>0</v>
      </c>
      <c r="E1100" s="32" t="n">
        <f aca="false">SUMIF('Libro Diario'!$C$5:$C$504,A1100,'Libro Diario'!$G$5:$G$504)</f>
        <v>0</v>
      </c>
      <c r="F1100" s="32" t="n">
        <f aca="false">IF(D1100&gt;=E1100,D1100-E1100,0)</f>
        <v>0</v>
      </c>
      <c r="G1100" s="32" t="n">
        <f aca="false">IF(E1100&gt;D1100,E1100-D1100,0)</f>
        <v>0</v>
      </c>
    </row>
    <row r="1101" customFormat="false" ht="15" hidden="false" customHeight="true" outlineLevel="0" collapsed="false">
      <c r="A1101" s="30" t="s">
        <v>1538</v>
      </c>
      <c r="B1101" s="31" t="s">
        <v>1504</v>
      </c>
      <c r="C1101" s="30" t="s">
        <v>1537</v>
      </c>
      <c r="D1101" s="32" t="n">
        <f aca="false">SUMIF('Libro Diario'!$C$5:$C$504,A1101,'Libro Diario'!$F$5:$F$504)</f>
        <v>0</v>
      </c>
      <c r="E1101" s="32" t="n">
        <f aca="false">SUMIF('Libro Diario'!$C$5:$C$504,A1101,'Libro Diario'!$G$5:$G$504)</f>
        <v>0</v>
      </c>
      <c r="F1101" s="32" t="n">
        <f aca="false">IF(D1101&gt;=E1101,D1101-E1101,0)</f>
        <v>0</v>
      </c>
      <c r="G1101" s="32" t="n">
        <f aca="false">IF(E1101&gt;D1101,E1101-D1101,0)</f>
        <v>0</v>
      </c>
    </row>
    <row r="1102" customFormat="false" ht="15" hidden="false" customHeight="true" outlineLevel="0" collapsed="false">
      <c r="A1102" s="30" t="s">
        <v>1539</v>
      </c>
      <c r="B1102" s="31" t="s">
        <v>1540</v>
      </c>
      <c r="C1102" s="30" t="s">
        <v>1537</v>
      </c>
      <c r="D1102" s="32" t="n">
        <f aca="false">SUMIF('Libro Diario'!$C$5:$C$504,A1102,'Libro Diario'!$F$5:$F$504)</f>
        <v>0</v>
      </c>
      <c r="E1102" s="32" t="n">
        <f aca="false">SUMIF('Libro Diario'!$C$5:$C$504,A1102,'Libro Diario'!$G$5:$G$504)</f>
        <v>0</v>
      </c>
      <c r="F1102" s="32" t="n">
        <f aca="false">IF(D1102&gt;=E1102,D1102-E1102,0)</f>
        <v>0</v>
      </c>
      <c r="G1102" s="32" t="n">
        <f aca="false">IF(E1102&gt;D1102,E1102-D1102,0)</f>
        <v>0</v>
      </c>
    </row>
    <row r="1103" customFormat="false" ht="15" hidden="false" customHeight="true" outlineLevel="0" collapsed="false">
      <c r="A1103" s="30" t="s">
        <v>1536</v>
      </c>
      <c r="B1103" s="31" t="s">
        <v>1502</v>
      </c>
      <c r="C1103" s="30" t="s">
        <v>1537</v>
      </c>
      <c r="D1103" s="32" t="n">
        <f aca="false">SUMIF('Libro Diario'!$C$5:$C$504,A1103,'Libro Diario'!$F$5:$F$504)</f>
        <v>0</v>
      </c>
      <c r="E1103" s="32" t="n">
        <f aca="false">SUMIF('Libro Diario'!$C$5:$C$504,A1103,'Libro Diario'!$G$5:$G$504)</f>
        <v>0</v>
      </c>
      <c r="F1103" s="32" t="n">
        <f aca="false">IF(D1103&gt;=E1103,D1103-E1103,0)</f>
        <v>0</v>
      </c>
      <c r="G1103" s="32" t="n">
        <f aca="false">IF(E1103&gt;D1103,E1103-D1103,0)</f>
        <v>0</v>
      </c>
    </row>
    <row r="1104" customFormat="false" ht="15" hidden="false" customHeight="true" outlineLevel="0" collapsed="false">
      <c r="A1104" s="30" t="s">
        <v>1538</v>
      </c>
      <c r="B1104" s="31" t="s">
        <v>1504</v>
      </c>
      <c r="C1104" s="30" t="s">
        <v>1537</v>
      </c>
      <c r="D1104" s="32" t="n">
        <f aca="false">SUMIF('Libro Diario'!$C$5:$C$504,A1104,'Libro Diario'!$F$5:$F$504)</f>
        <v>0</v>
      </c>
      <c r="E1104" s="32" t="n">
        <f aca="false">SUMIF('Libro Diario'!$C$5:$C$504,A1104,'Libro Diario'!$G$5:$G$504)</f>
        <v>0</v>
      </c>
      <c r="F1104" s="32" t="n">
        <f aca="false">IF(D1104&gt;=E1104,D1104-E1104,0)</f>
        <v>0</v>
      </c>
      <c r="G1104" s="32" t="n">
        <f aca="false">IF(E1104&gt;D1104,E1104-D1104,0)</f>
        <v>0</v>
      </c>
    </row>
    <row r="1105" customFormat="false" ht="15" hidden="false" customHeight="true" outlineLevel="0" collapsed="false">
      <c r="A1105" s="30" t="s">
        <v>1541</v>
      </c>
      <c r="B1105" s="31" t="s">
        <v>1502</v>
      </c>
      <c r="C1105" s="30" t="s">
        <v>1537</v>
      </c>
      <c r="D1105" s="32" t="n">
        <f aca="false">SUMIF('Libro Diario'!$C$5:$C$504,A1105,'Libro Diario'!$F$5:$F$504)</f>
        <v>0</v>
      </c>
      <c r="E1105" s="32" t="n">
        <f aca="false">SUMIF('Libro Diario'!$C$5:$C$504,A1105,'Libro Diario'!$G$5:$G$504)</f>
        <v>0</v>
      </c>
      <c r="F1105" s="32" t="n">
        <f aca="false">IF(D1105&gt;=E1105,D1105-E1105,0)</f>
        <v>0</v>
      </c>
      <c r="G1105" s="32" t="n">
        <f aca="false">IF(E1105&gt;D1105,E1105-D1105,0)</f>
        <v>0</v>
      </c>
    </row>
    <row r="1106" customFormat="false" ht="15" hidden="false" customHeight="true" outlineLevel="0" collapsed="false">
      <c r="A1106" s="30" t="s">
        <v>1542</v>
      </c>
      <c r="B1106" s="31" t="s">
        <v>1504</v>
      </c>
      <c r="C1106" s="30" t="s">
        <v>1537</v>
      </c>
      <c r="D1106" s="32" t="n">
        <f aca="false">SUMIF('Libro Diario'!$C$5:$C$504,A1106,'Libro Diario'!$F$5:$F$504)</f>
        <v>0</v>
      </c>
      <c r="E1106" s="32" t="n">
        <f aca="false">SUMIF('Libro Diario'!$C$5:$C$504,A1106,'Libro Diario'!$G$5:$G$504)</f>
        <v>0</v>
      </c>
      <c r="F1106" s="32" t="n">
        <f aca="false">IF(D1106&gt;=E1106,D1106-E1106,0)</f>
        <v>0</v>
      </c>
      <c r="G1106" s="32" t="n">
        <f aca="false">IF(E1106&gt;D1106,E1106-D1106,0)</f>
        <v>0</v>
      </c>
    </row>
    <row r="1107" customFormat="false" ht="15" hidden="false" customHeight="true" outlineLevel="0" collapsed="false">
      <c r="A1107" s="30" t="s">
        <v>1543</v>
      </c>
      <c r="B1107" s="31" t="s">
        <v>1502</v>
      </c>
      <c r="C1107" s="30" t="s">
        <v>1537</v>
      </c>
      <c r="D1107" s="32" t="n">
        <f aca="false">SUMIF('Libro Diario'!$C$5:$C$504,A1107,'Libro Diario'!$F$5:$F$504)</f>
        <v>0</v>
      </c>
      <c r="E1107" s="32" t="n">
        <f aca="false">SUMIF('Libro Diario'!$C$5:$C$504,A1107,'Libro Diario'!$G$5:$G$504)</f>
        <v>0</v>
      </c>
      <c r="F1107" s="32" t="n">
        <f aca="false">IF(D1107&gt;=E1107,D1107-E1107,0)</f>
        <v>0</v>
      </c>
      <c r="G1107" s="32" t="n">
        <f aca="false">IF(E1107&gt;D1107,E1107-D1107,0)</f>
        <v>0</v>
      </c>
    </row>
    <row r="1108" customFormat="false" ht="15" hidden="false" customHeight="true" outlineLevel="0" collapsed="false">
      <c r="A1108" s="30" t="s">
        <v>1544</v>
      </c>
      <c r="B1108" s="31" t="s">
        <v>1504</v>
      </c>
      <c r="C1108" s="30" t="s">
        <v>1537</v>
      </c>
      <c r="D1108" s="32" t="n">
        <f aca="false">SUMIF('Libro Diario'!$C$5:$C$504,A1108,'Libro Diario'!$F$5:$F$504)</f>
        <v>0</v>
      </c>
      <c r="E1108" s="32" t="n">
        <f aca="false">SUMIF('Libro Diario'!$C$5:$C$504,A1108,'Libro Diario'!$G$5:$G$504)</f>
        <v>0</v>
      </c>
      <c r="F1108" s="32" t="n">
        <f aca="false">IF(D1108&gt;=E1108,D1108-E1108,0)</f>
        <v>0</v>
      </c>
      <c r="G1108" s="32" t="n">
        <f aca="false">IF(E1108&gt;D1108,E1108-D1108,0)</f>
        <v>0</v>
      </c>
    </row>
    <row r="1109" customFormat="false" ht="15" hidden="false" customHeight="true" outlineLevel="0" collapsed="false">
      <c r="A1109" s="30" t="s">
        <v>1545</v>
      </c>
      <c r="B1109" s="31" t="s">
        <v>1502</v>
      </c>
      <c r="C1109" s="30" t="s">
        <v>1537</v>
      </c>
      <c r="D1109" s="32" t="n">
        <f aca="false">SUMIF('Libro Diario'!$C$5:$C$504,A1109,'Libro Diario'!$F$5:$F$504)</f>
        <v>0</v>
      </c>
      <c r="E1109" s="32" t="n">
        <f aca="false">SUMIF('Libro Diario'!$C$5:$C$504,A1109,'Libro Diario'!$G$5:$G$504)</f>
        <v>0</v>
      </c>
      <c r="F1109" s="32" t="n">
        <f aca="false">IF(D1109&gt;=E1109,D1109-E1109,0)</f>
        <v>0</v>
      </c>
      <c r="G1109" s="32" t="n">
        <f aca="false">IF(E1109&gt;D1109,E1109-D1109,0)</f>
        <v>0</v>
      </c>
    </row>
    <row r="1110" customFormat="false" ht="15" hidden="false" customHeight="true" outlineLevel="0" collapsed="false">
      <c r="A1110" s="30" t="s">
        <v>1546</v>
      </c>
      <c r="B1110" s="31" t="s">
        <v>1504</v>
      </c>
      <c r="C1110" s="30" t="s">
        <v>1537</v>
      </c>
      <c r="D1110" s="32" t="n">
        <f aca="false">SUMIF('Libro Diario'!$C$5:$C$504,A1110,'Libro Diario'!$F$5:$F$504)</f>
        <v>0</v>
      </c>
      <c r="E1110" s="32" t="n">
        <f aca="false">SUMIF('Libro Diario'!$C$5:$C$504,A1110,'Libro Diario'!$G$5:$G$504)</f>
        <v>0</v>
      </c>
      <c r="F1110" s="32" t="n">
        <f aca="false">IF(D1110&gt;=E1110,D1110-E1110,0)</f>
        <v>0</v>
      </c>
      <c r="G1110" s="32" t="n">
        <f aca="false">IF(E1110&gt;D1110,E1110-D1110,0)</f>
        <v>0</v>
      </c>
    </row>
    <row r="1111" customFormat="false" ht="15" hidden="false" customHeight="true" outlineLevel="0" collapsed="false">
      <c r="A1111" s="30" t="s">
        <v>1547</v>
      </c>
      <c r="B1111" s="31" t="s">
        <v>1502</v>
      </c>
      <c r="C1111" s="30" t="s">
        <v>1537</v>
      </c>
      <c r="D1111" s="32" t="n">
        <f aca="false">SUMIF('Libro Diario'!$C$5:$C$504,A1111,'Libro Diario'!$F$5:$F$504)</f>
        <v>0</v>
      </c>
      <c r="E1111" s="32" t="n">
        <f aca="false">SUMIF('Libro Diario'!$C$5:$C$504,A1111,'Libro Diario'!$G$5:$G$504)</f>
        <v>0</v>
      </c>
      <c r="F1111" s="32" t="n">
        <f aca="false">IF(D1111&gt;=E1111,D1111-E1111,0)</f>
        <v>0</v>
      </c>
      <c r="G1111" s="32" t="n">
        <f aca="false">IF(E1111&gt;D1111,E1111-D1111,0)</f>
        <v>0</v>
      </c>
    </row>
    <row r="1112" customFormat="false" ht="15" hidden="false" customHeight="true" outlineLevel="0" collapsed="false">
      <c r="A1112" s="30" t="s">
        <v>1548</v>
      </c>
      <c r="B1112" s="31" t="s">
        <v>1504</v>
      </c>
      <c r="C1112" s="30" t="s">
        <v>1537</v>
      </c>
      <c r="D1112" s="32" t="n">
        <f aca="false">SUMIF('Libro Diario'!$C$5:$C$504,A1112,'Libro Diario'!$F$5:$F$504)</f>
        <v>0</v>
      </c>
      <c r="E1112" s="32" t="n">
        <f aca="false">SUMIF('Libro Diario'!$C$5:$C$504,A1112,'Libro Diario'!$G$5:$G$504)</f>
        <v>0</v>
      </c>
      <c r="F1112" s="32" t="n">
        <f aca="false">IF(D1112&gt;=E1112,D1112-E1112,0)</f>
        <v>0</v>
      </c>
      <c r="G1112" s="32" t="n">
        <f aca="false">IF(E1112&gt;D1112,E1112-D1112,0)</f>
        <v>0</v>
      </c>
    </row>
    <row r="1113" customFormat="false" ht="15" hidden="false" customHeight="true" outlineLevel="0" collapsed="false">
      <c r="A1113" s="30" t="s">
        <v>1549</v>
      </c>
      <c r="B1113" s="31" t="s">
        <v>1502</v>
      </c>
      <c r="C1113" s="30" t="s">
        <v>1537</v>
      </c>
      <c r="D1113" s="32" t="n">
        <f aca="false">SUMIF('Libro Diario'!$C$5:$C$504,A1113,'Libro Diario'!$F$5:$F$504)</f>
        <v>0</v>
      </c>
      <c r="E1113" s="32" t="n">
        <f aca="false">SUMIF('Libro Diario'!$C$5:$C$504,A1113,'Libro Diario'!$G$5:$G$504)</f>
        <v>0</v>
      </c>
      <c r="F1113" s="32" t="n">
        <f aca="false">IF(D1113&gt;=E1113,D1113-E1113,0)</f>
        <v>0</v>
      </c>
      <c r="G1113" s="32" t="n">
        <f aca="false">IF(E1113&gt;D1113,E1113-D1113,0)</f>
        <v>0</v>
      </c>
    </row>
    <row r="1114" customFormat="false" ht="15" hidden="false" customHeight="true" outlineLevel="0" collapsed="false">
      <c r="A1114" s="30" t="s">
        <v>1550</v>
      </c>
      <c r="B1114" s="31" t="s">
        <v>1504</v>
      </c>
      <c r="C1114" s="30" t="s">
        <v>1537</v>
      </c>
      <c r="D1114" s="32" t="n">
        <f aca="false">SUMIF('Libro Diario'!$C$5:$C$504,A1114,'Libro Diario'!$F$5:$F$504)</f>
        <v>0</v>
      </c>
      <c r="E1114" s="32" t="n">
        <f aca="false">SUMIF('Libro Diario'!$C$5:$C$504,A1114,'Libro Diario'!$G$5:$G$504)</f>
        <v>0</v>
      </c>
      <c r="F1114" s="32" t="n">
        <f aca="false">IF(D1114&gt;=E1114,D1114-E1114,0)</f>
        <v>0</v>
      </c>
      <c r="G1114" s="32" t="n">
        <f aca="false">IF(E1114&gt;D1114,E1114-D1114,0)</f>
        <v>0</v>
      </c>
    </row>
    <row r="1115" customFormat="false" ht="15" hidden="false" customHeight="true" outlineLevel="0" collapsed="false">
      <c r="A1115" s="30" t="s">
        <v>1551</v>
      </c>
      <c r="B1115" s="31" t="s">
        <v>1502</v>
      </c>
      <c r="C1115" s="30" t="s">
        <v>1537</v>
      </c>
      <c r="D1115" s="32" t="n">
        <f aca="false">SUMIF('Libro Diario'!$C$5:$C$504,A1115,'Libro Diario'!$F$5:$F$504)</f>
        <v>0</v>
      </c>
      <c r="E1115" s="32" t="n">
        <f aca="false">SUMIF('Libro Diario'!$C$5:$C$504,A1115,'Libro Diario'!$G$5:$G$504)</f>
        <v>0</v>
      </c>
      <c r="F1115" s="32" t="n">
        <f aca="false">IF(D1115&gt;=E1115,D1115-E1115,0)</f>
        <v>0</v>
      </c>
      <c r="G1115" s="32" t="n">
        <f aca="false">IF(E1115&gt;D1115,E1115-D1115,0)</f>
        <v>0</v>
      </c>
    </row>
    <row r="1116" customFormat="false" ht="15" hidden="false" customHeight="true" outlineLevel="0" collapsed="false">
      <c r="A1116" s="30" t="s">
        <v>1552</v>
      </c>
      <c r="B1116" s="31" t="s">
        <v>1504</v>
      </c>
      <c r="C1116" s="30" t="s">
        <v>1537</v>
      </c>
      <c r="D1116" s="32" t="n">
        <f aca="false">SUMIF('Libro Diario'!$C$5:$C$504,A1116,'Libro Diario'!$F$5:$F$504)</f>
        <v>0</v>
      </c>
      <c r="E1116" s="32" t="n">
        <f aca="false">SUMIF('Libro Diario'!$C$5:$C$504,A1116,'Libro Diario'!$G$5:$G$504)</f>
        <v>0</v>
      </c>
      <c r="F1116" s="32" t="n">
        <f aca="false">IF(D1116&gt;=E1116,D1116-E1116,0)</f>
        <v>0</v>
      </c>
      <c r="G1116" s="32" t="n">
        <f aca="false">IF(E1116&gt;D1116,E1116-D1116,0)</f>
        <v>0</v>
      </c>
    </row>
    <row r="1117" customFormat="false" ht="15" hidden="false" customHeight="true" outlineLevel="0" collapsed="false">
      <c r="A1117" s="30" t="s">
        <v>1553</v>
      </c>
      <c r="B1117" s="31" t="s">
        <v>1502</v>
      </c>
      <c r="C1117" s="30" t="s">
        <v>1537</v>
      </c>
      <c r="D1117" s="32" t="n">
        <f aca="false">SUMIF('Libro Diario'!$C$5:$C$504,A1117,'Libro Diario'!$F$5:$F$504)</f>
        <v>0</v>
      </c>
      <c r="E1117" s="32" t="n">
        <f aca="false">SUMIF('Libro Diario'!$C$5:$C$504,A1117,'Libro Diario'!$G$5:$G$504)</f>
        <v>0</v>
      </c>
      <c r="F1117" s="32" t="n">
        <f aca="false">IF(D1117&gt;=E1117,D1117-E1117,0)</f>
        <v>0</v>
      </c>
      <c r="G1117" s="32" t="n">
        <f aca="false">IF(E1117&gt;D1117,E1117-D1117,0)</f>
        <v>0</v>
      </c>
    </row>
    <row r="1118" customFormat="false" ht="15" hidden="false" customHeight="true" outlineLevel="0" collapsed="false">
      <c r="A1118" s="30" t="s">
        <v>1554</v>
      </c>
      <c r="B1118" s="31" t="s">
        <v>1504</v>
      </c>
      <c r="C1118" s="30" t="s">
        <v>1537</v>
      </c>
      <c r="D1118" s="32" t="n">
        <f aca="false">SUMIF('Libro Diario'!$C$5:$C$504,A1118,'Libro Diario'!$F$5:$F$504)</f>
        <v>0</v>
      </c>
      <c r="E1118" s="32" t="n">
        <f aca="false">SUMIF('Libro Diario'!$C$5:$C$504,A1118,'Libro Diario'!$G$5:$G$504)</f>
        <v>0</v>
      </c>
      <c r="F1118" s="32" t="n">
        <f aca="false">IF(D1118&gt;=E1118,D1118-E1118,0)</f>
        <v>0</v>
      </c>
      <c r="G1118" s="32" t="n">
        <f aca="false">IF(E1118&gt;D1118,E1118-D1118,0)</f>
        <v>0</v>
      </c>
    </row>
    <row r="1119" customFormat="false" ht="15" hidden="false" customHeight="true" outlineLevel="0" collapsed="false">
      <c r="A1119" s="30" t="s">
        <v>1555</v>
      </c>
      <c r="B1119" s="31" t="s">
        <v>1502</v>
      </c>
      <c r="C1119" s="30" t="s">
        <v>1537</v>
      </c>
      <c r="D1119" s="32" t="n">
        <f aca="false">SUMIF('Libro Diario'!$C$5:$C$504,A1119,'Libro Diario'!$F$5:$F$504)</f>
        <v>0</v>
      </c>
      <c r="E1119" s="32" t="n">
        <f aca="false">SUMIF('Libro Diario'!$C$5:$C$504,A1119,'Libro Diario'!$G$5:$G$504)</f>
        <v>0</v>
      </c>
      <c r="F1119" s="32" t="n">
        <f aca="false">IF(D1119&gt;=E1119,D1119-E1119,0)</f>
        <v>0</v>
      </c>
      <c r="G1119" s="32" t="n">
        <f aca="false">IF(E1119&gt;D1119,E1119-D1119,0)</f>
        <v>0</v>
      </c>
    </row>
    <row r="1120" customFormat="false" ht="15" hidden="false" customHeight="true" outlineLevel="0" collapsed="false">
      <c r="A1120" s="30" t="s">
        <v>1556</v>
      </c>
      <c r="B1120" s="31" t="s">
        <v>1504</v>
      </c>
      <c r="C1120" s="30" t="s">
        <v>1537</v>
      </c>
      <c r="D1120" s="32" t="n">
        <f aca="false">SUMIF('Libro Diario'!$C$5:$C$504,A1120,'Libro Diario'!$F$5:$F$504)</f>
        <v>0</v>
      </c>
      <c r="E1120" s="32" t="n">
        <f aca="false">SUMIF('Libro Diario'!$C$5:$C$504,A1120,'Libro Diario'!$G$5:$G$504)</f>
        <v>0</v>
      </c>
      <c r="F1120" s="32" t="n">
        <f aca="false">IF(D1120&gt;=E1120,D1120-E1120,0)</f>
        <v>0</v>
      </c>
      <c r="G1120" s="32" t="n">
        <f aca="false">IF(E1120&gt;D1120,E1120-D1120,0)</f>
        <v>0</v>
      </c>
    </row>
    <row r="1121" customFormat="false" ht="15" hidden="false" customHeight="true" outlineLevel="0" collapsed="false">
      <c r="A1121" s="30" t="s">
        <v>1557</v>
      </c>
      <c r="B1121" s="31" t="s">
        <v>1502</v>
      </c>
      <c r="C1121" s="30" t="s">
        <v>1537</v>
      </c>
      <c r="D1121" s="32" t="n">
        <f aca="false">SUMIF('Libro Diario'!$C$5:$C$504,A1121,'Libro Diario'!$F$5:$F$504)</f>
        <v>0</v>
      </c>
      <c r="E1121" s="32" t="n">
        <f aca="false">SUMIF('Libro Diario'!$C$5:$C$504,A1121,'Libro Diario'!$G$5:$G$504)</f>
        <v>0</v>
      </c>
      <c r="F1121" s="32" t="n">
        <f aca="false">IF(D1121&gt;=E1121,D1121-E1121,0)</f>
        <v>0</v>
      </c>
      <c r="G1121" s="32" t="n">
        <f aca="false">IF(E1121&gt;D1121,E1121-D1121,0)</f>
        <v>0</v>
      </c>
    </row>
    <row r="1122" customFormat="false" ht="15" hidden="false" customHeight="true" outlineLevel="0" collapsed="false">
      <c r="A1122" s="30" t="s">
        <v>1558</v>
      </c>
      <c r="B1122" s="31" t="s">
        <v>1504</v>
      </c>
      <c r="C1122" s="30" t="s">
        <v>1537</v>
      </c>
      <c r="D1122" s="32" t="n">
        <f aca="false">SUMIF('Libro Diario'!$C$5:$C$504,A1122,'Libro Diario'!$F$5:$F$504)</f>
        <v>0</v>
      </c>
      <c r="E1122" s="32" t="n">
        <f aca="false">SUMIF('Libro Diario'!$C$5:$C$504,A1122,'Libro Diario'!$G$5:$G$504)</f>
        <v>0</v>
      </c>
      <c r="F1122" s="32" t="n">
        <f aca="false">IF(D1122&gt;=E1122,D1122-E1122,0)</f>
        <v>0</v>
      </c>
      <c r="G1122" s="32" t="n">
        <f aca="false">IF(E1122&gt;D1122,E1122-D1122,0)</f>
        <v>0</v>
      </c>
    </row>
    <row r="1123" customFormat="false" ht="15" hidden="false" customHeight="true" outlineLevel="0" collapsed="false">
      <c r="A1123" s="30" t="s">
        <v>1559</v>
      </c>
      <c r="B1123" s="31" t="s">
        <v>1502</v>
      </c>
      <c r="C1123" s="30" t="s">
        <v>1537</v>
      </c>
      <c r="D1123" s="32" t="n">
        <f aca="false">SUMIF('Libro Diario'!$C$5:$C$504,A1123,'Libro Diario'!$F$5:$F$504)</f>
        <v>0</v>
      </c>
      <c r="E1123" s="32" t="n">
        <f aca="false">SUMIF('Libro Diario'!$C$5:$C$504,A1123,'Libro Diario'!$G$5:$G$504)</f>
        <v>0</v>
      </c>
      <c r="F1123" s="32" t="n">
        <f aca="false">IF(D1123&gt;=E1123,D1123-E1123,0)</f>
        <v>0</v>
      </c>
      <c r="G1123" s="32" t="n">
        <f aca="false">IF(E1123&gt;D1123,E1123-D1123,0)</f>
        <v>0</v>
      </c>
    </row>
    <row r="1124" customFormat="false" ht="15" hidden="false" customHeight="true" outlineLevel="0" collapsed="false">
      <c r="A1124" s="30" t="s">
        <v>1560</v>
      </c>
      <c r="B1124" s="31" t="s">
        <v>1504</v>
      </c>
      <c r="C1124" s="30" t="s">
        <v>1537</v>
      </c>
      <c r="D1124" s="32" t="n">
        <f aca="false">SUMIF('Libro Diario'!$C$5:$C$504,A1124,'Libro Diario'!$F$5:$F$504)</f>
        <v>0</v>
      </c>
      <c r="E1124" s="32" t="n">
        <f aca="false">SUMIF('Libro Diario'!$C$5:$C$504,A1124,'Libro Diario'!$G$5:$G$504)</f>
        <v>0</v>
      </c>
      <c r="F1124" s="32" t="n">
        <f aca="false">IF(D1124&gt;=E1124,D1124-E1124,0)</f>
        <v>0</v>
      </c>
      <c r="G1124" s="32" t="n">
        <f aca="false">IF(E1124&gt;D1124,E1124-D1124,0)</f>
        <v>0</v>
      </c>
    </row>
    <row r="1125" customFormat="false" ht="15" hidden="false" customHeight="true" outlineLevel="0" collapsed="false">
      <c r="A1125" s="30" t="s">
        <v>1561</v>
      </c>
      <c r="B1125" s="31" t="s">
        <v>1502</v>
      </c>
      <c r="C1125" s="30" t="s">
        <v>1537</v>
      </c>
      <c r="D1125" s="32" t="n">
        <f aca="false">SUMIF('Libro Diario'!$C$5:$C$504,A1125,'Libro Diario'!$F$5:$F$504)</f>
        <v>0</v>
      </c>
      <c r="E1125" s="32" t="n">
        <f aca="false">SUMIF('Libro Diario'!$C$5:$C$504,A1125,'Libro Diario'!$G$5:$G$504)</f>
        <v>0</v>
      </c>
      <c r="F1125" s="32" t="n">
        <f aca="false">IF(D1125&gt;=E1125,D1125-E1125,0)</f>
        <v>0</v>
      </c>
      <c r="G1125" s="32" t="n">
        <f aca="false">IF(E1125&gt;D1125,E1125-D1125,0)</f>
        <v>0</v>
      </c>
    </row>
    <row r="1126" customFormat="false" ht="15" hidden="false" customHeight="true" outlineLevel="0" collapsed="false">
      <c r="A1126" s="30" t="s">
        <v>1562</v>
      </c>
      <c r="B1126" s="31" t="s">
        <v>1504</v>
      </c>
      <c r="C1126" s="30" t="s">
        <v>1537</v>
      </c>
      <c r="D1126" s="32" t="n">
        <f aca="false">SUMIF('Libro Diario'!$C$5:$C$504,A1126,'Libro Diario'!$F$5:$F$504)</f>
        <v>0</v>
      </c>
      <c r="E1126" s="32" t="n">
        <f aca="false">SUMIF('Libro Diario'!$C$5:$C$504,A1126,'Libro Diario'!$G$5:$G$504)</f>
        <v>0</v>
      </c>
      <c r="F1126" s="32" t="n">
        <f aca="false">IF(D1126&gt;=E1126,D1126-E1126,0)</f>
        <v>0</v>
      </c>
      <c r="G1126" s="32" t="n">
        <f aca="false">IF(E1126&gt;D1126,E1126-D1126,0)</f>
        <v>0</v>
      </c>
    </row>
    <row r="1127" customFormat="false" ht="15" hidden="false" customHeight="true" outlineLevel="0" collapsed="false">
      <c r="A1127" s="30" t="s">
        <v>1563</v>
      </c>
      <c r="B1127" s="31" t="s">
        <v>1502</v>
      </c>
      <c r="C1127" s="30" t="s">
        <v>1537</v>
      </c>
      <c r="D1127" s="32" t="n">
        <f aca="false">SUMIF('Libro Diario'!$C$5:$C$504,A1127,'Libro Diario'!$F$5:$F$504)</f>
        <v>0</v>
      </c>
      <c r="E1127" s="32" t="n">
        <f aca="false">SUMIF('Libro Diario'!$C$5:$C$504,A1127,'Libro Diario'!$G$5:$G$504)</f>
        <v>0</v>
      </c>
      <c r="F1127" s="32" t="n">
        <f aca="false">IF(D1127&gt;=E1127,D1127-E1127,0)</f>
        <v>0</v>
      </c>
      <c r="G1127" s="32" t="n">
        <f aca="false">IF(E1127&gt;D1127,E1127-D1127,0)</f>
        <v>0</v>
      </c>
    </row>
    <row r="1128" customFormat="false" ht="15" hidden="false" customHeight="true" outlineLevel="0" collapsed="false">
      <c r="A1128" s="30" t="s">
        <v>1564</v>
      </c>
      <c r="B1128" s="31" t="s">
        <v>1504</v>
      </c>
      <c r="C1128" s="30" t="s">
        <v>1537</v>
      </c>
      <c r="D1128" s="32" t="n">
        <f aca="false">SUMIF('Libro Diario'!$C$5:$C$504,A1128,'Libro Diario'!$F$5:$F$504)</f>
        <v>0</v>
      </c>
      <c r="E1128" s="32" t="n">
        <f aca="false">SUMIF('Libro Diario'!$C$5:$C$504,A1128,'Libro Diario'!$G$5:$G$504)</f>
        <v>0</v>
      </c>
      <c r="F1128" s="32" t="n">
        <f aca="false">IF(D1128&gt;=E1128,D1128-E1128,0)</f>
        <v>0</v>
      </c>
      <c r="G1128" s="32" t="n">
        <f aca="false">IF(E1128&gt;D1128,E1128-D1128,0)</f>
        <v>0</v>
      </c>
    </row>
    <row r="1129" customFormat="false" ht="15" hidden="false" customHeight="true" outlineLevel="0" collapsed="false">
      <c r="A1129" s="30" t="s">
        <v>1565</v>
      </c>
      <c r="B1129" s="31" t="s">
        <v>1328</v>
      </c>
      <c r="C1129" s="30" t="s">
        <v>1537</v>
      </c>
      <c r="D1129" s="32" t="n">
        <f aca="false">SUMIF('Libro Diario'!$C$5:$C$504,A1129,'Libro Diario'!$F$5:$F$504)</f>
        <v>0</v>
      </c>
      <c r="E1129" s="32" t="n">
        <f aca="false">SUMIF('Libro Diario'!$C$5:$C$504,A1129,'Libro Diario'!$G$5:$G$504)</f>
        <v>0</v>
      </c>
      <c r="F1129" s="32" t="n">
        <f aca="false">IF(D1129&gt;=E1129,D1129-E1129,0)</f>
        <v>0</v>
      </c>
      <c r="G1129" s="32" t="n">
        <f aca="false">IF(E1129&gt;D1129,E1129-D1129,0)</f>
        <v>0</v>
      </c>
    </row>
    <row r="1130" customFormat="false" ht="15" hidden="false" customHeight="true" outlineLevel="0" collapsed="false">
      <c r="A1130" s="30" t="s">
        <v>1566</v>
      </c>
      <c r="B1130" s="31" t="s">
        <v>254</v>
      </c>
      <c r="C1130" s="30" t="s">
        <v>1537</v>
      </c>
      <c r="D1130" s="32" t="n">
        <f aca="false">SUMIF('Libro Diario'!$C$5:$C$504,A1130,'Libro Diario'!$F$5:$F$504)</f>
        <v>0</v>
      </c>
      <c r="E1130" s="32" t="n">
        <f aca="false">SUMIF('Libro Diario'!$C$5:$C$504,A1130,'Libro Diario'!$G$5:$G$504)</f>
        <v>0</v>
      </c>
      <c r="F1130" s="32" t="n">
        <f aca="false">IF(D1130&gt;=E1130,D1130-E1130,0)</f>
        <v>0</v>
      </c>
      <c r="G1130" s="32" t="n">
        <f aca="false">IF(E1130&gt;D1130,E1130-D1130,0)</f>
        <v>0</v>
      </c>
    </row>
    <row r="1131" customFormat="false" ht="15" hidden="false" customHeight="true" outlineLevel="0" collapsed="false">
      <c r="A1131" s="30" t="s">
        <v>1567</v>
      </c>
      <c r="B1131" s="31" t="s">
        <v>256</v>
      </c>
      <c r="C1131" s="30" t="s">
        <v>1537</v>
      </c>
      <c r="D1131" s="32" t="n">
        <f aca="false">SUMIF('Libro Diario'!$C$5:$C$504,A1131,'Libro Diario'!$F$5:$F$504)</f>
        <v>0</v>
      </c>
      <c r="E1131" s="32" t="n">
        <f aca="false">SUMIF('Libro Diario'!$C$5:$C$504,A1131,'Libro Diario'!$G$5:$G$504)</f>
        <v>0</v>
      </c>
      <c r="F1131" s="32" t="n">
        <f aca="false">IF(D1131&gt;=E1131,D1131-E1131,0)</f>
        <v>0</v>
      </c>
      <c r="G1131" s="32" t="n">
        <f aca="false">IF(E1131&gt;D1131,E1131-D1131,0)</f>
        <v>0</v>
      </c>
    </row>
    <row r="1132" customFormat="false" ht="15" hidden="false" customHeight="true" outlineLevel="0" collapsed="false">
      <c r="A1132" s="30" t="s">
        <v>1568</v>
      </c>
      <c r="B1132" s="31" t="s">
        <v>1569</v>
      </c>
      <c r="C1132" s="30" t="s">
        <v>1537</v>
      </c>
      <c r="D1132" s="32" t="n">
        <f aca="false">SUMIF('Libro Diario'!$C$5:$C$504,A1132,'Libro Diario'!$F$5:$F$504)</f>
        <v>0</v>
      </c>
      <c r="E1132" s="32" t="n">
        <f aca="false">SUMIF('Libro Diario'!$C$5:$C$504,A1132,'Libro Diario'!$G$5:$G$504)</f>
        <v>0</v>
      </c>
      <c r="F1132" s="32" t="n">
        <f aca="false">IF(D1132&gt;=E1132,D1132-E1132,0)</f>
        <v>0</v>
      </c>
      <c r="G1132" s="32" t="n">
        <f aca="false">IF(E1132&gt;D1132,E1132-D1132,0)</f>
        <v>0</v>
      </c>
    </row>
    <row r="1133" customFormat="false" ht="15" hidden="false" customHeight="true" outlineLevel="0" collapsed="false">
      <c r="A1133" s="30" t="s">
        <v>1570</v>
      </c>
      <c r="B1133" s="31" t="s">
        <v>275</v>
      </c>
      <c r="C1133" s="30" t="s">
        <v>1537</v>
      </c>
      <c r="D1133" s="32" t="n">
        <f aca="false">SUMIF('Libro Diario'!$C$5:$C$504,A1133,'Libro Diario'!$F$5:$F$504)</f>
        <v>0</v>
      </c>
      <c r="E1133" s="32" t="n">
        <f aca="false">SUMIF('Libro Diario'!$C$5:$C$504,A1133,'Libro Diario'!$G$5:$G$504)</f>
        <v>0</v>
      </c>
      <c r="F1133" s="32" t="n">
        <f aca="false">IF(D1133&gt;=E1133,D1133-E1133,0)</f>
        <v>0</v>
      </c>
      <c r="G1133" s="32" t="n">
        <f aca="false">IF(E1133&gt;D1133,E1133-D1133,0)</f>
        <v>0</v>
      </c>
    </row>
    <row r="1134" customFormat="false" ht="15" hidden="false" customHeight="true" outlineLevel="0" collapsed="false">
      <c r="A1134" s="30" t="s">
        <v>1571</v>
      </c>
      <c r="B1134" s="31" t="s">
        <v>277</v>
      </c>
      <c r="C1134" s="30" t="s">
        <v>1537</v>
      </c>
      <c r="D1134" s="32" t="n">
        <f aca="false">SUMIF('Libro Diario'!$C$5:$C$504,A1134,'Libro Diario'!$F$5:$F$504)</f>
        <v>0</v>
      </c>
      <c r="E1134" s="32" t="n">
        <f aca="false">SUMIF('Libro Diario'!$C$5:$C$504,A1134,'Libro Diario'!$G$5:$G$504)</f>
        <v>0</v>
      </c>
      <c r="F1134" s="32" t="n">
        <f aca="false">IF(D1134&gt;=E1134,D1134-E1134,0)</f>
        <v>0</v>
      </c>
      <c r="G1134" s="32" t="n">
        <f aca="false">IF(E1134&gt;D1134,E1134-D1134,0)</f>
        <v>0</v>
      </c>
    </row>
    <row r="1135" customFormat="false" ht="15" hidden="false" customHeight="true" outlineLevel="0" collapsed="false">
      <c r="A1135" s="30" t="s">
        <v>1572</v>
      </c>
      <c r="B1135" s="31" t="s">
        <v>1573</v>
      </c>
      <c r="C1135" s="30" t="s">
        <v>1537</v>
      </c>
      <c r="D1135" s="32" t="n">
        <f aca="false">SUMIF('Libro Diario'!$C$5:$C$504,A1135,'Libro Diario'!$F$5:$F$504)</f>
        <v>0</v>
      </c>
      <c r="E1135" s="32" t="n">
        <f aca="false">SUMIF('Libro Diario'!$C$5:$C$504,A1135,'Libro Diario'!$G$5:$G$504)</f>
        <v>0</v>
      </c>
      <c r="F1135" s="32" t="n">
        <f aca="false">IF(D1135&gt;=E1135,D1135-E1135,0)</f>
        <v>0</v>
      </c>
      <c r="G1135" s="32" t="n">
        <f aca="false">IF(E1135&gt;D1135,E1135-D1135,0)</f>
        <v>0</v>
      </c>
    </row>
    <row r="1136" customFormat="false" ht="15" hidden="false" customHeight="true" outlineLevel="0" collapsed="false">
      <c r="A1136" s="30" t="s">
        <v>1574</v>
      </c>
      <c r="B1136" s="31" t="s">
        <v>374</v>
      </c>
      <c r="C1136" s="30" t="s">
        <v>1537</v>
      </c>
      <c r="D1136" s="32" t="n">
        <f aca="false">SUMIF('Libro Diario'!$C$5:$C$504,A1136,'Libro Diario'!$F$5:$F$504)</f>
        <v>0</v>
      </c>
      <c r="E1136" s="32" t="n">
        <f aca="false">SUMIF('Libro Diario'!$C$5:$C$504,A1136,'Libro Diario'!$G$5:$G$504)</f>
        <v>0</v>
      </c>
      <c r="F1136" s="32" t="n">
        <f aca="false">IF(D1136&gt;=E1136,D1136-E1136,0)</f>
        <v>0</v>
      </c>
      <c r="G1136" s="32" t="n">
        <f aca="false">IF(E1136&gt;D1136,E1136-D1136,0)</f>
        <v>0</v>
      </c>
    </row>
    <row r="1137" customFormat="false" ht="15" hidden="false" customHeight="true" outlineLevel="0" collapsed="false">
      <c r="A1137" s="30" t="s">
        <v>1575</v>
      </c>
      <c r="B1137" s="31" t="s">
        <v>1576</v>
      </c>
      <c r="C1137" s="30" t="s">
        <v>1537</v>
      </c>
      <c r="D1137" s="32" t="n">
        <f aca="false">SUMIF('Libro Diario'!$C$5:$C$504,A1137,'Libro Diario'!$F$5:$F$504)</f>
        <v>0</v>
      </c>
      <c r="E1137" s="32" t="n">
        <f aca="false">SUMIF('Libro Diario'!$C$5:$C$504,A1137,'Libro Diario'!$G$5:$G$504)</f>
        <v>0</v>
      </c>
      <c r="F1137" s="32" t="n">
        <f aca="false">IF(D1137&gt;=E1137,D1137-E1137,0)</f>
        <v>0</v>
      </c>
      <c r="G1137" s="32" t="n">
        <f aca="false">IF(E1137&gt;D1137,E1137-D1137,0)</f>
        <v>0</v>
      </c>
    </row>
    <row r="1138" customFormat="false" ht="15" hidden="false" customHeight="true" outlineLevel="0" collapsed="false">
      <c r="A1138" s="30" t="s">
        <v>1577</v>
      </c>
      <c r="B1138" s="31" t="s">
        <v>374</v>
      </c>
      <c r="C1138" s="30" t="s">
        <v>1537</v>
      </c>
      <c r="D1138" s="32" t="n">
        <f aca="false">SUMIF('Libro Diario'!$C$5:$C$504,A1138,'Libro Diario'!$F$5:$F$504)</f>
        <v>0</v>
      </c>
      <c r="E1138" s="32" t="n">
        <f aca="false">SUMIF('Libro Diario'!$C$5:$C$504,A1138,'Libro Diario'!$G$5:$G$504)</f>
        <v>0</v>
      </c>
      <c r="F1138" s="32" t="n">
        <f aca="false">IF(D1138&gt;=E1138,D1138-E1138,0)</f>
        <v>0</v>
      </c>
      <c r="G1138" s="32" t="n">
        <f aca="false">IF(E1138&gt;D1138,E1138-D1138,0)</f>
        <v>0</v>
      </c>
    </row>
    <row r="1139" customFormat="false" ht="15" hidden="false" customHeight="true" outlineLevel="0" collapsed="false">
      <c r="A1139" s="30" t="s">
        <v>1578</v>
      </c>
      <c r="B1139" s="31" t="s">
        <v>1579</v>
      </c>
      <c r="C1139" s="30" t="s">
        <v>1537</v>
      </c>
      <c r="D1139" s="32" t="n">
        <f aca="false">SUMIF('Libro Diario'!$C$5:$C$504,A1139,'Libro Diario'!$F$5:$F$504)</f>
        <v>0</v>
      </c>
      <c r="E1139" s="32" t="n">
        <f aca="false">SUMIF('Libro Diario'!$C$5:$C$504,A1139,'Libro Diario'!$G$5:$G$504)</f>
        <v>0</v>
      </c>
      <c r="F1139" s="32" t="n">
        <f aca="false">IF(D1139&gt;=E1139,D1139-E1139,0)</f>
        <v>0</v>
      </c>
      <c r="G1139" s="32" t="n">
        <f aca="false">IF(E1139&gt;D1139,E1139-D1139,0)</f>
        <v>0</v>
      </c>
    </row>
    <row r="1140" customFormat="false" ht="15" hidden="false" customHeight="true" outlineLevel="0" collapsed="false">
      <c r="A1140" s="30" t="s">
        <v>1580</v>
      </c>
      <c r="B1140" s="31" t="s">
        <v>383</v>
      </c>
      <c r="C1140" s="30" t="s">
        <v>1537</v>
      </c>
      <c r="D1140" s="32" t="n">
        <f aca="false">SUMIF('Libro Diario'!$C$5:$C$504,A1140,'Libro Diario'!$F$5:$F$504)</f>
        <v>0</v>
      </c>
      <c r="E1140" s="32" t="n">
        <f aca="false">SUMIF('Libro Diario'!$C$5:$C$504,A1140,'Libro Diario'!$G$5:$G$504)</f>
        <v>0</v>
      </c>
      <c r="F1140" s="32" t="n">
        <f aca="false">IF(D1140&gt;=E1140,D1140-E1140,0)</f>
        <v>0</v>
      </c>
      <c r="G1140" s="32" t="n">
        <f aca="false">IF(E1140&gt;D1140,E1140-D1140,0)</f>
        <v>0</v>
      </c>
    </row>
    <row r="1141" customFormat="false" ht="15" hidden="false" customHeight="true" outlineLevel="0" collapsed="false">
      <c r="A1141" s="30" t="s">
        <v>1581</v>
      </c>
      <c r="B1141" s="31" t="s">
        <v>385</v>
      </c>
      <c r="C1141" s="30" t="s">
        <v>1537</v>
      </c>
      <c r="D1141" s="32" t="n">
        <f aca="false">SUMIF('Libro Diario'!$C$5:$C$504,A1141,'Libro Diario'!$F$5:$F$504)</f>
        <v>0</v>
      </c>
      <c r="E1141" s="32" t="n">
        <f aca="false">SUMIF('Libro Diario'!$C$5:$C$504,A1141,'Libro Diario'!$G$5:$G$504)</f>
        <v>0</v>
      </c>
      <c r="F1141" s="32" t="n">
        <f aca="false">IF(D1141&gt;=E1141,D1141-E1141,0)</f>
        <v>0</v>
      </c>
      <c r="G1141" s="32" t="n">
        <f aca="false">IF(E1141&gt;D1141,E1141-D1141,0)</f>
        <v>0</v>
      </c>
    </row>
    <row r="1142" customFormat="false" ht="15" hidden="false" customHeight="true" outlineLevel="0" collapsed="false">
      <c r="A1142" s="30" t="s">
        <v>1582</v>
      </c>
      <c r="B1142" s="31" t="s">
        <v>387</v>
      </c>
      <c r="C1142" s="30" t="s">
        <v>1537</v>
      </c>
      <c r="D1142" s="32" t="n">
        <f aca="false">SUMIF('Libro Diario'!$C$5:$C$504,A1142,'Libro Diario'!$F$5:$F$504)</f>
        <v>0</v>
      </c>
      <c r="E1142" s="32" t="n">
        <f aca="false">SUMIF('Libro Diario'!$C$5:$C$504,A1142,'Libro Diario'!$G$5:$G$504)</f>
        <v>0</v>
      </c>
      <c r="F1142" s="32" t="n">
        <f aca="false">IF(D1142&gt;=E1142,D1142-E1142,0)</f>
        <v>0</v>
      </c>
      <c r="G1142" s="32" t="n">
        <f aca="false">IF(E1142&gt;D1142,E1142-D1142,0)</f>
        <v>0</v>
      </c>
    </row>
    <row r="1143" customFormat="false" ht="15" hidden="false" customHeight="true" outlineLevel="0" collapsed="false">
      <c r="A1143" s="30" t="s">
        <v>1583</v>
      </c>
      <c r="B1143" s="31" t="s">
        <v>395</v>
      </c>
      <c r="C1143" s="30" t="s">
        <v>1537</v>
      </c>
      <c r="D1143" s="32" t="n">
        <f aca="false">SUMIF('Libro Diario'!$C$5:$C$504,A1143,'Libro Diario'!$F$5:$F$504)</f>
        <v>0</v>
      </c>
      <c r="E1143" s="32" t="n">
        <f aca="false">SUMIF('Libro Diario'!$C$5:$C$504,A1143,'Libro Diario'!$G$5:$G$504)</f>
        <v>0</v>
      </c>
      <c r="F1143" s="32" t="n">
        <f aca="false">IF(D1143&gt;=E1143,D1143-E1143,0)</f>
        <v>0</v>
      </c>
      <c r="G1143" s="32" t="n">
        <f aca="false">IF(E1143&gt;D1143,E1143-D1143,0)</f>
        <v>0</v>
      </c>
    </row>
    <row r="1144" customFormat="false" ht="15" hidden="false" customHeight="true" outlineLevel="0" collapsed="false">
      <c r="A1144" s="30" t="s">
        <v>1584</v>
      </c>
      <c r="B1144" s="31" t="s">
        <v>397</v>
      </c>
      <c r="C1144" s="30" t="s">
        <v>1537</v>
      </c>
      <c r="D1144" s="32" t="n">
        <f aca="false">SUMIF('Libro Diario'!$C$5:$C$504,A1144,'Libro Diario'!$F$5:$F$504)</f>
        <v>0</v>
      </c>
      <c r="E1144" s="32" t="n">
        <f aca="false">SUMIF('Libro Diario'!$C$5:$C$504,A1144,'Libro Diario'!$G$5:$G$504)</f>
        <v>0</v>
      </c>
      <c r="F1144" s="32" t="n">
        <f aca="false">IF(D1144&gt;=E1144,D1144-E1144,0)</f>
        <v>0</v>
      </c>
      <c r="G1144" s="32" t="n">
        <f aca="false">IF(E1144&gt;D1144,E1144-D1144,0)</f>
        <v>0</v>
      </c>
    </row>
    <row r="1145" customFormat="false" ht="15" hidden="false" customHeight="true" outlineLevel="0" collapsed="false">
      <c r="A1145" s="30" t="s">
        <v>1585</v>
      </c>
      <c r="B1145" s="31" t="s">
        <v>399</v>
      </c>
      <c r="C1145" s="30" t="s">
        <v>1537</v>
      </c>
      <c r="D1145" s="32" t="n">
        <f aca="false">SUMIF('Libro Diario'!$C$5:$C$504,A1145,'Libro Diario'!$F$5:$F$504)</f>
        <v>0</v>
      </c>
      <c r="E1145" s="32" t="n">
        <f aca="false">SUMIF('Libro Diario'!$C$5:$C$504,A1145,'Libro Diario'!$G$5:$G$504)</f>
        <v>0</v>
      </c>
      <c r="F1145" s="32" t="n">
        <f aca="false">IF(D1145&gt;=E1145,D1145-E1145,0)</f>
        <v>0</v>
      </c>
      <c r="G1145" s="32" t="n">
        <f aca="false">IF(E1145&gt;D1145,E1145-D1145,0)</f>
        <v>0</v>
      </c>
    </row>
    <row r="1146" customFormat="false" ht="15" hidden="false" customHeight="true" outlineLevel="0" collapsed="false">
      <c r="A1146" s="30" t="s">
        <v>1586</v>
      </c>
      <c r="B1146" s="31" t="s">
        <v>1587</v>
      </c>
      <c r="C1146" s="30" t="s">
        <v>1537</v>
      </c>
      <c r="D1146" s="32" t="n">
        <f aca="false">SUMIF('Libro Diario'!$C$5:$C$504,A1146,'Libro Diario'!$F$5:$F$504)</f>
        <v>0</v>
      </c>
      <c r="E1146" s="32" t="n">
        <f aca="false">SUMIF('Libro Diario'!$C$5:$C$504,A1146,'Libro Diario'!$G$5:$G$504)</f>
        <v>0</v>
      </c>
      <c r="F1146" s="32" t="n">
        <f aca="false">IF(D1146&gt;=E1146,D1146-E1146,0)</f>
        <v>0</v>
      </c>
      <c r="G1146" s="32" t="n">
        <f aca="false">IF(E1146&gt;D1146,E1146-D1146,0)</f>
        <v>0</v>
      </c>
    </row>
    <row r="1147" customFormat="false" ht="15" hidden="false" customHeight="true" outlineLevel="0" collapsed="false">
      <c r="A1147" s="30" t="s">
        <v>1588</v>
      </c>
      <c r="B1147" s="31" t="s">
        <v>1589</v>
      </c>
      <c r="C1147" s="30" t="s">
        <v>1537</v>
      </c>
      <c r="D1147" s="32" t="n">
        <f aca="false">SUMIF('Libro Diario'!$C$5:$C$504,A1147,'Libro Diario'!$F$5:$F$504)</f>
        <v>0</v>
      </c>
      <c r="E1147" s="32" t="n">
        <f aca="false">SUMIF('Libro Diario'!$C$5:$C$504,A1147,'Libro Diario'!$G$5:$G$504)</f>
        <v>0</v>
      </c>
      <c r="F1147" s="32" t="n">
        <f aca="false">IF(D1147&gt;=E1147,D1147-E1147,0)</f>
        <v>0</v>
      </c>
      <c r="G1147" s="32" t="n">
        <f aca="false">IF(E1147&gt;D1147,E1147-D1147,0)</f>
        <v>0</v>
      </c>
    </row>
    <row r="1148" customFormat="false" ht="15" hidden="false" customHeight="true" outlineLevel="0" collapsed="false">
      <c r="A1148" s="30" t="s">
        <v>1590</v>
      </c>
      <c r="B1148" s="31" t="s">
        <v>1591</v>
      </c>
      <c r="C1148" s="30" t="s">
        <v>1537</v>
      </c>
      <c r="D1148" s="32" t="n">
        <f aca="false">SUMIF('Libro Diario'!$C$5:$C$504,A1148,'Libro Diario'!$F$5:$F$504)</f>
        <v>0</v>
      </c>
      <c r="E1148" s="32" t="n">
        <f aca="false">SUMIF('Libro Diario'!$C$5:$C$504,A1148,'Libro Diario'!$G$5:$G$504)</f>
        <v>0</v>
      </c>
      <c r="F1148" s="32" t="n">
        <f aca="false">IF(D1148&gt;=E1148,D1148-E1148,0)</f>
        <v>0</v>
      </c>
      <c r="G1148" s="32" t="n">
        <f aca="false">IF(E1148&gt;D1148,E1148-D1148,0)</f>
        <v>0</v>
      </c>
    </row>
    <row r="1149" customFormat="false" ht="15" hidden="false" customHeight="true" outlineLevel="0" collapsed="false">
      <c r="A1149" s="30" t="s">
        <v>1592</v>
      </c>
      <c r="B1149" s="31" t="s">
        <v>374</v>
      </c>
      <c r="C1149" s="30" t="s">
        <v>1537</v>
      </c>
      <c r="D1149" s="32" t="n">
        <f aca="false">SUMIF('Libro Diario'!$C$5:$C$504,A1149,'Libro Diario'!$F$5:$F$504)</f>
        <v>0</v>
      </c>
      <c r="E1149" s="32" t="n">
        <f aca="false">SUMIF('Libro Diario'!$C$5:$C$504,A1149,'Libro Diario'!$G$5:$G$504)</f>
        <v>0</v>
      </c>
      <c r="F1149" s="32" t="n">
        <f aca="false">IF(D1149&gt;=E1149,D1149-E1149,0)</f>
        <v>0</v>
      </c>
      <c r="G1149" s="32" t="n">
        <f aca="false">IF(E1149&gt;D1149,E1149-D1149,0)</f>
        <v>0</v>
      </c>
    </row>
    <row r="1150" customFormat="false" ht="15" hidden="false" customHeight="true" outlineLevel="0" collapsed="false">
      <c r="A1150" s="30" t="s">
        <v>1593</v>
      </c>
      <c r="B1150" s="31" t="s">
        <v>1591</v>
      </c>
      <c r="C1150" s="30" t="s">
        <v>1537</v>
      </c>
      <c r="D1150" s="32" t="n">
        <f aca="false">SUMIF('Libro Diario'!$C$5:$C$504,A1150,'Libro Diario'!$F$5:$F$504)</f>
        <v>0</v>
      </c>
      <c r="E1150" s="32" t="n">
        <f aca="false">SUMIF('Libro Diario'!$C$5:$C$504,A1150,'Libro Diario'!$G$5:$G$504)</f>
        <v>0</v>
      </c>
      <c r="F1150" s="32" t="n">
        <f aca="false">IF(D1150&gt;=E1150,D1150-E1150,0)</f>
        <v>0</v>
      </c>
      <c r="G1150" s="32" t="n">
        <f aca="false">IF(E1150&gt;D1150,E1150-D1150,0)</f>
        <v>0</v>
      </c>
    </row>
    <row r="1151" customFormat="false" ht="15" hidden="false" customHeight="true" outlineLevel="0" collapsed="false">
      <c r="A1151" s="30" t="s">
        <v>1594</v>
      </c>
      <c r="B1151" s="31" t="s">
        <v>374</v>
      </c>
      <c r="C1151" s="30" t="s">
        <v>1537</v>
      </c>
      <c r="D1151" s="32" t="n">
        <f aca="false">SUMIF('Libro Diario'!$C$5:$C$504,A1151,'Libro Diario'!$F$5:$F$504)</f>
        <v>0</v>
      </c>
      <c r="E1151" s="32" t="n">
        <f aca="false">SUMIF('Libro Diario'!$C$5:$C$504,A1151,'Libro Diario'!$G$5:$G$504)</f>
        <v>0</v>
      </c>
      <c r="F1151" s="32" t="n">
        <f aca="false">IF(D1151&gt;=E1151,D1151-E1151,0)</f>
        <v>0</v>
      </c>
      <c r="G1151" s="32" t="n">
        <f aca="false">IF(E1151&gt;D1151,E1151-D1151,0)</f>
        <v>0</v>
      </c>
    </row>
    <row r="1152" customFormat="false" ht="15" hidden="false" customHeight="true" outlineLevel="0" collapsed="false">
      <c r="A1152" s="30" t="s">
        <v>1595</v>
      </c>
      <c r="B1152" s="31" t="s">
        <v>1579</v>
      </c>
      <c r="C1152" s="30" t="s">
        <v>1537</v>
      </c>
      <c r="D1152" s="32" t="n">
        <f aca="false">SUMIF('Libro Diario'!$C$5:$C$504,A1152,'Libro Diario'!$F$5:$F$504)</f>
        <v>0</v>
      </c>
      <c r="E1152" s="32" t="n">
        <f aca="false">SUMIF('Libro Diario'!$C$5:$C$504,A1152,'Libro Diario'!$G$5:$G$504)</f>
        <v>0</v>
      </c>
      <c r="F1152" s="32" t="n">
        <f aca="false">IF(D1152&gt;=E1152,D1152-E1152,0)</f>
        <v>0</v>
      </c>
      <c r="G1152" s="32" t="n">
        <f aca="false">IF(E1152&gt;D1152,E1152-D1152,0)</f>
        <v>0</v>
      </c>
    </row>
    <row r="1153" customFormat="false" ht="15" hidden="false" customHeight="true" outlineLevel="0" collapsed="false">
      <c r="A1153" s="30" t="s">
        <v>1596</v>
      </c>
      <c r="B1153" s="31" t="s">
        <v>1597</v>
      </c>
      <c r="C1153" s="30" t="s">
        <v>1537</v>
      </c>
      <c r="D1153" s="32" t="n">
        <f aca="false">SUMIF('Libro Diario'!$C$5:$C$504,A1153,'Libro Diario'!$F$5:$F$504)</f>
        <v>0</v>
      </c>
      <c r="E1153" s="32" t="n">
        <f aca="false">SUMIF('Libro Diario'!$C$5:$C$504,A1153,'Libro Diario'!$G$5:$G$504)</f>
        <v>0</v>
      </c>
      <c r="F1153" s="32" t="n">
        <f aca="false">IF(D1153&gt;=E1153,D1153-E1153,0)</f>
        <v>0</v>
      </c>
      <c r="G1153" s="32" t="n">
        <f aca="false">IF(E1153&gt;D1153,E1153-D1153,0)</f>
        <v>0</v>
      </c>
    </row>
    <row r="1154" customFormat="false" ht="15" hidden="false" customHeight="true" outlineLevel="0" collapsed="false">
      <c r="A1154" s="30" t="s">
        <v>1598</v>
      </c>
      <c r="B1154" s="31" t="s">
        <v>1418</v>
      </c>
      <c r="C1154" s="30" t="s">
        <v>1537</v>
      </c>
      <c r="D1154" s="32" t="n">
        <f aca="false">SUMIF('Libro Diario'!$C$5:$C$504,A1154,'Libro Diario'!$F$5:$F$504)</f>
        <v>0</v>
      </c>
      <c r="E1154" s="32" t="n">
        <f aca="false">SUMIF('Libro Diario'!$C$5:$C$504,A1154,'Libro Diario'!$G$5:$G$504)</f>
        <v>0</v>
      </c>
      <c r="F1154" s="32" t="n">
        <f aca="false">IF(D1154&gt;=E1154,D1154-E1154,0)</f>
        <v>0</v>
      </c>
      <c r="G1154" s="32" t="n">
        <f aca="false">IF(E1154&gt;D1154,E1154-D1154,0)</f>
        <v>0</v>
      </c>
    </row>
    <row r="1155" customFormat="false" ht="15" hidden="false" customHeight="true" outlineLevel="0" collapsed="false">
      <c r="A1155" s="30" t="s">
        <v>1599</v>
      </c>
      <c r="B1155" s="31" t="s">
        <v>1420</v>
      </c>
      <c r="C1155" s="30" t="s">
        <v>1537</v>
      </c>
      <c r="D1155" s="32" t="n">
        <f aca="false">SUMIF('Libro Diario'!$C$5:$C$504,A1155,'Libro Diario'!$F$5:$F$504)</f>
        <v>0</v>
      </c>
      <c r="E1155" s="32" t="n">
        <f aca="false">SUMIF('Libro Diario'!$C$5:$C$504,A1155,'Libro Diario'!$G$5:$G$504)</f>
        <v>0</v>
      </c>
      <c r="F1155" s="32" t="n">
        <f aca="false">IF(D1155&gt;=E1155,D1155-E1155,0)</f>
        <v>0</v>
      </c>
      <c r="G1155" s="32" t="n">
        <f aca="false">IF(E1155&gt;D1155,E1155-D1155,0)</f>
        <v>0</v>
      </c>
    </row>
    <row r="1156" customFormat="false" ht="15" hidden="false" customHeight="true" outlineLevel="0" collapsed="false">
      <c r="A1156" s="30" t="s">
        <v>1600</v>
      </c>
      <c r="B1156" s="31" t="s">
        <v>1502</v>
      </c>
      <c r="C1156" s="30" t="s">
        <v>1537</v>
      </c>
      <c r="D1156" s="32" t="n">
        <f aca="false">SUMIF('Libro Diario'!$C$5:$C$504,A1156,'Libro Diario'!$F$5:$F$504)</f>
        <v>0</v>
      </c>
      <c r="E1156" s="32" t="n">
        <f aca="false">SUMIF('Libro Diario'!$C$5:$C$504,A1156,'Libro Diario'!$G$5:$G$504)</f>
        <v>0</v>
      </c>
      <c r="F1156" s="32" t="n">
        <f aca="false">IF(D1156&gt;=E1156,D1156-E1156,0)</f>
        <v>0</v>
      </c>
      <c r="G1156" s="32" t="n">
        <f aca="false">IF(E1156&gt;D1156,E1156-D1156,0)</f>
        <v>0</v>
      </c>
    </row>
    <row r="1157" customFormat="false" ht="15" hidden="false" customHeight="true" outlineLevel="0" collapsed="false">
      <c r="A1157" s="30" t="s">
        <v>1601</v>
      </c>
      <c r="B1157" s="31" t="s">
        <v>1504</v>
      </c>
      <c r="C1157" s="30" t="s">
        <v>1537</v>
      </c>
      <c r="D1157" s="32" t="n">
        <f aca="false">SUMIF('Libro Diario'!$C$5:$C$504,A1157,'Libro Diario'!$F$5:$F$504)</f>
        <v>0</v>
      </c>
      <c r="E1157" s="32" t="n">
        <f aca="false">SUMIF('Libro Diario'!$C$5:$C$504,A1157,'Libro Diario'!$G$5:$G$504)</f>
        <v>0</v>
      </c>
      <c r="F1157" s="32" t="n">
        <f aca="false">IF(D1157&gt;=E1157,D1157-E1157,0)</f>
        <v>0</v>
      </c>
      <c r="G1157" s="32" t="n">
        <f aca="false">IF(E1157&gt;D1157,E1157-D1157,0)</f>
        <v>0</v>
      </c>
    </row>
    <row r="1158" customFormat="false" ht="15" hidden="false" customHeight="true" outlineLevel="0" collapsed="false">
      <c r="A1158" s="30" t="s">
        <v>1602</v>
      </c>
      <c r="B1158" s="31" t="s">
        <v>1502</v>
      </c>
      <c r="C1158" s="30" t="s">
        <v>1537</v>
      </c>
      <c r="D1158" s="32" t="n">
        <f aca="false">SUMIF('Libro Diario'!$C$5:$C$504,A1158,'Libro Diario'!$F$5:$F$504)</f>
        <v>0</v>
      </c>
      <c r="E1158" s="32" t="n">
        <f aca="false">SUMIF('Libro Diario'!$C$5:$C$504,A1158,'Libro Diario'!$G$5:$G$504)</f>
        <v>0</v>
      </c>
      <c r="F1158" s="32" t="n">
        <f aca="false">IF(D1158&gt;=E1158,D1158-E1158,0)</f>
        <v>0</v>
      </c>
      <c r="G1158" s="32" t="n">
        <f aca="false">IF(E1158&gt;D1158,E1158-D1158,0)</f>
        <v>0</v>
      </c>
    </row>
    <row r="1159" customFormat="false" ht="15" hidden="false" customHeight="true" outlineLevel="0" collapsed="false">
      <c r="A1159" s="30" t="s">
        <v>1603</v>
      </c>
      <c r="B1159" s="31" t="s">
        <v>1504</v>
      </c>
      <c r="C1159" s="30" t="s">
        <v>1537</v>
      </c>
      <c r="D1159" s="32" t="n">
        <f aca="false">SUMIF('Libro Diario'!$C$5:$C$504,A1159,'Libro Diario'!$F$5:$F$504)</f>
        <v>0</v>
      </c>
      <c r="E1159" s="32" t="n">
        <f aca="false">SUMIF('Libro Diario'!$C$5:$C$504,A1159,'Libro Diario'!$G$5:$G$504)</f>
        <v>0</v>
      </c>
      <c r="F1159" s="32" t="n">
        <f aca="false">IF(D1159&gt;=E1159,D1159-E1159,0)</f>
        <v>0</v>
      </c>
      <c r="G1159" s="32" t="n">
        <f aca="false">IF(E1159&gt;D1159,E1159-D1159,0)</f>
        <v>0</v>
      </c>
    </row>
    <row r="1160" customFormat="false" ht="15" hidden="false" customHeight="true" outlineLevel="0" collapsed="false">
      <c r="A1160" s="30" t="s">
        <v>1604</v>
      </c>
      <c r="B1160" s="31" t="s">
        <v>1605</v>
      </c>
      <c r="C1160" s="30" t="s">
        <v>1537</v>
      </c>
      <c r="D1160" s="32" t="n">
        <f aca="false">SUMIF('Libro Diario'!$C$5:$C$504,A1160,'Libro Diario'!$F$5:$F$504)</f>
        <v>0</v>
      </c>
      <c r="E1160" s="32" t="n">
        <f aca="false">SUMIF('Libro Diario'!$C$5:$C$504,A1160,'Libro Diario'!$G$5:$G$504)</f>
        <v>0</v>
      </c>
      <c r="F1160" s="32" t="n">
        <f aca="false">IF(D1160&gt;=E1160,D1160-E1160,0)</f>
        <v>0</v>
      </c>
      <c r="G1160" s="32" t="n">
        <f aca="false">IF(E1160&gt;D1160,E1160-D1160,0)</f>
        <v>0</v>
      </c>
    </row>
    <row r="1161" customFormat="false" ht="15" hidden="false" customHeight="true" outlineLevel="0" collapsed="false">
      <c r="A1161" s="30" t="s">
        <v>1606</v>
      </c>
      <c r="B1161" s="31" t="s">
        <v>1607</v>
      </c>
      <c r="C1161" s="30" t="s">
        <v>1537</v>
      </c>
      <c r="D1161" s="32" t="n">
        <f aca="false">SUMIF('Libro Diario'!$C$5:$C$504,A1161,'Libro Diario'!$F$5:$F$504)</f>
        <v>0</v>
      </c>
      <c r="E1161" s="32" t="n">
        <f aca="false">SUMIF('Libro Diario'!$C$5:$C$504,A1161,'Libro Diario'!$G$5:$G$504)</f>
        <v>0</v>
      </c>
      <c r="F1161" s="32" t="n">
        <f aca="false">IF(D1161&gt;=E1161,D1161-E1161,0)</f>
        <v>0</v>
      </c>
      <c r="G1161" s="32" t="n">
        <f aca="false">IF(E1161&gt;D1161,E1161-D1161,0)</f>
        <v>0</v>
      </c>
    </row>
    <row r="1162" customFormat="false" ht="15" hidden="false" customHeight="true" outlineLevel="0" collapsed="false">
      <c r="A1162" s="30" t="s">
        <v>1608</v>
      </c>
      <c r="B1162" s="31" t="s">
        <v>140</v>
      </c>
      <c r="C1162" s="30" t="s">
        <v>1537</v>
      </c>
      <c r="D1162" s="32" t="n">
        <f aca="false">SUMIF('Libro Diario'!$C$5:$C$504,A1162,'Libro Diario'!$F$5:$F$504)</f>
        <v>0</v>
      </c>
      <c r="E1162" s="32" t="n">
        <f aca="false">SUMIF('Libro Diario'!$C$5:$C$504,A1162,'Libro Diario'!$G$5:$G$504)</f>
        <v>0</v>
      </c>
      <c r="F1162" s="32" t="n">
        <f aca="false">IF(D1162&gt;=E1162,D1162-E1162,0)</f>
        <v>0</v>
      </c>
      <c r="G1162" s="32" t="n">
        <f aca="false">IF(E1162&gt;D1162,E1162-D1162,0)</f>
        <v>0</v>
      </c>
    </row>
    <row r="1163" customFormat="false" ht="15" hidden="false" customHeight="true" outlineLevel="0" collapsed="false">
      <c r="A1163" s="30" t="s">
        <v>1609</v>
      </c>
      <c r="B1163" s="31" t="s">
        <v>763</v>
      </c>
      <c r="C1163" s="30" t="s">
        <v>1537</v>
      </c>
      <c r="D1163" s="32" t="n">
        <f aca="false">SUMIF('Libro Diario'!$C$5:$C$504,A1163,'Libro Diario'!$F$5:$F$504)</f>
        <v>0</v>
      </c>
      <c r="E1163" s="32" t="n">
        <f aca="false">SUMIF('Libro Diario'!$C$5:$C$504,A1163,'Libro Diario'!$G$5:$G$504)</f>
        <v>0</v>
      </c>
      <c r="F1163" s="32" t="n">
        <f aca="false">IF(D1163&gt;=E1163,D1163-E1163,0)</f>
        <v>0</v>
      </c>
      <c r="G1163" s="32" t="n">
        <f aca="false">IF(E1163&gt;D1163,E1163-D1163,0)</f>
        <v>0</v>
      </c>
    </row>
    <row r="1164" customFormat="false" ht="15" hidden="false" customHeight="true" outlineLevel="0" collapsed="false">
      <c r="A1164" s="30" t="s">
        <v>1610</v>
      </c>
      <c r="B1164" s="31" t="s">
        <v>372</v>
      </c>
      <c r="C1164" s="30" t="s">
        <v>1537</v>
      </c>
      <c r="D1164" s="32" t="n">
        <f aca="false">SUMIF('Libro Diario'!$C$5:$C$504,A1164,'Libro Diario'!$F$5:$F$504)</f>
        <v>0</v>
      </c>
      <c r="E1164" s="32" t="n">
        <f aca="false">SUMIF('Libro Diario'!$C$5:$C$504,A1164,'Libro Diario'!$G$5:$G$504)</f>
        <v>0</v>
      </c>
      <c r="F1164" s="32" t="n">
        <f aca="false">IF(D1164&gt;=E1164,D1164-E1164,0)</f>
        <v>0</v>
      </c>
      <c r="G1164" s="32" t="n">
        <f aca="false">IF(E1164&gt;D1164,E1164-D1164,0)</f>
        <v>0</v>
      </c>
    </row>
    <row r="1165" customFormat="false" ht="15" hidden="false" customHeight="true" outlineLevel="0" collapsed="false">
      <c r="A1165" s="30" t="s">
        <v>1611</v>
      </c>
      <c r="B1165" s="31" t="s">
        <v>374</v>
      </c>
      <c r="C1165" s="30" t="s">
        <v>1537</v>
      </c>
      <c r="D1165" s="32" t="n">
        <f aca="false">SUMIF('Libro Diario'!$C$5:$C$504,A1165,'Libro Diario'!$F$5:$F$504)</f>
        <v>0</v>
      </c>
      <c r="E1165" s="32" t="n">
        <f aca="false">SUMIF('Libro Diario'!$C$5:$C$504,A1165,'Libro Diario'!$G$5:$G$504)</f>
        <v>0</v>
      </c>
      <c r="F1165" s="32" t="n">
        <f aca="false">IF(D1165&gt;=E1165,D1165-E1165,0)</f>
        <v>0</v>
      </c>
      <c r="G1165" s="32" t="n">
        <f aca="false">IF(E1165&gt;D1165,E1165-D1165,0)</f>
        <v>0</v>
      </c>
    </row>
    <row r="1166" customFormat="false" ht="15" hidden="false" customHeight="true" outlineLevel="0" collapsed="false">
      <c r="A1166" s="30" t="s">
        <v>1612</v>
      </c>
      <c r="B1166" s="31" t="s">
        <v>381</v>
      </c>
      <c r="C1166" s="30" t="s">
        <v>1537</v>
      </c>
      <c r="D1166" s="32" t="n">
        <f aca="false">SUMIF('Libro Diario'!$C$5:$C$504,A1166,'Libro Diario'!$F$5:$F$504)</f>
        <v>0</v>
      </c>
      <c r="E1166" s="32" t="n">
        <f aca="false">SUMIF('Libro Diario'!$C$5:$C$504,A1166,'Libro Diario'!$G$5:$G$504)</f>
        <v>0</v>
      </c>
      <c r="F1166" s="32" t="n">
        <f aca="false">IF(D1166&gt;=E1166,D1166-E1166,0)</f>
        <v>0</v>
      </c>
      <c r="G1166" s="32" t="n">
        <f aca="false">IF(E1166&gt;D1166,E1166-D1166,0)</f>
        <v>0</v>
      </c>
    </row>
    <row r="1167" customFormat="false" ht="15" hidden="false" customHeight="true" outlineLevel="0" collapsed="false">
      <c r="A1167" s="30" t="s">
        <v>1613</v>
      </c>
      <c r="B1167" s="31" t="s">
        <v>383</v>
      </c>
      <c r="C1167" s="30" t="s">
        <v>1537</v>
      </c>
      <c r="D1167" s="32" t="n">
        <f aca="false">SUMIF('Libro Diario'!$C$5:$C$504,A1167,'Libro Diario'!$F$5:$F$504)</f>
        <v>0</v>
      </c>
      <c r="E1167" s="32" t="n">
        <f aca="false">SUMIF('Libro Diario'!$C$5:$C$504,A1167,'Libro Diario'!$G$5:$G$504)</f>
        <v>0</v>
      </c>
      <c r="F1167" s="32" t="n">
        <f aca="false">IF(D1167&gt;=E1167,D1167-E1167,0)</f>
        <v>0</v>
      </c>
      <c r="G1167" s="32" t="n">
        <f aca="false">IF(E1167&gt;D1167,E1167-D1167,0)</f>
        <v>0</v>
      </c>
    </row>
    <row r="1168" customFormat="false" ht="15" hidden="false" customHeight="true" outlineLevel="0" collapsed="false">
      <c r="A1168" s="30" t="s">
        <v>1614</v>
      </c>
      <c r="B1168" s="31" t="s">
        <v>387</v>
      </c>
      <c r="C1168" s="30" t="s">
        <v>1537</v>
      </c>
      <c r="D1168" s="32" t="n">
        <f aca="false">SUMIF('Libro Diario'!$C$5:$C$504,A1168,'Libro Diario'!$F$5:$F$504)</f>
        <v>0</v>
      </c>
      <c r="E1168" s="32" t="n">
        <f aca="false">SUMIF('Libro Diario'!$C$5:$C$504,A1168,'Libro Diario'!$G$5:$G$504)</f>
        <v>0</v>
      </c>
      <c r="F1168" s="32" t="n">
        <f aca="false">IF(D1168&gt;=E1168,D1168-E1168,0)</f>
        <v>0</v>
      </c>
      <c r="G1168" s="32" t="n">
        <f aca="false">IF(E1168&gt;D1168,E1168-D1168,0)</f>
        <v>0</v>
      </c>
    </row>
    <row r="1169" customFormat="false" ht="15" hidden="false" customHeight="true" outlineLevel="0" collapsed="false">
      <c r="A1169" s="30" t="s">
        <v>1615</v>
      </c>
      <c r="B1169" s="31" t="s">
        <v>1616</v>
      </c>
      <c r="C1169" s="30" t="s">
        <v>1537</v>
      </c>
      <c r="D1169" s="32" t="n">
        <f aca="false">SUMIF('Libro Diario'!$C$5:$C$504,A1169,'Libro Diario'!$F$5:$F$504)</f>
        <v>0</v>
      </c>
      <c r="E1169" s="32" t="n">
        <f aca="false">SUMIF('Libro Diario'!$C$5:$C$504,A1169,'Libro Diario'!$G$5:$G$504)</f>
        <v>0</v>
      </c>
      <c r="F1169" s="32" t="n">
        <f aca="false">IF(D1169&gt;=E1169,D1169-E1169,0)</f>
        <v>0</v>
      </c>
      <c r="G1169" s="32" t="n">
        <f aca="false">IF(E1169&gt;D1169,E1169-D1169,0)</f>
        <v>0</v>
      </c>
    </row>
    <row r="1170" customFormat="false" ht="15" hidden="false" customHeight="true" outlineLevel="0" collapsed="false">
      <c r="A1170" s="30" t="s">
        <v>1617</v>
      </c>
      <c r="B1170" s="31" t="s">
        <v>1618</v>
      </c>
      <c r="C1170" s="30" t="s">
        <v>1537</v>
      </c>
      <c r="D1170" s="32" t="n">
        <f aca="false">SUMIF('Libro Diario'!$C$5:$C$504,A1170,'Libro Diario'!$F$5:$F$504)</f>
        <v>0</v>
      </c>
      <c r="E1170" s="32" t="n">
        <f aca="false">SUMIF('Libro Diario'!$C$5:$C$504,A1170,'Libro Diario'!$G$5:$G$504)</f>
        <v>0</v>
      </c>
      <c r="F1170" s="32" t="n">
        <f aca="false">IF(D1170&gt;=E1170,D1170-E1170,0)</f>
        <v>0</v>
      </c>
      <c r="G1170" s="32" t="n">
        <f aca="false">IF(E1170&gt;D1170,E1170-D1170,0)</f>
        <v>0</v>
      </c>
    </row>
    <row r="1171" customFormat="false" ht="15" hidden="false" customHeight="true" outlineLevel="0" collapsed="false">
      <c r="A1171" s="30" t="s">
        <v>1619</v>
      </c>
      <c r="B1171" s="31" t="s">
        <v>1620</v>
      </c>
      <c r="C1171" s="30" t="s">
        <v>1537</v>
      </c>
      <c r="D1171" s="32" t="n">
        <f aca="false">SUMIF('Libro Diario'!$C$5:$C$504,A1171,'Libro Diario'!$F$5:$F$504)</f>
        <v>0</v>
      </c>
      <c r="E1171" s="32" t="n">
        <f aca="false">SUMIF('Libro Diario'!$C$5:$C$504,A1171,'Libro Diario'!$G$5:$G$504)</f>
        <v>0</v>
      </c>
      <c r="F1171" s="32" t="n">
        <f aca="false">IF(D1171&gt;=E1171,D1171-E1171,0)</f>
        <v>0</v>
      </c>
      <c r="G1171" s="32" t="n">
        <f aca="false">IF(E1171&gt;D1171,E1171-D1171,0)</f>
        <v>0</v>
      </c>
    </row>
    <row r="1172" customFormat="false" ht="15" hidden="false" customHeight="true" outlineLevel="0" collapsed="false">
      <c r="A1172" s="30" t="s">
        <v>1621</v>
      </c>
      <c r="B1172" s="31" t="s">
        <v>992</v>
      </c>
      <c r="C1172" s="30" t="s">
        <v>1537</v>
      </c>
      <c r="D1172" s="32" t="n">
        <f aca="false">SUMIF('Libro Diario'!$C$5:$C$504,A1172,'Libro Diario'!$F$5:$F$504)</f>
        <v>0</v>
      </c>
      <c r="E1172" s="32" t="n">
        <f aca="false">SUMIF('Libro Diario'!$C$5:$C$504,A1172,'Libro Diario'!$G$5:$G$504)</f>
        <v>0</v>
      </c>
      <c r="F1172" s="32" t="n">
        <f aca="false">IF(D1172&gt;=E1172,D1172-E1172,0)</f>
        <v>0</v>
      </c>
      <c r="G1172" s="32" t="n">
        <f aca="false">IF(E1172&gt;D1172,E1172-D1172,0)</f>
        <v>0</v>
      </c>
    </row>
    <row r="1173" customFormat="false" ht="15" hidden="false" customHeight="true" outlineLevel="0" collapsed="false">
      <c r="A1173" s="30" t="s">
        <v>1622</v>
      </c>
      <c r="B1173" s="31" t="s">
        <v>154</v>
      </c>
      <c r="C1173" s="30" t="s">
        <v>1537</v>
      </c>
      <c r="D1173" s="32" t="n">
        <f aca="false">SUMIF('Libro Diario'!$C$5:$C$504,A1173,'Libro Diario'!$F$5:$F$504)</f>
        <v>0</v>
      </c>
      <c r="E1173" s="32" t="n">
        <f aca="false">SUMIF('Libro Diario'!$C$5:$C$504,A1173,'Libro Diario'!$G$5:$G$504)</f>
        <v>0</v>
      </c>
      <c r="F1173" s="32" t="n">
        <f aca="false">IF(D1173&gt;=E1173,D1173-E1173,0)</f>
        <v>0</v>
      </c>
      <c r="G1173" s="32" t="n">
        <f aca="false">IF(E1173&gt;D1173,E1173-D1173,0)</f>
        <v>0</v>
      </c>
    </row>
    <row r="1174" customFormat="false" ht="15" hidden="false" customHeight="true" outlineLevel="0" collapsed="false">
      <c r="A1174" s="30" t="s">
        <v>1623</v>
      </c>
      <c r="B1174" s="31" t="s">
        <v>995</v>
      </c>
      <c r="C1174" s="30" t="s">
        <v>1537</v>
      </c>
      <c r="D1174" s="32" t="n">
        <f aca="false">SUMIF('Libro Diario'!$C$5:$C$504,A1174,'Libro Diario'!$F$5:$F$504)</f>
        <v>0</v>
      </c>
      <c r="E1174" s="32" t="n">
        <f aca="false">SUMIF('Libro Diario'!$C$5:$C$504,A1174,'Libro Diario'!$G$5:$G$504)</f>
        <v>0</v>
      </c>
      <c r="F1174" s="32" t="n">
        <f aca="false">IF(D1174&gt;=E1174,D1174-E1174,0)</f>
        <v>0</v>
      </c>
      <c r="G1174" s="32" t="n">
        <f aca="false">IF(E1174&gt;D1174,E1174-D1174,0)</f>
        <v>0</v>
      </c>
    </row>
    <row r="1175" customFormat="false" ht="15" hidden="false" customHeight="true" outlineLevel="0" collapsed="false">
      <c r="A1175" s="30" t="s">
        <v>1624</v>
      </c>
      <c r="B1175" s="31" t="s">
        <v>156</v>
      </c>
      <c r="C1175" s="30" t="s">
        <v>1537</v>
      </c>
      <c r="D1175" s="32" t="n">
        <f aca="false">SUMIF('Libro Diario'!$C$5:$C$504,A1175,'Libro Diario'!$F$5:$F$504)</f>
        <v>0</v>
      </c>
      <c r="E1175" s="32" t="n">
        <f aca="false">SUMIF('Libro Diario'!$C$5:$C$504,A1175,'Libro Diario'!$G$5:$G$504)</f>
        <v>0</v>
      </c>
      <c r="F1175" s="32" t="n">
        <f aca="false">IF(D1175&gt;=E1175,D1175-E1175,0)</f>
        <v>0</v>
      </c>
      <c r="G1175" s="32" t="n">
        <f aca="false">IF(E1175&gt;D1175,E1175-D1175,0)</f>
        <v>0</v>
      </c>
    </row>
    <row r="1176" customFormat="false" ht="15" hidden="false" customHeight="true" outlineLevel="0" collapsed="false">
      <c r="A1176" s="30" t="s">
        <v>1625</v>
      </c>
      <c r="B1176" s="31" t="s">
        <v>158</v>
      </c>
      <c r="C1176" s="30" t="s">
        <v>1537</v>
      </c>
      <c r="D1176" s="32" t="n">
        <f aca="false">SUMIF('Libro Diario'!$C$5:$C$504,A1176,'Libro Diario'!$F$5:$F$504)</f>
        <v>0</v>
      </c>
      <c r="E1176" s="32" t="n">
        <f aca="false">SUMIF('Libro Diario'!$C$5:$C$504,A1176,'Libro Diario'!$G$5:$G$504)</f>
        <v>0</v>
      </c>
      <c r="F1176" s="32" t="n">
        <f aca="false">IF(D1176&gt;=E1176,D1176-E1176,0)</f>
        <v>0</v>
      </c>
      <c r="G1176" s="32" t="n">
        <f aca="false">IF(E1176&gt;D1176,E1176-D1176,0)</f>
        <v>0</v>
      </c>
    </row>
    <row r="1177" customFormat="false" ht="15" hidden="false" customHeight="true" outlineLevel="0" collapsed="false">
      <c r="A1177" s="30" t="s">
        <v>1626</v>
      </c>
      <c r="B1177" s="31" t="s">
        <v>160</v>
      </c>
      <c r="C1177" s="30" t="s">
        <v>1537</v>
      </c>
      <c r="D1177" s="32" t="n">
        <f aca="false">SUMIF('Libro Diario'!$C$5:$C$504,A1177,'Libro Diario'!$F$5:$F$504)</f>
        <v>0</v>
      </c>
      <c r="E1177" s="32" t="n">
        <f aca="false">SUMIF('Libro Diario'!$C$5:$C$504,A1177,'Libro Diario'!$G$5:$G$504)</f>
        <v>0</v>
      </c>
      <c r="F1177" s="32" t="n">
        <f aca="false">IF(D1177&gt;=E1177,D1177-E1177,0)</f>
        <v>0</v>
      </c>
      <c r="G1177" s="32" t="n">
        <f aca="false">IF(E1177&gt;D1177,E1177-D1177,0)</f>
        <v>0</v>
      </c>
    </row>
    <row r="1178" customFormat="false" ht="15" hidden="false" customHeight="true" outlineLevel="0" collapsed="false">
      <c r="A1178" s="30" t="s">
        <v>1627</v>
      </c>
      <c r="B1178" s="31" t="s">
        <v>1628</v>
      </c>
      <c r="C1178" s="30" t="s">
        <v>1537</v>
      </c>
      <c r="D1178" s="32" t="n">
        <f aca="false">SUMIF('Libro Diario'!$C$5:$C$504,A1178,'Libro Diario'!$F$5:$F$504)</f>
        <v>0</v>
      </c>
      <c r="E1178" s="32" t="n">
        <f aca="false">SUMIF('Libro Diario'!$C$5:$C$504,A1178,'Libro Diario'!$G$5:$G$504)</f>
        <v>0</v>
      </c>
      <c r="F1178" s="32" t="n">
        <f aca="false">IF(D1178&gt;=E1178,D1178-E1178,0)</f>
        <v>0</v>
      </c>
      <c r="G1178" s="32" t="n">
        <f aca="false">IF(E1178&gt;D1178,E1178-D1178,0)</f>
        <v>0</v>
      </c>
    </row>
    <row r="1179" customFormat="false" ht="15" hidden="false" customHeight="true" outlineLevel="0" collapsed="false">
      <c r="A1179" s="30" t="s">
        <v>1629</v>
      </c>
      <c r="B1179" s="31" t="s">
        <v>1630</v>
      </c>
      <c r="C1179" s="30" t="s">
        <v>1537</v>
      </c>
      <c r="D1179" s="32" t="n">
        <f aca="false">SUMIF('Libro Diario'!$C$5:$C$504,A1179,'Libro Diario'!$F$5:$F$504)</f>
        <v>0</v>
      </c>
      <c r="E1179" s="32" t="n">
        <f aca="false">SUMIF('Libro Diario'!$C$5:$C$504,A1179,'Libro Diario'!$G$5:$G$504)</f>
        <v>0</v>
      </c>
      <c r="F1179" s="32" t="n">
        <f aca="false">IF(D1179&gt;=E1179,D1179-E1179,0)</f>
        <v>0</v>
      </c>
      <c r="G1179" s="32" t="n">
        <f aca="false">IF(E1179&gt;D1179,E1179-D1179,0)</f>
        <v>0</v>
      </c>
    </row>
    <row r="1180" customFormat="false" ht="15" hidden="false" customHeight="true" outlineLevel="0" collapsed="false">
      <c r="A1180" s="30" t="s">
        <v>1631</v>
      </c>
      <c r="B1180" s="31" t="s">
        <v>1632</v>
      </c>
      <c r="C1180" s="30" t="s">
        <v>1537</v>
      </c>
      <c r="D1180" s="32" t="n">
        <f aca="false">SUMIF('Libro Diario'!$C$5:$C$504,A1180,'Libro Diario'!$F$5:$F$504)</f>
        <v>0</v>
      </c>
      <c r="E1180" s="32" t="n">
        <f aca="false">SUMIF('Libro Diario'!$C$5:$C$504,A1180,'Libro Diario'!$G$5:$G$504)</f>
        <v>0</v>
      </c>
      <c r="F1180" s="32" t="n">
        <f aca="false">IF(D1180&gt;=E1180,D1180-E1180,0)</f>
        <v>0</v>
      </c>
      <c r="G1180" s="32" t="n">
        <f aca="false">IF(E1180&gt;D1180,E1180-D1180,0)</f>
        <v>0</v>
      </c>
    </row>
    <row r="1181" customFormat="false" ht="15" hidden="false" customHeight="true" outlineLevel="0" collapsed="false">
      <c r="A1181" s="30" t="s">
        <v>1633</v>
      </c>
      <c r="B1181" s="31" t="s">
        <v>1634</v>
      </c>
      <c r="C1181" s="30" t="s">
        <v>1537</v>
      </c>
      <c r="D1181" s="32" t="n">
        <f aca="false">SUMIF('Libro Diario'!$C$5:$C$504,A1181,'Libro Diario'!$F$5:$F$504)</f>
        <v>0</v>
      </c>
      <c r="E1181" s="32" t="n">
        <f aca="false">SUMIF('Libro Diario'!$C$5:$C$504,A1181,'Libro Diario'!$G$5:$G$504)</f>
        <v>0</v>
      </c>
      <c r="F1181" s="32" t="n">
        <f aca="false">IF(D1181&gt;=E1181,D1181-E1181,0)</f>
        <v>0</v>
      </c>
      <c r="G1181" s="32" t="n">
        <f aca="false">IF(E1181&gt;D1181,E1181-D1181,0)</f>
        <v>0</v>
      </c>
    </row>
    <row r="1182" customFormat="false" ht="15" hidden="false" customHeight="true" outlineLevel="0" collapsed="false">
      <c r="A1182" s="30" t="s">
        <v>1635</v>
      </c>
      <c r="B1182" s="31" t="s">
        <v>1004</v>
      </c>
      <c r="C1182" s="30" t="s">
        <v>1537</v>
      </c>
      <c r="D1182" s="32" t="n">
        <f aca="false">SUMIF('Libro Diario'!$C$5:$C$504,A1182,'Libro Diario'!$F$5:$F$504)</f>
        <v>0</v>
      </c>
      <c r="E1182" s="32" t="n">
        <f aca="false">SUMIF('Libro Diario'!$C$5:$C$504,A1182,'Libro Diario'!$G$5:$G$504)</f>
        <v>0</v>
      </c>
      <c r="F1182" s="32" t="n">
        <f aca="false">IF(D1182&gt;=E1182,D1182-E1182,0)</f>
        <v>0</v>
      </c>
      <c r="G1182" s="32" t="n">
        <f aca="false">IF(E1182&gt;D1182,E1182-D1182,0)</f>
        <v>0</v>
      </c>
    </row>
    <row r="1183" customFormat="false" ht="15" hidden="false" customHeight="true" outlineLevel="0" collapsed="false">
      <c r="A1183" s="30" t="s">
        <v>1636</v>
      </c>
      <c r="B1183" s="31" t="s">
        <v>1637</v>
      </c>
      <c r="C1183" s="30" t="s">
        <v>1537</v>
      </c>
      <c r="D1183" s="32" t="n">
        <f aca="false">SUMIF('Libro Diario'!$C$5:$C$504,A1183,'Libro Diario'!$F$5:$F$504)</f>
        <v>0</v>
      </c>
      <c r="E1183" s="32" t="n">
        <f aca="false">SUMIF('Libro Diario'!$C$5:$C$504,A1183,'Libro Diario'!$G$5:$G$504)</f>
        <v>0</v>
      </c>
      <c r="F1183" s="32" t="n">
        <f aca="false">IF(D1183&gt;=E1183,D1183-E1183,0)</f>
        <v>0</v>
      </c>
      <c r="G1183" s="32" t="n">
        <f aca="false">IF(E1183&gt;D1183,E1183-D1183,0)</f>
        <v>0</v>
      </c>
    </row>
    <row r="1184" customFormat="false" ht="15" hidden="false" customHeight="true" outlineLevel="0" collapsed="false">
      <c r="A1184" s="30" t="s">
        <v>1638</v>
      </c>
      <c r="B1184" s="31" t="s">
        <v>1323</v>
      </c>
      <c r="C1184" s="30" t="s">
        <v>1537</v>
      </c>
      <c r="D1184" s="32" t="n">
        <f aca="false">SUMIF('Libro Diario'!$C$5:$C$504,A1184,'Libro Diario'!$F$5:$F$504)</f>
        <v>0</v>
      </c>
      <c r="E1184" s="32" t="n">
        <f aca="false">SUMIF('Libro Diario'!$C$5:$C$504,A1184,'Libro Diario'!$G$5:$G$504)</f>
        <v>0</v>
      </c>
      <c r="F1184" s="32" t="n">
        <f aca="false">IF(D1184&gt;=E1184,D1184-E1184,0)</f>
        <v>0</v>
      </c>
      <c r="G1184" s="32" t="n">
        <f aca="false">IF(E1184&gt;D1184,E1184-D1184,0)</f>
        <v>0</v>
      </c>
    </row>
    <row r="1185" customFormat="false" ht="15" hidden="false" customHeight="true" outlineLevel="0" collapsed="false">
      <c r="A1185" s="30" t="s">
        <v>1639</v>
      </c>
      <c r="B1185" s="31" t="s">
        <v>1640</v>
      </c>
      <c r="C1185" s="30" t="s">
        <v>1537</v>
      </c>
      <c r="D1185" s="32" t="n">
        <f aca="false">SUMIF('Libro Diario'!$C$5:$C$504,A1185,'Libro Diario'!$F$5:$F$504)</f>
        <v>0</v>
      </c>
      <c r="E1185" s="32" t="n">
        <f aca="false">SUMIF('Libro Diario'!$C$5:$C$504,A1185,'Libro Diario'!$G$5:$G$504)</f>
        <v>0</v>
      </c>
      <c r="F1185" s="32" t="n">
        <f aca="false">IF(D1185&gt;=E1185,D1185-E1185,0)</f>
        <v>0</v>
      </c>
      <c r="G1185" s="32" t="n">
        <f aca="false">IF(E1185&gt;D1185,E1185-D1185,0)</f>
        <v>0</v>
      </c>
    </row>
    <row r="1186" customFormat="false" ht="15" hidden="false" customHeight="true" outlineLevel="0" collapsed="false">
      <c r="A1186" s="30" t="s">
        <v>1641</v>
      </c>
      <c r="B1186" s="31" t="s">
        <v>1642</v>
      </c>
      <c r="C1186" s="30" t="s">
        <v>1537</v>
      </c>
      <c r="D1186" s="32" t="n">
        <f aca="false">SUMIF('Libro Diario'!$C$5:$C$504,A1186,'Libro Diario'!$F$5:$F$504)</f>
        <v>0</v>
      </c>
      <c r="E1186" s="32" t="n">
        <f aca="false">SUMIF('Libro Diario'!$C$5:$C$504,A1186,'Libro Diario'!$G$5:$G$504)</f>
        <v>0</v>
      </c>
      <c r="F1186" s="32" t="n">
        <f aca="false">IF(D1186&gt;=E1186,D1186-E1186,0)</f>
        <v>0</v>
      </c>
      <c r="G1186" s="32" t="n">
        <f aca="false">IF(E1186&gt;D1186,E1186-D1186,0)</f>
        <v>0</v>
      </c>
    </row>
    <row r="1187" customFormat="false" ht="15" hidden="false" customHeight="true" outlineLevel="0" collapsed="false">
      <c r="A1187" s="30" t="s">
        <v>1643</v>
      </c>
      <c r="B1187" s="31" t="s">
        <v>407</v>
      </c>
      <c r="C1187" s="30" t="s">
        <v>1537</v>
      </c>
      <c r="D1187" s="32" t="n">
        <f aca="false">SUMIF('Libro Diario'!$C$5:$C$504,A1187,'Libro Diario'!$F$5:$F$504)</f>
        <v>0</v>
      </c>
      <c r="E1187" s="32" t="n">
        <f aca="false">SUMIF('Libro Diario'!$C$5:$C$504,A1187,'Libro Diario'!$G$5:$G$504)</f>
        <v>0</v>
      </c>
      <c r="F1187" s="32" t="n">
        <f aca="false">IF(D1187&gt;=E1187,D1187-E1187,0)</f>
        <v>0</v>
      </c>
      <c r="G1187" s="32" t="n">
        <f aca="false">IF(E1187&gt;D1187,E1187-D1187,0)</f>
        <v>0</v>
      </c>
    </row>
    <row r="1188" customFormat="false" ht="15" hidden="false" customHeight="true" outlineLevel="0" collapsed="false">
      <c r="A1188" s="30" t="s">
        <v>1644</v>
      </c>
      <c r="B1188" s="31" t="s">
        <v>1328</v>
      </c>
      <c r="C1188" s="30" t="s">
        <v>1537</v>
      </c>
      <c r="D1188" s="32" t="n">
        <f aca="false">SUMIF('Libro Diario'!$C$5:$C$504,A1188,'Libro Diario'!$F$5:$F$504)</f>
        <v>0</v>
      </c>
      <c r="E1188" s="32" t="n">
        <f aca="false">SUMIF('Libro Diario'!$C$5:$C$504,A1188,'Libro Diario'!$G$5:$G$504)</f>
        <v>0</v>
      </c>
      <c r="F1188" s="32" t="n">
        <f aca="false">IF(D1188&gt;=E1188,D1188-E1188,0)</f>
        <v>0</v>
      </c>
      <c r="G1188" s="32" t="n">
        <f aca="false">IF(E1188&gt;D1188,E1188-D1188,0)</f>
        <v>0</v>
      </c>
    </row>
    <row r="1189" customFormat="false" ht="15" hidden="false" customHeight="true" outlineLevel="0" collapsed="false">
      <c r="A1189" s="30" t="s">
        <v>1645</v>
      </c>
      <c r="B1189" s="31" t="s">
        <v>154</v>
      </c>
      <c r="C1189" s="30" t="s">
        <v>1537</v>
      </c>
      <c r="D1189" s="32" t="n">
        <f aca="false">SUMIF('Libro Diario'!$C$5:$C$504,A1189,'Libro Diario'!$F$5:$F$504)</f>
        <v>0</v>
      </c>
      <c r="E1189" s="32" t="n">
        <f aca="false">SUMIF('Libro Diario'!$C$5:$C$504,A1189,'Libro Diario'!$G$5:$G$504)</f>
        <v>0</v>
      </c>
      <c r="F1189" s="32" t="n">
        <f aca="false">IF(D1189&gt;=E1189,D1189-E1189,0)</f>
        <v>0</v>
      </c>
      <c r="G1189" s="32" t="n">
        <f aca="false">IF(E1189&gt;D1189,E1189-D1189,0)</f>
        <v>0</v>
      </c>
    </row>
    <row r="1190" customFormat="false" ht="15" hidden="false" customHeight="true" outlineLevel="0" collapsed="false">
      <c r="A1190" s="30" t="s">
        <v>1646</v>
      </c>
      <c r="B1190" s="31" t="s">
        <v>156</v>
      </c>
      <c r="C1190" s="30" t="s">
        <v>1537</v>
      </c>
      <c r="D1190" s="32" t="n">
        <f aca="false">SUMIF('Libro Diario'!$C$5:$C$504,A1190,'Libro Diario'!$F$5:$F$504)</f>
        <v>0</v>
      </c>
      <c r="E1190" s="32" t="n">
        <f aca="false">SUMIF('Libro Diario'!$C$5:$C$504,A1190,'Libro Diario'!$G$5:$G$504)</f>
        <v>0</v>
      </c>
      <c r="F1190" s="32" t="n">
        <f aca="false">IF(D1190&gt;=E1190,D1190-E1190,0)</f>
        <v>0</v>
      </c>
      <c r="G1190" s="32" t="n">
        <f aca="false">IF(E1190&gt;D1190,E1190-D1190,0)</f>
        <v>0</v>
      </c>
    </row>
    <row r="1191" customFormat="false" ht="15" hidden="false" customHeight="true" outlineLevel="0" collapsed="false">
      <c r="A1191" s="30" t="s">
        <v>1647</v>
      </c>
      <c r="B1191" s="31" t="s">
        <v>158</v>
      </c>
      <c r="C1191" s="30" t="s">
        <v>1537</v>
      </c>
      <c r="D1191" s="32" t="n">
        <f aca="false">SUMIF('Libro Diario'!$C$5:$C$504,A1191,'Libro Diario'!$F$5:$F$504)</f>
        <v>0</v>
      </c>
      <c r="E1191" s="32" t="n">
        <f aca="false">SUMIF('Libro Diario'!$C$5:$C$504,A1191,'Libro Diario'!$G$5:$G$504)</f>
        <v>0</v>
      </c>
      <c r="F1191" s="32" t="n">
        <f aca="false">IF(D1191&gt;=E1191,D1191-E1191,0)</f>
        <v>0</v>
      </c>
      <c r="G1191" s="32" t="n">
        <f aca="false">IF(E1191&gt;D1191,E1191-D1191,0)</f>
        <v>0</v>
      </c>
    </row>
    <row r="1192" customFormat="false" ht="15" hidden="false" customHeight="true" outlineLevel="0" collapsed="false">
      <c r="A1192" s="30" t="s">
        <v>1648</v>
      </c>
      <c r="B1192" s="31" t="s">
        <v>160</v>
      </c>
      <c r="C1192" s="30" t="s">
        <v>1537</v>
      </c>
      <c r="D1192" s="32" t="n">
        <f aca="false">SUMIF('Libro Diario'!$C$5:$C$504,A1192,'Libro Diario'!$F$5:$F$504)</f>
        <v>0</v>
      </c>
      <c r="E1192" s="32" t="n">
        <f aca="false">SUMIF('Libro Diario'!$C$5:$C$504,A1192,'Libro Diario'!$G$5:$G$504)</f>
        <v>0</v>
      </c>
      <c r="F1192" s="32" t="n">
        <f aca="false">IF(D1192&gt;=E1192,D1192-E1192,0)</f>
        <v>0</v>
      </c>
      <c r="G1192" s="32" t="n">
        <f aca="false">IF(E1192&gt;D1192,E1192-D1192,0)</f>
        <v>0</v>
      </c>
    </row>
    <row r="1193" customFormat="false" ht="15" hidden="false" customHeight="true" outlineLevel="0" collapsed="false">
      <c r="A1193" s="30" t="s">
        <v>1649</v>
      </c>
      <c r="B1193" s="31" t="s">
        <v>154</v>
      </c>
      <c r="C1193" s="30" t="s">
        <v>1537</v>
      </c>
      <c r="D1193" s="32" t="n">
        <f aca="false">SUMIF('Libro Diario'!$C$5:$C$504,A1193,'Libro Diario'!$F$5:$F$504)</f>
        <v>0</v>
      </c>
      <c r="E1193" s="32" t="n">
        <f aca="false">SUMIF('Libro Diario'!$C$5:$C$504,A1193,'Libro Diario'!$G$5:$G$504)</f>
        <v>0</v>
      </c>
      <c r="F1193" s="32" t="n">
        <f aca="false">IF(D1193&gt;=E1193,D1193-E1193,0)</f>
        <v>0</v>
      </c>
      <c r="G1193" s="32" t="n">
        <f aca="false">IF(E1193&gt;D1193,E1193-D1193,0)</f>
        <v>0</v>
      </c>
    </row>
    <row r="1194" customFormat="false" ht="15" hidden="false" customHeight="true" outlineLevel="0" collapsed="false">
      <c r="A1194" s="30" t="s">
        <v>1650</v>
      </c>
      <c r="B1194" s="31" t="s">
        <v>160</v>
      </c>
      <c r="C1194" s="30" t="s">
        <v>1537</v>
      </c>
      <c r="D1194" s="32" t="n">
        <f aca="false">SUMIF('Libro Diario'!$C$5:$C$504,A1194,'Libro Diario'!$F$5:$F$504)</f>
        <v>0</v>
      </c>
      <c r="E1194" s="32" t="n">
        <f aca="false">SUMIF('Libro Diario'!$C$5:$C$504,A1194,'Libro Diario'!$G$5:$G$504)</f>
        <v>0</v>
      </c>
      <c r="F1194" s="32" t="n">
        <f aca="false">IF(D1194&gt;=E1194,D1194-E1194,0)</f>
        <v>0</v>
      </c>
      <c r="G1194" s="32" t="n">
        <f aca="false">IF(E1194&gt;D1194,E1194-D1194,0)</f>
        <v>0</v>
      </c>
    </row>
    <row r="1195" customFormat="false" ht="15" hidden="false" customHeight="true" outlineLevel="0" collapsed="false">
      <c r="A1195" s="30" t="s">
        <v>1651</v>
      </c>
      <c r="B1195" s="31" t="s">
        <v>1652</v>
      </c>
      <c r="C1195" s="30" t="s">
        <v>1537</v>
      </c>
      <c r="D1195" s="32" t="n">
        <f aca="false">SUMIF('Libro Diario'!$C$5:$C$504,A1195,'Libro Diario'!$F$5:$F$504)</f>
        <v>0</v>
      </c>
      <c r="E1195" s="32" t="n">
        <f aca="false">SUMIF('Libro Diario'!$C$5:$C$504,A1195,'Libro Diario'!$G$5:$G$504)</f>
        <v>0</v>
      </c>
      <c r="F1195" s="32" t="n">
        <f aca="false">IF(D1195&gt;=E1195,D1195-E1195,0)</f>
        <v>0</v>
      </c>
      <c r="G1195" s="32" t="n">
        <f aca="false">IF(E1195&gt;D1195,E1195-D1195,0)</f>
        <v>0</v>
      </c>
    </row>
    <row r="1196" customFormat="false" ht="15" hidden="false" customHeight="true" outlineLevel="0" collapsed="false">
      <c r="A1196" s="30" t="s">
        <v>1653</v>
      </c>
      <c r="B1196" s="31" t="s">
        <v>1654</v>
      </c>
      <c r="C1196" s="30" t="s">
        <v>1537</v>
      </c>
      <c r="D1196" s="32" t="n">
        <f aca="false">SUMIF('Libro Diario'!$C$5:$C$504,A1196,'Libro Diario'!$F$5:$F$504)</f>
        <v>0</v>
      </c>
      <c r="E1196" s="32" t="n">
        <f aca="false">SUMIF('Libro Diario'!$C$5:$C$504,A1196,'Libro Diario'!$G$5:$G$504)</f>
        <v>0</v>
      </c>
      <c r="F1196" s="32" t="n">
        <f aca="false">IF(D1196&gt;=E1196,D1196-E1196,0)</f>
        <v>0</v>
      </c>
      <c r="G1196" s="32" t="n">
        <f aca="false">IF(E1196&gt;D1196,E1196-D1196,0)</f>
        <v>0</v>
      </c>
    </row>
    <row r="1197" customFormat="false" ht="15" hidden="false" customHeight="true" outlineLevel="0" collapsed="false">
      <c r="A1197" s="30" t="s">
        <v>1655</v>
      </c>
      <c r="B1197" s="31" t="s">
        <v>1656</v>
      </c>
      <c r="C1197" s="30" t="s">
        <v>1537</v>
      </c>
      <c r="D1197" s="32" t="n">
        <f aca="false">SUMIF('Libro Diario'!$C$5:$C$504,A1197,'Libro Diario'!$F$5:$F$504)</f>
        <v>0</v>
      </c>
      <c r="E1197" s="32" t="n">
        <f aca="false">SUMIF('Libro Diario'!$C$5:$C$504,A1197,'Libro Diario'!$G$5:$G$504)</f>
        <v>0</v>
      </c>
      <c r="F1197" s="32" t="n">
        <f aca="false">IF(D1197&gt;=E1197,D1197-E1197,0)</f>
        <v>0</v>
      </c>
      <c r="G1197" s="32" t="n">
        <f aca="false">IF(E1197&gt;D1197,E1197-D1197,0)</f>
        <v>0</v>
      </c>
    </row>
    <row r="1198" customFormat="false" ht="15" hidden="false" customHeight="true" outlineLevel="0" collapsed="false">
      <c r="A1198" s="30" t="s">
        <v>1657</v>
      </c>
      <c r="B1198" s="31" t="s">
        <v>1658</v>
      </c>
      <c r="C1198" s="30" t="s">
        <v>1537</v>
      </c>
      <c r="D1198" s="32" t="n">
        <f aca="false">SUMIF('Libro Diario'!$C$5:$C$504,A1198,'Libro Diario'!$F$5:$F$504)</f>
        <v>0</v>
      </c>
      <c r="E1198" s="32" t="n">
        <f aca="false">SUMIF('Libro Diario'!$C$5:$C$504,A1198,'Libro Diario'!$G$5:$G$504)</f>
        <v>0</v>
      </c>
      <c r="F1198" s="32" t="n">
        <f aca="false">IF(D1198&gt;=E1198,D1198-E1198,0)</f>
        <v>0</v>
      </c>
      <c r="G1198" s="32" t="n">
        <f aca="false">IF(E1198&gt;D1198,E1198-D1198,0)</f>
        <v>0</v>
      </c>
    </row>
    <row r="1199" customFormat="false" ht="15" hidden="false" customHeight="true" outlineLevel="0" collapsed="false">
      <c r="A1199" s="30" t="s">
        <v>1659</v>
      </c>
      <c r="B1199" s="31" t="s">
        <v>1446</v>
      </c>
      <c r="C1199" s="30" t="s">
        <v>1537</v>
      </c>
      <c r="D1199" s="32" t="n">
        <f aca="false">SUMIF('Libro Diario'!$C$5:$C$504,A1199,'Libro Diario'!$F$5:$F$504)</f>
        <v>0</v>
      </c>
      <c r="E1199" s="32" t="n">
        <f aca="false">SUMIF('Libro Diario'!$C$5:$C$504,A1199,'Libro Diario'!$G$5:$G$504)</f>
        <v>0</v>
      </c>
      <c r="F1199" s="32" t="n">
        <f aca="false">IF(D1199&gt;=E1199,D1199-E1199,0)</f>
        <v>0</v>
      </c>
      <c r="G1199" s="32" t="n">
        <f aca="false">IF(E1199&gt;D1199,E1199-D1199,0)</f>
        <v>0</v>
      </c>
    </row>
    <row r="1200" customFormat="false" ht="15" hidden="false" customHeight="true" outlineLevel="0" collapsed="false">
      <c r="A1200" s="30" t="s">
        <v>1660</v>
      </c>
      <c r="B1200" s="31" t="s">
        <v>1448</v>
      </c>
      <c r="C1200" s="30" t="s">
        <v>1537</v>
      </c>
      <c r="D1200" s="32" t="n">
        <f aca="false">SUMIF('Libro Diario'!$C$5:$C$504,A1200,'Libro Diario'!$F$5:$F$504)</f>
        <v>0</v>
      </c>
      <c r="E1200" s="32" t="n">
        <f aca="false">SUMIF('Libro Diario'!$C$5:$C$504,A1200,'Libro Diario'!$G$5:$G$504)</f>
        <v>0</v>
      </c>
      <c r="F1200" s="32" t="n">
        <f aca="false">IF(D1200&gt;=E1200,D1200-E1200,0)</f>
        <v>0</v>
      </c>
      <c r="G1200" s="32" t="n">
        <f aca="false">IF(E1200&gt;D1200,E1200-D1200,0)</f>
        <v>0</v>
      </c>
    </row>
    <row r="1201" customFormat="false" ht="15" hidden="false" customHeight="true" outlineLevel="0" collapsed="false">
      <c r="A1201" s="30" t="s">
        <v>1661</v>
      </c>
      <c r="B1201" s="31" t="s">
        <v>142</v>
      </c>
      <c r="C1201" s="30" t="s">
        <v>1537</v>
      </c>
      <c r="D1201" s="32" t="n">
        <f aca="false">SUMIF('Libro Diario'!$C$5:$C$504,A1201,'Libro Diario'!$F$5:$F$504)</f>
        <v>0</v>
      </c>
      <c r="E1201" s="32" t="n">
        <f aca="false">SUMIF('Libro Diario'!$C$5:$C$504,A1201,'Libro Diario'!$G$5:$G$504)</f>
        <v>0</v>
      </c>
      <c r="F1201" s="32" t="n">
        <f aca="false">IF(D1201&gt;=E1201,D1201-E1201,0)</f>
        <v>0</v>
      </c>
      <c r="G1201" s="32" t="n">
        <f aca="false">IF(E1201&gt;D1201,E1201-D1201,0)</f>
        <v>0</v>
      </c>
    </row>
    <row r="1202" customFormat="false" ht="15" hidden="false" customHeight="true" outlineLevel="0" collapsed="false">
      <c r="A1202" s="30" t="s">
        <v>1662</v>
      </c>
      <c r="B1202" s="31" t="s">
        <v>1663</v>
      </c>
      <c r="C1202" s="30" t="s">
        <v>1537</v>
      </c>
      <c r="D1202" s="32" t="n">
        <f aca="false">SUMIF('Libro Diario'!$C$5:$C$504,A1202,'Libro Diario'!$F$5:$F$504)</f>
        <v>0</v>
      </c>
      <c r="E1202" s="32" t="n">
        <f aca="false">SUMIF('Libro Diario'!$C$5:$C$504,A1202,'Libro Diario'!$G$5:$G$504)</f>
        <v>0</v>
      </c>
      <c r="F1202" s="32" t="n">
        <f aca="false">IF(D1202&gt;=E1202,D1202-E1202,0)</f>
        <v>0</v>
      </c>
      <c r="G1202" s="32" t="n">
        <f aca="false">IF(E1202&gt;D1202,E1202-D1202,0)</f>
        <v>0</v>
      </c>
    </row>
    <row r="1203" customFormat="false" ht="15" hidden="false" customHeight="true" outlineLevel="0" collapsed="false">
      <c r="A1203" s="30" t="s">
        <v>1664</v>
      </c>
      <c r="B1203" s="31" t="s">
        <v>1665</v>
      </c>
      <c r="C1203" s="30" t="s">
        <v>1537</v>
      </c>
      <c r="D1203" s="32" t="n">
        <f aca="false">SUMIF('Libro Diario'!$C$5:$C$504,A1203,'Libro Diario'!$F$5:$F$504)</f>
        <v>0</v>
      </c>
      <c r="E1203" s="32" t="n">
        <f aca="false">SUMIF('Libro Diario'!$C$5:$C$504,A1203,'Libro Diario'!$G$5:$G$504)</f>
        <v>0</v>
      </c>
      <c r="F1203" s="32" t="n">
        <f aca="false">IF(D1203&gt;=E1203,D1203-E1203,0)</f>
        <v>0</v>
      </c>
      <c r="G1203" s="32" t="n">
        <f aca="false">IF(E1203&gt;D1203,E1203-D1203,0)</f>
        <v>0</v>
      </c>
    </row>
    <row r="1204" customFormat="false" ht="15" hidden="false" customHeight="true" outlineLevel="0" collapsed="false">
      <c r="A1204" s="30" t="s">
        <v>1666</v>
      </c>
      <c r="B1204" s="31" t="s">
        <v>1667</v>
      </c>
      <c r="C1204" s="30" t="s">
        <v>1537</v>
      </c>
      <c r="D1204" s="32" t="n">
        <f aca="false">SUMIF('Libro Diario'!$C$5:$C$504,A1204,'Libro Diario'!$F$5:$F$504)</f>
        <v>0</v>
      </c>
      <c r="E1204" s="32" t="n">
        <f aca="false">SUMIF('Libro Diario'!$C$5:$C$504,A1204,'Libro Diario'!$G$5:$G$504)</f>
        <v>0</v>
      </c>
      <c r="F1204" s="32" t="n">
        <f aca="false">IF(D1204&gt;=E1204,D1204-E1204,0)</f>
        <v>0</v>
      </c>
      <c r="G1204" s="32" t="n">
        <f aca="false">IF(E1204&gt;D1204,E1204-D1204,0)</f>
        <v>0</v>
      </c>
    </row>
    <row r="1205" customFormat="false" ht="15" hidden="false" customHeight="true" outlineLevel="0" collapsed="false">
      <c r="A1205" s="30" t="s">
        <v>1668</v>
      </c>
      <c r="B1205" s="31" t="s">
        <v>1361</v>
      </c>
      <c r="C1205" s="30" t="s">
        <v>1537</v>
      </c>
      <c r="D1205" s="32" t="n">
        <f aca="false">SUMIF('Libro Diario'!$C$5:$C$504,A1205,'Libro Diario'!$F$5:$F$504)</f>
        <v>0</v>
      </c>
      <c r="E1205" s="32" t="n">
        <f aca="false">SUMIF('Libro Diario'!$C$5:$C$504,A1205,'Libro Diario'!$G$5:$G$504)</f>
        <v>0</v>
      </c>
      <c r="F1205" s="32" t="n">
        <f aca="false">IF(D1205&gt;=E1205,D1205-E1205,0)</f>
        <v>0</v>
      </c>
      <c r="G1205" s="32" t="n">
        <f aca="false">IF(E1205&gt;D1205,E1205-D1205,0)</f>
        <v>0</v>
      </c>
    </row>
    <row r="1206" customFormat="false" ht="15" hidden="false" customHeight="true" outlineLevel="0" collapsed="false">
      <c r="A1206" s="30" t="s">
        <v>1669</v>
      </c>
      <c r="B1206" s="31" t="s">
        <v>1670</v>
      </c>
      <c r="C1206" s="30" t="s">
        <v>1537</v>
      </c>
      <c r="D1206" s="32" t="n">
        <f aca="false">SUMIF('Libro Diario'!$C$5:$C$504,A1206,'Libro Diario'!$F$5:$F$504)</f>
        <v>0</v>
      </c>
      <c r="E1206" s="32" t="n">
        <f aca="false">SUMIF('Libro Diario'!$C$5:$C$504,A1206,'Libro Diario'!$G$5:$G$504)</f>
        <v>0</v>
      </c>
      <c r="F1206" s="32" t="n">
        <f aca="false">IF(D1206&gt;=E1206,D1206-E1206,0)</f>
        <v>0</v>
      </c>
      <c r="G1206" s="32" t="n">
        <f aca="false">IF(E1206&gt;D1206,E1206-D1206,0)</f>
        <v>0</v>
      </c>
    </row>
    <row r="1207" customFormat="false" ht="15" hidden="false" customHeight="true" outlineLevel="0" collapsed="false">
      <c r="A1207" s="30" t="s">
        <v>1671</v>
      </c>
      <c r="B1207" s="31" t="s">
        <v>136</v>
      </c>
      <c r="C1207" s="30" t="s">
        <v>1537</v>
      </c>
      <c r="D1207" s="32" t="n">
        <f aca="false">SUMIF('Libro Diario'!$C$5:$C$504,A1207,'Libro Diario'!$F$5:$F$504)</f>
        <v>0</v>
      </c>
      <c r="E1207" s="32" t="n">
        <f aca="false">SUMIF('Libro Diario'!$C$5:$C$504,A1207,'Libro Diario'!$G$5:$G$504)</f>
        <v>0</v>
      </c>
      <c r="F1207" s="32" t="n">
        <f aca="false">IF(D1207&gt;=E1207,D1207-E1207,0)</f>
        <v>0</v>
      </c>
      <c r="G1207" s="32" t="n">
        <f aca="false">IF(E1207&gt;D1207,E1207-D1207,0)</f>
        <v>0</v>
      </c>
    </row>
    <row r="1208" customFormat="false" ht="15" hidden="false" customHeight="true" outlineLevel="0" collapsed="false">
      <c r="A1208" s="30" t="s">
        <v>1672</v>
      </c>
      <c r="B1208" s="31" t="s">
        <v>1366</v>
      </c>
      <c r="C1208" s="30" t="s">
        <v>1537</v>
      </c>
      <c r="D1208" s="32" t="n">
        <f aca="false">SUMIF('Libro Diario'!$C$5:$C$504,A1208,'Libro Diario'!$F$5:$F$504)</f>
        <v>0</v>
      </c>
      <c r="E1208" s="32" t="n">
        <f aca="false">SUMIF('Libro Diario'!$C$5:$C$504,A1208,'Libro Diario'!$G$5:$G$504)</f>
        <v>0</v>
      </c>
      <c r="F1208" s="32" t="n">
        <f aca="false">IF(D1208&gt;=E1208,D1208-E1208,0)</f>
        <v>0</v>
      </c>
      <c r="G1208" s="32" t="n">
        <f aca="false">IF(E1208&gt;D1208,E1208-D1208,0)</f>
        <v>0</v>
      </c>
    </row>
    <row r="1209" customFormat="false" ht="15" hidden="false" customHeight="true" outlineLevel="0" collapsed="false">
      <c r="A1209" s="30" t="s">
        <v>1673</v>
      </c>
      <c r="B1209" s="31" t="s">
        <v>1674</v>
      </c>
      <c r="C1209" s="30" t="s">
        <v>1537</v>
      </c>
      <c r="D1209" s="32" t="n">
        <f aca="false">SUMIF('Libro Diario'!$C$5:$C$504,A1209,'Libro Diario'!$F$5:$F$504)</f>
        <v>0</v>
      </c>
      <c r="E1209" s="32" t="n">
        <f aca="false">SUMIF('Libro Diario'!$C$5:$C$504,A1209,'Libro Diario'!$G$5:$G$504)</f>
        <v>0</v>
      </c>
      <c r="F1209" s="32" t="n">
        <f aca="false">IF(D1209&gt;=E1209,D1209-E1209,0)</f>
        <v>0</v>
      </c>
      <c r="G1209" s="32" t="n">
        <f aca="false">IF(E1209&gt;D1209,E1209-D1209,0)</f>
        <v>0</v>
      </c>
    </row>
    <row r="1210" customFormat="false" ht="15" hidden="false" customHeight="true" outlineLevel="0" collapsed="false">
      <c r="A1210" s="30" t="s">
        <v>1675</v>
      </c>
      <c r="B1210" s="31" t="s">
        <v>1676</v>
      </c>
      <c r="C1210" s="30" t="s">
        <v>1537</v>
      </c>
      <c r="D1210" s="32" t="n">
        <f aca="false">SUMIF('Libro Diario'!$C$5:$C$504,A1210,'Libro Diario'!$F$5:$F$504)</f>
        <v>0</v>
      </c>
      <c r="E1210" s="32" t="n">
        <f aca="false">SUMIF('Libro Diario'!$C$5:$C$504,A1210,'Libro Diario'!$G$5:$G$504)</f>
        <v>0</v>
      </c>
      <c r="F1210" s="32" t="n">
        <f aca="false">IF(D1210&gt;=E1210,D1210-E1210,0)</f>
        <v>0</v>
      </c>
      <c r="G1210" s="32" t="n">
        <f aca="false">IF(E1210&gt;D1210,E1210-D1210,0)</f>
        <v>0</v>
      </c>
    </row>
    <row r="1211" customFormat="false" ht="15" hidden="false" customHeight="true" outlineLevel="0" collapsed="false">
      <c r="A1211" s="30" t="s">
        <v>1677</v>
      </c>
      <c r="B1211" s="31" t="s">
        <v>1678</v>
      </c>
      <c r="C1211" s="30" t="s">
        <v>1537</v>
      </c>
      <c r="D1211" s="32" t="n">
        <f aca="false">SUMIF('Libro Diario'!$C$5:$C$504,A1211,'Libro Diario'!$F$5:$F$504)</f>
        <v>0</v>
      </c>
      <c r="E1211" s="32" t="n">
        <f aca="false">SUMIF('Libro Diario'!$C$5:$C$504,A1211,'Libro Diario'!$G$5:$G$504)</f>
        <v>0</v>
      </c>
      <c r="F1211" s="32" t="n">
        <f aca="false">IF(D1211&gt;=E1211,D1211-E1211,0)</f>
        <v>0</v>
      </c>
      <c r="G1211" s="32" t="n">
        <f aca="false">IF(E1211&gt;D1211,E1211-D1211,0)</f>
        <v>0</v>
      </c>
    </row>
    <row r="1212" customFormat="false" ht="15" hidden="false" customHeight="true" outlineLevel="0" collapsed="false">
      <c r="A1212" s="30" t="s">
        <v>1679</v>
      </c>
      <c r="B1212" s="31" t="s">
        <v>1680</v>
      </c>
      <c r="C1212" s="30" t="s">
        <v>1537</v>
      </c>
      <c r="D1212" s="32" t="n">
        <f aca="false">SUMIF('Libro Diario'!$C$5:$C$504,A1212,'Libro Diario'!$F$5:$F$504)</f>
        <v>0</v>
      </c>
      <c r="E1212" s="32" t="n">
        <f aca="false">SUMIF('Libro Diario'!$C$5:$C$504,A1212,'Libro Diario'!$G$5:$G$504)</f>
        <v>0</v>
      </c>
      <c r="F1212" s="32" t="n">
        <f aca="false">IF(D1212&gt;=E1212,D1212-E1212,0)</f>
        <v>0</v>
      </c>
      <c r="G1212" s="32" t="n">
        <f aca="false">IF(E1212&gt;D1212,E1212-D1212,0)</f>
        <v>0</v>
      </c>
    </row>
    <row r="1213" customFormat="false" ht="15" hidden="false" customHeight="true" outlineLevel="0" collapsed="false">
      <c r="A1213" s="30" t="s">
        <v>1681</v>
      </c>
      <c r="B1213" s="31" t="s">
        <v>1682</v>
      </c>
      <c r="C1213" s="30" t="s">
        <v>1537</v>
      </c>
      <c r="D1213" s="32" t="n">
        <f aca="false">SUMIF('Libro Diario'!$C$5:$C$504,A1213,'Libro Diario'!$F$5:$F$504)</f>
        <v>0</v>
      </c>
      <c r="E1213" s="32" t="n">
        <f aca="false">SUMIF('Libro Diario'!$C$5:$C$504,A1213,'Libro Diario'!$G$5:$G$504)</f>
        <v>0</v>
      </c>
      <c r="F1213" s="32" t="n">
        <f aca="false">IF(D1213&gt;=E1213,D1213-E1213,0)</f>
        <v>0</v>
      </c>
      <c r="G1213" s="32" t="n">
        <f aca="false">IF(E1213&gt;D1213,E1213-D1213,0)</f>
        <v>0</v>
      </c>
    </row>
    <row r="1214" customFormat="false" ht="15" hidden="false" customHeight="true" outlineLevel="0" collapsed="false">
      <c r="A1214" s="30" t="s">
        <v>1683</v>
      </c>
      <c r="B1214" s="31" t="s">
        <v>1684</v>
      </c>
      <c r="C1214" s="30" t="s">
        <v>1685</v>
      </c>
      <c r="D1214" s="32" t="n">
        <f aca="false">SUMIF('Libro Diario'!$C$5:$C$504,A1214,'Libro Diario'!$F$5:$F$504)</f>
        <v>0</v>
      </c>
      <c r="E1214" s="32" t="n">
        <f aca="false">SUMIF('Libro Diario'!$C$5:$C$504,A1214,'Libro Diario'!$G$5:$G$504)</f>
        <v>0</v>
      </c>
      <c r="F1214" s="32" t="n">
        <f aca="false">IF(D1214&gt;=E1214,D1214-E1214,0)</f>
        <v>0</v>
      </c>
      <c r="G1214" s="32" t="n">
        <f aca="false">IF(E1214&gt;D1214,E1214-D1214,0)</f>
        <v>0</v>
      </c>
    </row>
    <row r="1215" customFormat="false" ht="15" hidden="false" customHeight="true" outlineLevel="0" collapsed="false">
      <c r="A1215" s="30" t="s">
        <v>1686</v>
      </c>
      <c r="B1215" s="31" t="s">
        <v>1687</v>
      </c>
      <c r="C1215" s="30" t="s">
        <v>1685</v>
      </c>
      <c r="D1215" s="32" t="n">
        <f aca="false">SUMIF('Libro Diario'!$C$5:$C$504,A1215,'Libro Diario'!$F$5:$F$504)</f>
        <v>0</v>
      </c>
      <c r="E1215" s="32" t="n">
        <f aca="false">SUMIF('Libro Diario'!$C$5:$C$504,A1215,'Libro Diario'!$G$5:$G$504)</f>
        <v>0</v>
      </c>
      <c r="F1215" s="32" t="n">
        <f aca="false">IF(D1215&gt;=E1215,D1215-E1215,0)</f>
        <v>0</v>
      </c>
      <c r="G1215" s="32" t="n">
        <f aca="false">IF(E1215&gt;D1215,E1215-D1215,0)</f>
        <v>0</v>
      </c>
    </row>
    <row r="1216" customFormat="false" ht="15" hidden="false" customHeight="true" outlineLevel="0" collapsed="false">
      <c r="A1216" s="30" t="s">
        <v>1688</v>
      </c>
      <c r="B1216" s="31" t="s">
        <v>1689</v>
      </c>
      <c r="C1216" s="30" t="s">
        <v>1685</v>
      </c>
      <c r="D1216" s="32" t="n">
        <f aca="false">SUMIF('Libro Diario'!$C$5:$C$504,A1216,'Libro Diario'!$F$5:$F$504)</f>
        <v>0</v>
      </c>
      <c r="E1216" s="32" t="n">
        <f aca="false">SUMIF('Libro Diario'!$C$5:$C$504,A1216,'Libro Diario'!$G$5:$G$504)</f>
        <v>0</v>
      </c>
      <c r="F1216" s="32" t="n">
        <f aca="false">IF(D1216&gt;=E1216,D1216-E1216,0)</f>
        <v>0</v>
      </c>
      <c r="G1216" s="32" t="n">
        <f aca="false">IF(E1216&gt;D1216,E1216-D1216,0)</f>
        <v>0</v>
      </c>
    </row>
    <row r="1217" customFormat="false" ht="15" hidden="false" customHeight="true" outlineLevel="0" collapsed="false">
      <c r="A1217" s="30" t="s">
        <v>1690</v>
      </c>
      <c r="B1217" s="31" t="s">
        <v>1691</v>
      </c>
      <c r="C1217" s="30" t="s">
        <v>1685</v>
      </c>
      <c r="D1217" s="32" t="n">
        <f aca="false">SUMIF('Libro Diario'!$C$5:$C$504,A1217,'Libro Diario'!$F$5:$F$504)</f>
        <v>0</v>
      </c>
      <c r="E1217" s="32" t="n">
        <f aca="false">SUMIF('Libro Diario'!$C$5:$C$504,A1217,'Libro Diario'!$G$5:$G$504)</f>
        <v>0</v>
      </c>
      <c r="F1217" s="32" t="n">
        <f aca="false">IF(D1217&gt;=E1217,D1217-E1217,0)</f>
        <v>0</v>
      </c>
      <c r="G1217" s="32" t="n">
        <f aca="false">IF(E1217&gt;D1217,E1217-D1217,0)</f>
        <v>0</v>
      </c>
    </row>
    <row r="1218" customFormat="false" ht="15" hidden="false" customHeight="true" outlineLevel="0" collapsed="false">
      <c r="A1218" s="30" t="s">
        <v>1692</v>
      </c>
      <c r="B1218" s="31" t="s">
        <v>1693</v>
      </c>
      <c r="C1218" s="30" t="s">
        <v>1685</v>
      </c>
      <c r="D1218" s="32" t="n">
        <f aca="false">SUMIF('Libro Diario'!$C$5:$C$504,A1218,'Libro Diario'!$F$5:$F$504)</f>
        <v>0</v>
      </c>
      <c r="E1218" s="32" t="n">
        <f aca="false">SUMIF('Libro Diario'!$C$5:$C$504,A1218,'Libro Diario'!$G$5:$G$504)</f>
        <v>0</v>
      </c>
      <c r="F1218" s="32" t="n">
        <f aca="false">IF(D1218&gt;=E1218,D1218-E1218,0)</f>
        <v>0</v>
      </c>
      <c r="G1218" s="32" t="n">
        <f aca="false">IF(E1218&gt;D1218,E1218-D1218,0)</f>
        <v>0</v>
      </c>
    </row>
    <row r="1219" customFormat="false" ht="15" hidden="false" customHeight="true" outlineLevel="0" collapsed="false">
      <c r="A1219" s="30" t="s">
        <v>1694</v>
      </c>
      <c r="B1219" s="31" t="s">
        <v>1695</v>
      </c>
      <c r="C1219" s="30" t="s">
        <v>1685</v>
      </c>
      <c r="D1219" s="32" t="n">
        <f aca="false">SUMIF('Libro Diario'!$C$5:$C$504,A1219,'Libro Diario'!$F$5:$F$504)</f>
        <v>0</v>
      </c>
      <c r="E1219" s="32" t="n">
        <f aca="false">SUMIF('Libro Diario'!$C$5:$C$504,A1219,'Libro Diario'!$G$5:$G$504)</f>
        <v>0</v>
      </c>
      <c r="F1219" s="32" t="n">
        <f aca="false">IF(D1219&gt;=E1219,D1219-E1219,0)</f>
        <v>0</v>
      </c>
      <c r="G1219" s="32" t="n">
        <f aca="false">IF(E1219&gt;D1219,E1219-D1219,0)</f>
        <v>0</v>
      </c>
    </row>
    <row r="1220" customFormat="false" ht="15" hidden="false" customHeight="true" outlineLevel="0" collapsed="false">
      <c r="A1220" s="30" t="s">
        <v>1696</v>
      </c>
      <c r="B1220" s="31" t="s">
        <v>1697</v>
      </c>
      <c r="C1220" s="30" t="s">
        <v>1685</v>
      </c>
      <c r="D1220" s="32" t="n">
        <f aca="false">SUMIF('Libro Diario'!$C$5:$C$504,A1220,'Libro Diario'!$F$5:$F$504)</f>
        <v>0</v>
      </c>
      <c r="E1220" s="32" t="n">
        <f aca="false">SUMIF('Libro Diario'!$C$5:$C$504,A1220,'Libro Diario'!$G$5:$G$504)</f>
        <v>0</v>
      </c>
      <c r="F1220" s="32" t="n">
        <f aca="false">IF(D1220&gt;=E1220,D1220-E1220,0)</f>
        <v>0</v>
      </c>
      <c r="G1220" s="32" t="n">
        <f aca="false">IF(E1220&gt;D1220,E1220-D1220,0)</f>
        <v>0</v>
      </c>
    </row>
    <row r="1221" customFormat="false" ht="15" hidden="false" customHeight="true" outlineLevel="0" collapsed="false">
      <c r="A1221" s="30" t="s">
        <v>1698</v>
      </c>
      <c r="B1221" s="31" t="s">
        <v>1699</v>
      </c>
      <c r="C1221" s="30" t="s">
        <v>1685</v>
      </c>
      <c r="D1221" s="32" t="n">
        <f aca="false">SUMIF('Libro Diario'!$C$5:$C$504,A1221,'Libro Diario'!$F$5:$F$504)</f>
        <v>0</v>
      </c>
      <c r="E1221" s="32" t="n">
        <f aca="false">SUMIF('Libro Diario'!$C$5:$C$504,A1221,'Libro Diario'!$G$5:$G$504)</f>
        <v>0</v>
      </c>
      <c r="F1221" s="32" t="n">
        <f aca="false">IF(D1221&gt;=E1221,D1221-E1221,0)</f>
        <v>0</v>
      </c>
      <c r="G1221" s="32" t="n">
        <f aca="false">IF(E1221&gt;D1221,E1221-D1221,0)</f>
        <v>0</v>
      </c>
    </row>
    <row r="1222" customFormat="false" ht="15" hidden="false" customHeight="true" outlineLevel="0" collapsed="false">
      <c r="A1222" s="30" t="s">
        <v>1700</v>
      </c>
      <c r="B1222" s="31" t="s">
        <v>1701</v>
      </c>
      <c r="C1222" s="30" t="s">
        <v>1685</v>
      </c>
      <c r="D1222" s="32" t="n">
        <f aca="false">SUMIF('Libro Diario'!$C$5:$C$504,A1222,'Libro Diario'!$F$5:$F$504)</f>
        <v>0</v>
      </c>
      <c r="E1222" s="32" t="n">
        <f aca="false">SUMIF('Libro Diario'!$C$5:$C$504,A1222,'Libro Diario'!$G$5:$G$504)</f>
        <v>0</v>
      </c>
      <c r="F1222" s="32" t="n">
        <f aca="false">IF(D1222&gt;=E1222,D1222-E1222,0)</f>
        <v>0</v>
      </c>
      <c r="G1222" s="32" t="n">
        <f aca="false">IF(E1222&gt;D1222,E1222-D1222,0)</f>
        <v>0</v>
      </c>
    </row>
    <row r="1223" customFormat="false" ht="15" hidden="false" customHeight="true" outlineLevel="0" collapsed="false">
      <c r="A1223" s="30" t="s">
        <v>1702</v>
      </c>
      <c r="B1223" s="31" t="s">
        <v>1703</v>
      </c>
      <c r="C1223" s="30" t="s">
        <v>1685</v>
      </c>
      <c r="D1223" s="32" t="n">
        <f aca="false">SUMIF('Libro Diario'!$C$5:$C$504,A1223,'Libro Diario'!$F$5:$F$504)</f>
        <v>0</v>
      </c>
      <c r="E1223" s="32" t="n">
        <f aca="false">SUMIF('Libro Diario'!$C$5:$C$504,A1223,'Libro Diario'!$G$5:$G$504)</f>
        <v>0</v>
      </c>
      <c r="F1223" s="32" t="n">
        <f aca="false">IF(D1223&gt;=E1223,D1223-E1223,0)</f>
        <v>0</v>
      </c>
      <c r="G1223" s="32" t="n">
        <f aca="false">IF(E1223&gt;D1223,E1223-D1223,0)</f>
        <v>0</v>
      </c>
    </row>
    <row r="1224" customFormat="false" ht="15" hidden="false" customHeight="true" outlineLevel="0" collapsed="false">
      <c r="A1224" s="30" t="s">
        <v>1704</v>
      </c>
      <c r="B1224" s="31" t="s">
        <v>1705</v>
      </c>
      <c r="C1224" s="30" t="s">
        <v>1685</v>
      </c>
      <c r="D1224" s="32" t="n">
        <f aca="false">SUMIF('Libro Diario'!$C$5:$C$504,A1224,'Libro Diario'!$F$5:$F$504)</f>
        <v>0</v>
      </c>
      <c r="E1224" s="32" t="n">
        <f aca="false">SUMIF('Libro Diario'!$C$5:$C$504,A1224,'Libro Diario'!$G$5:$G$504)</f>
        <v>0</v>
      </c>
      <c r="F1224" s="32" t="n">
        <f aca="false">IF(D1224&gt;=E1224,D1224-E1224,0)</f>
        <v>0</v>
      </c>
      <c r="G1224" s="32" t="n">
        <f aca="false">IF(E1224&gt;D1224,E1224-D1224,0)</f>
        <v>0</v>
      </c>
    </row>
    <row r="1225" customFormat="false" ht="15" hidden="false" customHeight="true" outlineLevel="0" collapsed="false">
      <c r="A1225" s="30" t="s">
        <v>1706</v>
      </c>
      <c r="B1225" s="31" t="s">
        <v>1082</v>
      </c>
      <c r="C1225" s="30" t="s">
        <v>1685</v>
      </c>
      <c r="D1225" s="32" t="n">
        <f aca="false">SUMIF('Libro Diario'!$C$5:$C$504,A1225,'Libro Diario'!$F$5:$F$504)</f>
        <v>0</v>
      </c>
      <c r="E1225" s="32" t="n">
        <f aca="false">SUMIF('Libro Diario'!$C$5:$C$504,A1225,'Libro Diario'!$G$5:$G$504)</f>
        <v>0</v>
      </c>
      <c r="F1225" s="32" t="n">
        <f aca="false">IF(D1225&gt;=E1225,D1225-E1225,0)</f>
        <v>0</v>
      </c>
      <c r="G1225" s="32" t="n">
        <f aca="false">IF(E1225&gt;D1225,E1225-D1225,0)</f>
        <v>0</v>
      </c>
    </row>
    <row r="1226" customFormat="false" ht="15" hidden="false" customHeight="true" outlineLevel="0" collapsed="false">
      <c r="A1226" s="30" t="s">
        <v>1707</v>
      </c>
      <c r="B1226" s="31" t="s">
        <v>1708</v>
      </c>
      <c r="C1226" s="30" t="s">
        <v>1709</v>
      </c>
      <c r="D1226" s="32" t="n">
        <f aca="false">SUMIF('Libro Diario'!$C$5:$C$504,A1226,'Libro Diario'!$F$5:$F$504)</f>
        <v>0</v>
      </c>
      <c r="E1226" s="32" t="n">
        <f aca="false">SUMIF('Libro Diario'!$C$5:$C$504,A1226,'Libro Diario'!$G$5:$G$504)</f>
        <v>0</v>
      </c>
      <c r="F1226" s="32" t="n">
        <f aca="false">IF(D1226&gt;=E1226,D1226-E1226,0)</f>
        <v>0</v>
      </c>
      <c r="G1226" s="32" t="n">
        <f aca="false">IF(E1226&gt;D1226,E1226-D1226,0)</f>
        <v>0</v>
      </c>
    </row>
    <row r="1227" customFormat="false" ht="15" hidden="false" customHeight="true" outlineLevel="0" collapsed="false">
      <c r="A1227" s="30" t="s">
        <v>1710</v>
      </c>
      <c r="B1227" s="31" t="s">
        <v>1711</v>
      </c>
      <c r="C1227" s="30" t="s">
        <v>1709</v>
      </c>
      <c r="D1227" s="32" t="n">
        <f aca="false">SUMIF('Libro Diario'!$C$5:$C$504,A1227,'Libro Diario'!$F$5:$F$504)</f>
        <v>0</v>
      </c>
      <c r="E1227" s="32" t="n">
        <f aca="false">SUMIF('Libro Diario'!$C$5:$C$504,A1227,'Libro Diario'!$G$5:$G$504)</f>
        <v>0</v>
      </c>
      <c r="F1227" s="32" t="n">
        <f aca="false">IF(D1227&gt;=E1227,D1227-E1227,0)</f>
        <v>0</v>
      </c>
      <c r="G1227" s="32" t="n">
        <f aca="false">IF(E1227&gt;D1227,E1227-D1227,0)</f>
        <v>0</v>
      </c>
    </row>
    <row r="1228" customFormat="false" ht="15" hidden="false" customHeight="true" outlineLevel="0" collapsed="false">
      <c r="A1228" s="30" t="s">
        <v>1712</v>
      </c>
      <c r="B1228" s="31" t="s">
        <v>1713</v>
      </c>
      <c r="C1228" s="30" t="s">
        <v>1709</v>
      </c>
      <c r="D1228" s="32" t="n">
        <f aca="false">SUMIF('Libro Diario'!$C$5:$C$504,A1228,'Libro Diario'!$F$5:$F$504)</f>
        <v>0</v>
      </c>
      <c r="E1228" s="32" t="n">
        <f aca="false">SUMIF('Libro Diario'!$C$5:$C$504,A1228,'Libro Diario'!$G$5:$G$504)</f>
        <v>0</v>
      </c>
      <c r="F1228" s="32" t="n">
        <f aca="false">IF(D1228&gt;=E1228,D1228-E1228,0)</f>
        <v>0</v>
      </c>
      <c r="G1228" s="32" t="n">
        <f aca="false">IF(E1228&gt;D1228,E1228-D1228,0)</f>
        <v>0</v>
      </c>
    </row>
    <row r="1229" customFormat="false" ht="15" hidden="false" customHeight="true" outlineLevel="0" collapsed="false">
      <c r="A1229" s="30" t="s">
        <v>1714</v>
      </c>
      <c r="B1229" s="31" t="s">
        <v>1715</v>
      </c>
      <c r="C1229" s="30" t="s">
        <v>1709</v>
      </c>
      <c r="D1229" s="32" t="n">
        <f aca="false">SUMIF('Libro Diario'!$C$5:$C$504,A1229,'Libro Diario'!$F$5:$F$504)</f>
        <v>0</v>
      </c>
      <c r="E1229" s="32" t="n">
        <f aca="false">SUMIF('Libro Diario'!$C$5:$C$504,A1229,'Libro Diario'!$G$5:$G$504)</f>
        <v>0</v>
      </c>
      <c r="F1229" s="32" t="n">
        <f aca="false">IF(D1229&gt;=E1229,D1229-E1229,0)</f>
        <v>0</v>
      </c>
      <c r="G1229" s="32" t="n">
        <f aca="false">IF(E1229&gt;D1229,E1229-D1229,0)</f>
        <v>0</v>
      </c>
    </row>
    <row r="1230" customFormat="false" ht="15" hidden="false" customHeight="true" outlineLevel="0" collapsed="false">
      <c r="A1230" s="30" t="s">
        <v>1716</v>
      </c>
      <c r="B1230" s="31" t="s">
        <v>1717</v>
      </c>
      <c r="C1230" s="30" t="s">
        <v>1709</v>
      </c>
      <c r="D1230" s="32" t="n">
        <f aca="false">SUMIF('Libro Diario'!$C$5:$C$504,A1230,'Libro Diario'!$F$5:$F$504)</f>
        <v>0</v>
      </c>
      <c r="E1230" s="32" t="n">
        <f aca="false">SUMIF('Libro Diario'!$C$5:$C$504,A1230,'Libro Diario'!$G$5:$G$504)</f>
        <v>0</v>
      </c>
      <c r="F1230" s="32" t="n">
        <f aca="false">IF(D1230&gt;=E1230,D1230-E1230,0)</f>
        <v>0</v>
      </c>
      <c r="G1230" s="32" t="n">
        <f aca="false">IF(E1230&gt;D1230,E1230-D1230,0)</f>
        <v>0</v>
      </c>
    </row>
    <row r="1231" customFormat="false" ht="15" hidden="false" customHeight="true" outlineLevel="0" collapsed="false">
      <c r="A1231" s="30" t="s">
        <v>1718</v>
      </c>
      <c r="B1231" s="31" t="s">
        <v>1719</v>
      </c>
      <c r="C1231" s="30" t="s">
        <v>1709</v>
      </c>
      <c r="D1231" s="32" t="n">
        <f aca="false">SUMIF('Libro Diario'!$C$5:$C$504,A1231,'Libro Diario'!$F$5:$F$504)</f>
        <v>0</v>
      </c>
      <c r="E1231" s="32" t="n">
        <f aca="false">SUMIF('Libro Diario'!$C$5:$C$504,A1231,'Libro Diario'!$G$5:$G$504)</f>
        <v>0</v>
      </c>
      <c r="F1231" s="32" t="n">
        <f aca="false">IF(D1231&gt;=E1231,D1231-E1231,0)</f>
        <v>0</v>
      </c>
      <c r="G1231" s="32" t="n">
        <f aca="false">IF(E1231&gt;D1231,E1231-D1231,0)</f>
        <v>0</v>
      </c>
    </row>
    <row r="1232" customFormat="false" ht="15" hidden="false" customHeight="true" outlineLevel="0" collapsed="false">
      <c r="A1232" s="30" t="s">
        <v>1720</v>
      </c>
      <c r="B1232" s="31" t="s">
        <v>1721</v>
      </c>
      <c r="C1232" s="30" t="s">
        <v>1709</v>
      </c>
      <c r="D1232" s="32" t="n">
        <f aca="false">SUMIF('Libro Diario'!$C$5:$C$504,A1232,'Libro Diario'!$F$5:$F$504)</f>
        <v>0</v>
      </c>
      <c r="E1232" s="32" t="n">
        <f aca="false">SUMIF('Libro Diario'!$C$5:$C$504,A1232,'Libro Diario'!$G$5:$G$504)</f>
        <v>0</v>
      </c>
      <c r="F1232" s="32" t="n">
        <f aca="false">IF(D1232&gt;=E1232,D1232-E1232,0)</f>
        <v>0</v>
      </c>
      <c r="G1232" s="32" t="n">
        <f aca="false">IF(E1232&gt;D1232,E1232-D1232,0)</f>
        <v>0</v>
      </c>
    </row>
    <row r="1233" customFormat="false" ht="15" hidden="false" customHeight="true" outlineLevel="0" collapsed="false">
      <c r="A1233" s="30" t="s">
        <v>1722</v>
      </c>
      <c r="B1233" s="31" t="s">
        <v>1723</v>
      </c>
      <c r="C1233" s="30" t="s">
        <v>1709</v>
      </c>
      <c r="D1233" s="32" t="n">
        <f aca="false">SUMIF('Libro Diario'!$C$5:$C$504,A1233,'Libro Diario'!$F$5:$F$504)</f>
        <v>0</v>
      </c>
      <c r="E1233" s="32" t="n">
        <f aca="false">SUMIF('Libro Diario'!$C$5:$C$504,A1233,'Libro Diario'!$G$5:$G$504)</f>
        <v>0</v>
      </c>
      <c r="F1233" s="32" t="n">
        <f aca="false">IF(D1233&gt;=E1233,D1233-E1233,0)</f>
        <v>0</v>
      </c>
      <c r="G1233" s="32" t="n">
        <f aca="false">IF(E1233&gt;D1233,E1233-D1233,0)</f>
        <v>0</v>
      </c>
    </row>
    <row r="1234" customFormat="false" ht="15" hidden="false" customHeight="true" outlineLevel="0" collapsed="false">
      <c r="A1234" s="33" t="s">
        <v>1724</v>
      </c>
      <c r="B1234" s="34" t="s">
        <v>1725</v>
      </c>
      <c r="C1234" s="33" t="s">
        <v>1726</v>
      </c>
      <c r="D1234" s="35" t="n">
        <f aca="false">SUMIF('Libro Diario'!$C$5:$C$504,A1234,'Libro Diario'!$F$5:$F$504)</f>
        <v>0</v>
      </c>
      <c r="E1234" s="35" t="n">
        <f aca="false">SUMIF('Libro Diario'!$C$5:$C$504,A1234,'Libro Diario'!$G$5:$G$504)</f>
        <v>0</v>
      </c>
      <c r="F1234" s="35" t="n">
        <f aca="false">IF(D1234&gt;=E1234,D1234-E1234,0)</f>
        <v>0</v>
      </c>
      <c r="G1234" s="35" t="n">
        <f aca="false">IF(E1234&gt;D1234,E1234-D1234,0)</f>
        <v>0</v>
      </c>
    </row>
    <row r="1235" customFormat="false" ht="15" hidden="false" customHeight="true" outlineLevel="0" collapsed="false">
      <c r="A1235" s="30" t="s">
        <v>1727</v>
      </c>
      <c r="B1235" s="31" t="s">
        <v>1728</v>
      </c>
      <c r="C1235" s="30" t="s">
        <v>1726</v>
      </c>
      <c r="D1235" s="32" t="n">
        <f aca="false">SUMIF('Libro Diario'!$C$5:$C$504,A1235,'Libro Diario'!$F$5:$F$504)</f>
        <v>0</v>
      </c>
      <c r="E1235" s="32" t="n">
        <f aca="false">SUMIF('Libro Diario'!$C$5:$C$504,A1235,'Libro Diario'!$G$5:$G$504)</f>
        <v>0</v>
      </c>
      <c r="F1235" s="32" t="n">
        <f aca="false">IF(D1235&gt;=E1235,D1235-E1235,0)</f>
        <v>0</v>
      </c>
      <c r="G1235" s="32" t="n">
        <f aca="false">IF(E1235&gt;D1235,E1235-D1235,0)</f>
        <v>0</v>
      </c>
    </row>
    <row r="1236" customFormat="false" ht="15" hidden="false" customHeight="true" outlineLevel="0" collapsed="false">
      <c r="A1236" s="30" t="s">
        <v>1729</v>
      </c>
      <c r="B1236" s="31" t="s">
        <v>1730</v>
      </c>
      <c r="C1236" s="30" t="s">
        <v>1726</v>
      </c>
      <c r="D1236" s="32" t="n">
        <f aca="false">SUMIF('Libro Diario'!$C$5:$C$504,A1236,'Libro Diario'!$F$5:$F$504)</f>
        <v>0</v>
      </c>
      <c r="E1236" s="32" t="n">
        <f aca="false">SUMIF('Libro Diario'!$C$5:$C$504,A1236,'Libro Diario'!$G$5:$G$504)</f>
        <v>0</v>
      </c>
      <c r="F1236" s="32" t="n">
        <f aca="false">IF(D1236&gt;=E1236,D1236-E1236,0)</f>
        <v>0</v>
      </c>
      <c r="G1236" s="32" t="n">
        <f aca="false">IF(E1236&gt;D1236,E1236-D1236,0)</f>
        <v>0</v>
      </c>
    </row>
    <row r="1237" customFormat="false" ht="15" hidden="false" customHeight="true" outlineLevel="0" collapsed="false">
      <c r="A1237" s="30" t="s">
        <v>1731</v>
      </c>
      <c r="B1237" s="31" t="s">
        <v>1732</v>
      </c>
      <c r="C1237" s="30" t="s">
        <v>1726</v>
      </c>
      <c r="D1237" s="32" t="n">
        <f aca="false">SUMIF('Libro Diario'!$C$5:$C$504,A1237,'Libro Diario'!$F$5:$F$504)</f>
        <v>0</v>
      </c>
      <c r="E1237" s="32" t="n">
        <f aca="false">SUMIF('Libro Diario'!$C$5:$C$504,A1237,'Libro Diario'!$G$5:$G$504)</f>
        <v>0</v>
      </c>
      <c r="F1237" s="32" t="n">
        <f aca="false">IF(D1237&gt;=E1237,D1237-E1237,0)</f>
        <v>0</v>
      </c>
      <c r="G1237" s="32" t="n">
        <f aca="false">IF(E1237&gt;D1237,E1237-D1237,0)</f>
        <v>0</v>
      </c>
    </row>
    <row r="1238" customFormat="false" ht="15" hidden="false" customHeight="true" outlineLevel="0" collapsed="false">
      <c r="A1238" s="30" t="s">
        <v>1733</v>
      </c>
      <c r="B1238" s="31" t="s">
        <v>1734</v>
      </c>
      <c r="C1238" s="30" t="s">
        <v>1726</v>
      </c>
      <c r="D1238" s="32" t="n">
        <f aca="false">SUMIF('Libro Diario'!$C$5:$C$504,A1238,'Libro Diario'!$F$5:$F$504)</f>
        <v>0</v>
      </c>
      <c r="E1238" s="32" t="n">
        <f aca="false">SUMIF('Libro Diario'!$C$5:$C$504,A1238,'Libro Diario'!$G$5:$G$504)</f>
        <v>0</v>
      </c>
      <c r="F1238" s="32" t="n">
        <f aca="false">IF(D1238&gt;=E1238,D1238-E1238,0)</f>
        <v>0</v>
      </c>
      <c r="G1238" s="32" t="n">
        <f aca="false">IF(E1238&gt;D1238,E1238-D1238,0)</f>
        <v>0</v>
      </c>
    </row>
    <row r="1239" customFormat="false" ht="15" hidden="false" customHeight="true" outlineLevel="0" collapsed="false">
      <c r="A1239" s="30" t="s">
        <v>1735</v>
      </c>
      <c r="B1239" s="31" t="s">
        <v>1736</v>
      </c>
      <c r="C1239" s="30" t="s">
        <v>1726</v>
      </c>
      <c r="D1239" s="32" t="n">
        <f aca="false">SUMIF('Libro Diario'!$C$5:$C$504,A1239,'Libro Diario'!$F$5:$F$504)</f>
        <v>0</v>
      </c>
      <c r="E1239" s="32" t="n">
        <f aca="false">SUMIF('Libro Diario'!$C$5:$C$504,A1239,'Libro Diario'!$G$5:$G$504)</f>
        <v>0</v>
      </c>
      <c r="F1239" s="32" t="n">
        <f aca="false">IF(D1239&gt;=E1239,D1239-E1239,0)</f>
        <v>0</v>
      </c>
      <c r="G1239" s="32" t="n">
        <f aca="false">IF(E1239&gt;D1239,E1239-D1239,0)</f>
        <v>0</v>
      </c>
    </row>
    <row r="1240" customFormat="false" ht="15" hidden="false" customHeight="true" outlineLevel="0" collapsed="false">
      <c r="A1240" s="30" t="s">
        <v>1737</v>
      </c>
      <c r="B1240" s="31" t="s">
        <v>1738</v>
      </c>
      <c r="C1240" s="30" t="s">
        <v>1726</v>
      </c>
      <c r="D1240" s="32" t="n">
        <f aca="false">SUMIF('Libro Diario'!$C$5:$C$504,A1240,'Libro Diario'!$F$5:$F$504)</f>
        <v>0</v>
      </c>
      <c r="E1240" s="32" t="n">
        <f aca="false">SUMIF('Libro Diario'!$C$5:$C$504,A1240,'Libro Diario'!$G$5:$G$504)</f>
        <v>0</v>
      </c>
      <c r="F1240" s="32" t="n">
        <f aca="false">IF(D1240&gt;=E1240,D1240-E1240,0)</f>
        <v>0</v>
      </c>
      <c r="G1240" s="32" t="n">
        <f aca="false">IF(E1240&gt;D1240,E1240-D1240,0)</f>
        <v>0</v>
      </c>
    </row>
    <row r="1241" customFormat="false" ht="15" hidden="false" customHeight="true" outlineLevel="0" collapsed="false">
      <c r="A1241" s="30" t="s">
        <v>1739</v>
      </c>
      <c r="B1241" s="31" t="s">
        <v>1740</v>
      </c>
      <c r="C1241" s="30" t="s">
        <v>1726</v>
      </c>
      <c r="D1241" s="32" t="n">
        <f aca="false">SUMIF('Libro Diario'!$C$5:$C$504,A1241,'Libro Diario'!$F$5:$F$504)</f>
        <v>0</v>
      </c>
      <c r="E1241" s="32" t="n">
        <f aca="false">SUMIF('Libro Diario'!$C$5:$C$504,A1241,'Libro Diario'!$G$5:$G$504)</f>
        <v>0</v>
      </c>
      <c r="F1241" s="32" t="n">
        <f aca="false">IF(D1241&gt;=E1241,D1241-E1241,0)</f>
        <v>0</v>
      </c>
      <c r="G1241" s="32" t="n">
        <f aca="false">IF(E1241&gt;D1241,E1241-D1241,0)</f>
        <v>0</v>
      </c>
    </row>
    <row r="1242" customFormat="false" ht="15" hidden="false" customHeight="true" outlineLevel="0" collapsed="false">
      <c r="A1242" s="36"/>
      <c r="B1242" s="26" t="s">
        <v>1741</v>
      </c>
      <c r="C1242" s="36"/>
      <c r="D1242" s="27" t="n">
        <f aca="false">SUM(D5:D1241)</f>
        <v>10</v>
      </c>
      <c r="E1242" s="27" t="n">
        <f aca="false">SUM(E5:E1241)</f>
        <v>10</v>
      </c>
      <c r="F1242" s="27" t="n">
        <f aca="false">SUM(F5:F1241)</f>
        <v>10</v>
      </c>
      <c r="G1242" s="27" t="n">
        <f aca="false">SUM(G5:G1241)</f>
        <v>10</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2"/>
    <col collapsed="false" customWidth="true" hidden="false" outlineLevel="0" max="2" min="2" style="1" width="16"/>
  </cols>
  <sheetData>
    <row r="1" customFormat="false" ht="24" hidden="false" customHeight="true" outlineLevel="0" collapsed="false">
      <c r="A1" s="18" t="s">
        <v>1742</v>
      </c>
      <c r="B1" s="18"/>
      <c r="C1" s="18"/>
    </row>
    <row r="2" customFormat="false" ht="27.75" hidden="false" customHeight="true" outlineLevel="0" collapsed="false">
      <c r="A2" s="19" t="s">
        <v>1743</v>
      </c>
      <c r="B2" s="19"/>
      <c r="C2" s="19"/>
    </row>
    <row r="4" customFormat="false" ht="15" hidden="false" customHeight="true" outlineLevel="0" collapsed="false">
      <c r="A4" s="37" t="s">
        <v>1744</v>
      </c>
      <c r="B4" s="38"/>
    </row>
    <row r="5" customFormat="false" ht="15" hidden="false" customHeight="true" outlineLevel="0" collapsed="false">
      <c r="A5" s="31" t="s">
        <v>1745</v>
      </c>
      <c r="B5" s="39" t="n">
        <f aca="false">(SUMIFS('Balance de Comprobación'!$G$5:$G$1241,'Balance de Comprobación'!$A$5:$A$1241,"70*")-SUMIFS('Balance de Comprobación'!$F$5:$F$1241,'Balance de Comprobación'!$A$5:$A$1241,"70*"))</f>
        <v>0</v>
      </c>
    </row>
    <row r="6" customFormat="false" ht="15" hidden="false" customHeight="true" outlineLevel="0" collapsed="false">
      <c r="A6" s="31" t="s">
        <v>1746</v>
      </c>
      <c r="B6" s="39" t="n">
        <f aca="false">-(SUMIFS('Balance de Comprobación'!$F$5:$F$1241,'Balance de Comprobación'!$A$5:$A$1241,"74*")-SUMIFS('Balance de Comprobación'!$G$5:$G$1241,'Balance de Comprobación'!$A$5:$A$1241,"74*"))</f>
        <v>-0</v>
      </c>
    </row>
    <row r="7" customFormat="false" ht="15" hidden="false" customHeight="true" outlineLevel="0" collapsed="false">
      <c r="A7" s="40" t="s">
        <v>1747</v>
      </c>
      <c r="B7" s="41" t="n">
        <f aca="false">B5+B6</f>
        <v>0</v>
      </c>
    </row>
    <row r="8" customFormat="false" ht="15" hidden="false" customHeight="true" outlineLevel="0" collapsed="false">
      <c r="A8" s="31" t="s">
        <v>1748</v>
      </c>
      <c r="B8" s="39" t="n">
        <f aca="false">(SUMIFS('Balance de Comprobación'!$G$5:$G$1241,'Balance de Comprobación'!$A$5:$A$1241,"73*")-SUMIFS('Balance de Comprobación'!$F$5:$F$1241,'Balance de Comprobación'!$A$5:$A$1241,"73*"))</f>
        <v>0</v>
      </c>
    </row>
    <row r="9" customFormat="false" ht="15" hidden="false" customHeight="true" outlineLevel="0" collapsed="false">
      <c r="A9" s="31" t="s">
        <v>1749</v>
      </c>
      <c r="B9" s="39" t="n">
        <f aca="false">(SUMIFS('Balance de Comprobación'!$G$5:$G$1241,'Balance de Comprobación'!$A$5:$A$1241,"75*")-SUMIFS('Balance de Comprobación'!$F$5:$F$1241,'Balance de Comprobación'!$A$5:$A$1241,"75*"))</f>
        <v>0</v>
      </c>
    </row>
    <row r="10" customFormat="false" ht="15" hidden="false" customHeight="true" outlineLevel="0" collapsed="false">
      <c r="A10" s="31" t="s">
        <v>1750</v>
      </c>
      <c r="B10" s="39" t="n">
        <f aca="false">(SUMIFS('Balance de Comprobación'!$G$5:$G$1241,'Balance de Comprobación'!$A$5:$A$1241,"71*")-SUMIFS('Balance de Comprobación'!$F$5:$F$1241,'Balance de Comprobación'!$A$5:$A$1241,"71*"))</f>
        <v>0</v>
      </c>
    </row>
    <row r="11" customFormat="false" ht="15" hidden="false" customHeight="true" outlineLevel="0" collapsed="false">
      <c r="A11" s="31" t="s">
        <v>1751</v>
      </c>
      <c r="B11" s="39" t="n">
        <f aca="false">(SUMIFS('Balance de Comprobación'!$G$5:$G$1241,'Balance de Comprobación'!$A$5:$A$1241,"72*")-SUMIFS('Balance de Comprobación'!$F$5:$F$1241,'Balance de Comprobación'!$A$5:$A$1241,"72*"))</f>
        <v>0</v>
      </c>
    </row>
    <row r="12" customFormat="false" ht="15" hidden="false" customHeight="true" outlineLevel="0" collapsed="false">
      <c r="A12" s="31" t="s">
        <v>1752</v>
      </c>
      <c r="B12" s="39" t="n">
        <f aca="false">(SUMIFS('Balance de Comprobación'!$G$5:$G$1241,'Balance de Comprobación'!$A$5:$A$1241,"76*")-SUMIFS('Balance de Comprobación'!$F$5:$F$1241,'Balance de Comprobación'!$A$5:$A$1241,"76*"))</f>
        <v>0</v>
      </c>
    </row>
    <row r="13" customFormat="false" ht="15" hidden="false" customHeight="true" outlineLevel="0" collapsed="false">
      <c r="A13" s="31" t="s">
        <v>1753</v>
      </c>
      <c r="B13" s="39" t="n">
        <f aca="false">(SUMIFS('Balance de Comprobación'!$G$5:$G$1241,'Balance de Comprobación'!$A$5:$A$1241,"77*")-SUMIFS('Balance de Comprobación'!$F$5:$F$1241,'Balance de Comprobación'!$A$5:$A$1241,"77*"))</f>
        <v>0</v>
      </c>
    </row>
    <row r="14" customFormat="false" ht="15" hidden="false" customHeight="true" outlineLevel="0" collapsed="false">
      <c r="A14" s="31" t="s">
        <v>1754</v>
      </c>
      <c r="B14" s="39" t="n">
        <f aca="false">(SUMIFS('Balance de Comprobación'!$G$5:$G$1241,'Balance de Comprobación'!$A$5:$A$1241,"78*")-SUMIFS('Balance de Comprobación'!$F$5:$F$1241,'Balance de Comprobación'!$A$5:$A$1241,"78*"))</f>
        <v>0</v>
      </c>
    </row>
    <row r="15" customFormat="false" ht="15" hidden="false" customHeight="true" outlineLevel="0" collapsed="false">
      <c r="A15" s="42" t="s">
        <v>1755</v>
      </c>
      <c r="B15" s="43" t="n">
        <f aca="false">B7+B8+B9+B10+B11+B12+B13+B14</f>
        <v>0</v>
      </c>
    </row>
    <row r="17" customFormat="false" ht="15" hidden="false" customHeight="true" outlineLevel="0" collapsed="false">
      <c r="A17" s="37" t="s">
        <v>1756</v>
      </c>
      <c r="B17" s="38"/>
    </row>
    <row r="18" customFormat="false" ht="15" hidden="false" customHeight="true" outlineLevel="0" collapsed="false">
      <c r="A18" s="31" t="s">
        <v>1757</v>
      </c>
      <c r="B18" s="39" t="n">
        <f aca="false">(SUMIFS('Balance de Comprobación'!$F$5:$F$1241,'Balance de Comprobación'!$A$5:$A$1241,"60*")-SUMIFS('Balance de Comprobación'!$G$5:$G$1241,'Balance de Comprobación'!$A$5:$A$1241,"60*"))</f>
        <v>0</v>
      </c>
    </row>
    <row r="19" customFormat="false" ht="15" hidden="false" customHeight="true" outlineLevel="0" collapsed="false">
      <c r="A19" s="31" t="s">
        <v>1758</v>
      </c>
      <c r="B19" s="39" t="n">
        <f aca="false">(SUMIFS('Balance de Comprobación'!$F$5:$F$1241,'Balance de Comprobación'!$A$5:$A$1241,"61*")-SUMIFS('Balance de Comprobación'!$G$5:$G$1241,'Balance de Comprobación'!$A$5:$A$1241,"61*"))</f>
        <v>0</v>
      </c>
    </row>
    <row r="20" customFormat="false" ht="15" hidden="false" customHeight="true" outlineLevel="0" collapsed="false">
      <c r="A20" s="31" t="s">
        <v>1759</v>
      </c>
      <c r="B20" s="39" t="n">
        <f aca="false">(SUMIFS('Balance de Comprobación'!$F$5:$F$1241,'Balance de Comprobación'!$A$5:$A$1241,"62*")-SUMIFS('Balance de Comprobación'!$G$5:$G$1241,'Balance de Comprobación'!$A$5:$A$1241,"62*"))</f>
        <v>0</v>
      </c>
    </row>
    <row r="21" customFormat="false" ht="15" hidden="false" customHeight="true" outlineLevel="0" collapsed="false">
      <c r="A21" s="31" t="s">
        <v>1760</v>
      </c>
      <c r="B21" s="39" t="n">
        <f aca="false">(SUMIFS('Balance de Comprobación'!$F$5:$F$1241,'Balance de Comprobación'!$A$5:$A$1241,"63*")-SUMIFS('Balance de Comprobación'!$G$5:$G$1241,'Balance de Comprobación'!$A$5:$A$1241,"63*"))</f>
        <v>0</v>
      </c>
    </row>
    <row r="22" customFormat="false" ht="15" hidden="false" customHeight="true" outlineLevel="0" collapsed="false">
      <c r="A22" s="31" t="s">
        <v>1761</v>
      </c>
      <c r="B22" s="39" t="n">
        <f aca="false">(SUMIFS('Balance de Comprobación'!$F$5:$F$1241,'Balance de Comprobación'!$A$5:$A$1241,"64*")-SUMIFS('Balance de Comprobación'!$G$5:$G$1241,'Balance de Comprobación'!$A$5:$A$1241,"64*"))</f>
        <v>0</v>
      </c>
    </row>
    <row r="23" customFormat="false" ht="15" hidden="false" customHeight="true" outlineLevel="0" collapsed="false">
      <c r="A23" s="31" t="s">
        <v>1762</v>
      </c>
      <c r="B23" s="39" t="n">
        <f aca="false">(SUMIFS('Balance de Comprobación'!$F$5:$F$1241,'Balance de Comprobación'!$A$5:$A$1241,"65*")-SUMIFS('Balance de Comprobación'!$G$5:$G$1241,'Balance de Comprobación'!$A$5:$A$1241,"65*"))</f>
        <v>0</v>
      </c>
    </row>
    <row r="24" customFormat="false" ht="15" hidden="false" customHeight="true" outlineLevel="0" collapsed="false">
      <c r="A24" s="31" t="s">
        <v>1763</v>
      </c>
      <c r="B24" s="39" t="n">
        <f aca="false">(SUMIFS('Balance de Comprobación'!$F$5:$F$1241,'Balance de Comprobación'!$A$5:$A$1241,"66*")-SUMIFS('Balance de Comprobación'!$G$5:$G$1241,'Balance de Comprobación'!$A$5:$A$1241,"66*"))</f>
        <v>0</v>
      </c>
    </row>
    <row r="25" customFormat="false" ht="15" hidden="false" customHeight="true" outlineLevel="0" collapsed="false">
      <c r="A25" s="31" t="s">
        <v>1764</v>
      </c>
      <c r="B25" s="39" t="n">
        <f aca="false">(SUMIFS('Balance de Comprobación'!$F$5:$F$1241,'Balance de Comprobación'!$A$5:$A$1241,"67*")-SUMIFS('Balance de Comprobación'!$G$5:$G$1241,'Balance de Comprobación'!$A$5:$A$1241,"67*"))</f>
        <v>0</v>
      </c>
    </row>
    <row r="26" customFormat="false" ht="15" hidden="false" customHeight="true" outlineLevel="0" collapsed="false">
      <c r="A26" s="31" t="s">
        <v>1765</v>
      </c>
      <c r="B26" s="39" t="n">
        <f aca="false">(SUMIFS('Balance de Comprobación'!$F$5:$F$1241,'Balance de Comprobación'!$A$5:$A$1241,"68*")-SUMIFS('Balance de Comprobación'!$G$5:$G$1241,'Balance de Comprobación'!$A$5:$A$1241,"68*"))</f>
        <v>0</v>
      </c>
    </row>
    <row r="27" customFormat="false" ht="15" hidden="false" customHeight="true" outlineLevel="0" collapsed="false">
      <c r="A27" s="31" t="s">
        <v>1766</v>
      </c>
      <c r="B27" s="39" t="n">
        <f aca="false">(SUMIFS('Balance de Comprobación'!$F$5:$F$1241,'Balance de Comprobación'!$A$5:$A$1241,"69*")-SUMIFS('Balance de Comprobación'!$G$5:$G$1241,'Balance de Comprobación'!$A$5:$A$1241,"69*"))</f>
        <v>0</v>
      </c>
    </row>
    <row r="28" customFormat="false" ht="15" hidden="false" customHeight="true" outlineLevel="0" collapsed="false">
      <c r="A28" s="31" t="s">
        <v>1767</v>
      </c>
      <c r="B28" s="39" t="n">
        <f aca="false">(SUMIFS('Balance de Comprobación'!$F$5:$F$1241,'Balance de Comprobación'!$A$5:$A$1241,"79*")-SUMIFS('Balance de Comprobación'!$G$5:$G$1241,'Balance de Comprobación'!$A$5:$A$1241,"79*"))</f>
        <v>0</v>
      </c>
    </row>
    <row r="29" customFormat="false" ht="15" hidden="false" customHeight="true" outlineLevel="0" collapsed="false">
      <c r="A29" s="42" t="s">
        <v>1768</v>
      </c>
      <c r="B29" s="43" t="n">
        <f aca="false">B18+B19+B20+B21+B22+B23+B24+B25+B26+B27+B28</f>
        <v>0</v>
      </c>
    </row>
    <row r="31" customFormat="false" ht="15" hidden="false" customHeight="true" outlineLevel="0" collapsed="false">
      <c r="A31" s="42" t="s">
        <v>1769</v>
      </c>
      <c r="B31" s="43" t="n">
        <f aca="false">B15-B29</f>
        <v>0</v>
      </c>
    </row>
    <row r="32" customFormat="false" ht="15" hidden="false" customHeight="true" outlineLevel="0" collapsed="false">
      <c r="A32" s="31" t="s">
        <v>1770</v>
      </c>
      <c r="B32" s="25" t="n">
        <v>0</v>
      </c>
    </row>
    <row r="33" customFormat="false" ht="15" hidden="false" customHeight="true" outlineLevel="0" collapsed="false">
      <c r="A33" s="42" t="s">
        <v>1771</v>
      </c>
      <c r="B33" s="43" t="n">
        <f aca="false">B31-B32</f>
        <v>0</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5"/>
    <col collapsed="false" customWidth="true" hidden="false" outlineLevel="0" max="2" min="2" style="1" width="16"/>
  </cols>
  <sheetData>
    <row r="1" customFormat="false" ht="24" hidden="false" customHeight="true" outlineLevel="0" collapsed="false">
      <c r="A1" s="18" t="s">
        <v>1772</v>
      </c>
      <c r="B1" s="18"/>
      <c r="C1" s="18"/>
    </row>
    <row r="2" customFormat="false" ht="27.75" hidden="false" customHeight="true" outlineLevel="0" collapsed="false">
      <c r="A2" s="19" t="s">
        <v>1773</v>
      </c>
      <c r="B2" s="19"/>
      <c r="C2" s="19"/>
    </row>
    <row r="4" customFormat="false" ht="15" hidden="false" customHeight="true" outlineLevel="0" collapsed="false">
      <c r="A4" s="37" t="s">
        <v>1774</v>
      </c>
      <c r="B4" s="38"/>
    </row>
    <row r="5" customFormat="false" ht="15" hidden="false" customHeight="true" outlineLevel="0" collapsed="false">
      <c r="A5" s="31" t="s">
        <v>1775</v>
      </c>
      <c r="B5" s="32" t="n">
        <f aca="false">(SUMIFS('Balance de Comprobación'!$F$5:$F$1241,'Balance de Comprobación'!$A$5:$A$1241,"1*")-SUMIFS('Balance de Comprobación'!$G$5:$G$1241,'Balance de Comprobación'!$A$5:$A$1241,"1*"))</f>
        <v>10</v>
      </c>
    </row>
    <row r="6" customFormat="false" ht="15" hidden="false" customHeight="true" outlineLevel="0" collapsed="false">
      <c r="A6" s="31" t="s">
        <v>1776</v>
      </c>
      <c r="B6" s="32" t="n">
        <f aca="false">(SUMIFS('Balance de Comprobación'!$F$5:$F$1241,'Balance de Comprobación'!$A$5:$A$1241,"2*")-SUMIFS('Balance de Comprobación'!$G$5:$G$1241,'Balance de Comprobación'!$A$5:$A$1241,"2*"))</f>
        <v>0</v>
      </c>
    </row>
    <row r="7" customFormat="false" ht="15" hidden="false" customHeight="true" outlineLevel="0" collapsed="false">
      <c r="A7" s="31" t="s">
        <v>1777</v>
      </c>
      <c r="B7" s="32" t="n">
        <f aca="false">(SUMIFS('Balance de Comprobación'!$F$5:$F$1241,'Balance de Comprobación'!$A$5:$A$1241,"3*")-SUMIFS('Balance de Comprobación'!$G$5:$G$1241,'Balance de Comprobación'!$A$5:$A$1241,"3*"))</f>
        <v>0</v>
      </c>
    </row>
    <row r="8" customFormat="false" ht="15" hidden="false" customHeight="true" outlineLevel="0" collapsed="false">
      <c r="A8" s="42" t="s">
        <v>1778</v>
      </c>
      <c r="B8" s="44" t="n">
        <f aca="false">B5+B6+B7</f>
        <v>10</v>
      </c>
    </row>
    <row r="10" customFormat="false" ht="15" hidden="false" customHeight="true" outlineLevel="0" collapsed="false">
      <c r="A10" s="37" t="s">
        <v>1779</v>
      </c>
      <c r="B10" s="38"/>
    </row>
    <row r="11" customFormat="false" ht="15" hidden="false" customHeight="true" outlineLevel="0" collapsed="false">
      <c r="A11" s="31" t="s">
        <v>1780</v>
      </c>
      <c r="B11" s="32" t="n">
        <f aca="false">(SUMIFS('Balance de Comprobación'!$G$5:$G$1241,'Balance de Comprobación'!$A$5:$A$1241,"4*")-SUMIFS('Balance de Comprobación'!$F$5:$F$1241,'Balance de Comprobación'!$A$5:$A$1241,"4*"))</f>
        <v>0</v>
      </c>
    </row>
    <row r="12" customFormat="false" ht="15" hidden="false" customHeight="true" outlineLevel="0" collapsed="false">
      <c r="A12" s="42" t="s">
        <v>1781</v>
      </c>
      <c r="B12" s="44" t="n">
        <f aca="false">B11</f>
        <v>0</v>
      </c>
    </row>
    <row r="14" customFormat="false" ht="15" hidden="false" customHeight="true" outlineLevel="0" collapsed="false">
      <c r="A14" s="37" t="s">
        <v>1782</v>
      </c>
      <c r="B14" s="38"/>
    </row>
    <row r="15" customFormat="false" ht="15" hidden="false" customHeight="true" outlineLevel="0" collapsed="false">
      <c r="A15" s="31" t="s">
        <v>1783</v>
      </c>
      <c r="B15" s="32" t="n">
        <f aca="false">(SUMIFS('Balance de Comprobación'!$G$5:$G$1241,'Balance de Comprobación'!$A$5:$A$1241,"5*")-SUMIFS('Balance de Comprobación'!$F$5:$F$1241,'Balance de Comprobación'!$A$5:$A$1241,"5*"))</f>
        <v>10</v>
      </c>
    </row>
    <row r="16" customFormat="false" ht="15" hidden="false" customHeight="true" outlineLevel="0" collapsed="false">
      <c r="A16" s="31" t="s">
        <v>1784</v>
      </c>
      <c r="B16" s="32" t="n">
        <f aca="false">'Estado de Resultados'!$B$33</f>
        <v>0</v>
      </c>
    </row>
    <row r="17" customFormat="false" ht="15" hidden="false" customHeight="true" outlineLevel="0" collapsed="false">
      <c r="A17" s="42" t="s">
        <v>1785</v>
      </c>
      <c r="B17" s="44" t="n">
        <f aca="false">B15+B16</f>
        <v>10</v>
      </c>
    </row>
    <row r="19" customFormat="false" ht="15" hidden="false" customHeight="true" outlineLevel="0" collapsed="false">
      <c r="A19" s="42" t="s">
        <v>1786</v>
      </c>
      <c r="B19" s="44" t="n">
        <f aca="false">B12+B17</f>
        <v>10</v>
      </c>
    </row>
    <row r="20" customFormat="false" ht="15" hidden="false" customHeight="true" outlineLevel="0" collapsed="false">
      <c r="A20" s="28" t="s">
        <v>1787</v>
      </c>
      <c r="B20" s="29" t="n">
        <f aca="false">B8-B19</f>
        <v>0</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55"/>
    <col collapsed="false" customWidth="true" hidden="false" outlineLevel="0" max="3" min="3" style="1" width="10"/>
    <col collapsed="false" customWidth="true" hidden="false" outlineLevel="0" max="4" min="4" style="1" width="45"/>
  </cols>
  <sheetData>
    <row r="1" customFormat="false" ht="24" hidden="false" customHeight="true" outlineLevel="0" collapsed="false">
      <c r="A1" s="18" t="s">
        <v>1788</v>
      </c>
      <c r="B1" s="18"/>
      <c r="C1" s="18"/>
      <c r="D1" s="18"/>
    </row>
    <row r="2" customFormat="false" ht="27.75" hidden="false" customHeight="true" outlineLevel="0" collapsed="false">
      <c r="A2" s="19" t="s">
        <v>1789</v>
      </c>
      <c r="B2" s="19"/>
      <c r="C2" s="19"/>
      <c r="D2" s="19"/>
    </row>
    <row r="4" customFormat="false" ht="15" hidden="false" customHeight="true" outlineLevel="0" collapsed="false">
      <c r="A4" s="45" t="s">
        <v>27</v>
      </c>
      <c r="B4" s="45" t="s">
        <v>28</v>
      </c>
      <c r="C4" s="45" t="s">
        <v>38</v>
      </c>
      <c r="D4" s="45" t="s">
        <v>1790</v>
      </c>
    </row>
    <row r="5" customFormat="false" ht="15" hidden="false" customHeight="true" outlineLevel="0" collapsed="false">
      <c r="A5" s="30" t="s">
        <v>21</v>
      </c>
      <c r="B5" s="31" t="s">
        <v>41</v>
      </c>
      <c r="C5" s="30" t="s">
        <v>42</v>
      </c>
      <c r="D5" s="31" t="s">
        <v>1791</v>
      </c>
    </row>
    <row r="6" customFormat="false" ht="15" hidden="false" customHeight="true" outlineLevel="0" collapsed="false">
      <c r="A6" s="30" t="s">
        <v>43</v>
      </c>
      <c r="B6" s="31" t="s">
        <v>44</v>
      </c>
      <c r="C6" s="30" t="s">
        <v>42</v>
      </c>
      <c r="D6" s="31" t="s">
        <v>1791</v>
      </c>
    </row>
    <row r="7" customFormat="false" ht="15" hidden="false" customHeight="true" outlineLevel="0" collapsed="false">
      <c r="A7" s="30" t="s">
        <v>45</v>
      </c>
      <c r="B7" s="31" t="s">
        <v>46</v>
      </c>
      <c r="C7" s="30" t="s">
        <v>42</v>
      </c>
      <c r="D7" s="31" t="s">
        <v>1791</v>
      </c>
    </row>
    <row r="8" customFormat="false" ht="15" hidden="false" customHeight="true" outlineLevel="0" collapsed="false">
      <c r="A8" s="30" t="s">
        <v>47</v>
      </c>
      <c r="B8" s="31" t="s">
        <v>48</v>
      </c>
      <c r="C8" s="30" t="s">
        <v>42</v>
      </c>
      <c r="D8" s="31" t="s">
        <v>1791</v>
      </c>
    </row>
    <row r="9" customFormat="false" ht="15" hidden="false" customHeight="true" outlineLevel="0" collapsed="false">
      <c r="A9" s="30" t="s">
        <v>49</v>
      </c>
      <c r="B9" s="31" t="s">
        <v>50</v>
      </c>
      <c r="C9" s="30" t="s">
        <v>42</v>
      </c>
      <c r="D9" s="31" t="s">
        <v>1791</v>
      </c>
    </row>
    <row r="10" customFormat="false" ht="15" hidden="false" customHeight="true" outlineLevel="0" collapsed="false">
      <c r="A10" s="30" t="s">
        <v>51</v>
      </c>
      <c r="B10" s="31" t="s">
        <v>52</v>
      </c>
      <c r="C10" s="30" t="s">
        <v>42</v>
      </c>
      <c r="D10" s="31" t="s">
        <v>1791</v>
      </c>
    </row>
    <row r="11" customFormat="false" ht="15" hidden="false" customHeight="true" outlineLevel="0" collapsed="false">
      <c r="A11" s="30" t="s">
        <v>53</v>
      </c>
      <c r="B11" s="31" t="s">
        <v>54</v>
      </c>
      <c r="C11" s="30" t="s">
        <v>42</v>
      </c>
      <c r="D11" s="31" t="s">
        <v>1791</v>
      </c>
    </row>
    <row r="12" customFormat="false" ht="15" hidden="false" customHeight="true" outlineLevel="0" collapsed="false">
      <c r="A12" s="30" t="s">
        <v>55</v>
      </c>
      <c r="B12" s="31" t="s">
        <v>56</v>
      </c>
      <c r="C12" s="30" t="s">
        <v>42</v>
      </c>
      <c r="D12" s="31" t="s">
        <v>1791</v>
      </c>
    </row>
    <row r="13" customFormat="false" ht="15" hidden="false" customHeight="true" outlineLevel="0" collapsed="false">
      <c r="A13" s="30" t="s">
        <v>57</v>
      </c>
      <c r="B13" s="31" t="s">
        <v>58</v>
      </c>
      <c r="C13" s="30" t="s">
        <v>42</v>
      </c>
      <c r="D13" s="31" t="s">
        <v>1791</v>
      </c>
    </row>
    <row r="14" customFormat="false" ht="15" hidden="false" customHeight="true" outlineLevel="0" collapsed="false">
      <c r="A14" s="30" t="s">
        <v>59</v>
      </c>
      <c r="B14" s="31" t="s">
        <v>60</v>
      </c>
      <c r="C14" s="30" t="s">
        <v>42</v>
      </c>
      <c r="D14" s="31" t="s">
        <v>1791</v>
      </c>
    </row>
    <row r="15" customFormat="false" ht="15" hidden="false" customHeight="true" outlineLevel="0" collapsed="false">
      <c r="A15" s="30" t="s">
        <v>61</v>
      </c>
      <c r="B15" s="31" t="s">
        <v>62</v>
      </c>
      <c r="C15" s="30" t="s">
        <v>42</v>
      </c>
      <c r="D15" s="31" t="s">
        <v>1791</v>
      </c>
    </row>
    <row r="16" customFormat="false" ht="15" hidden="false" customHeight="true" outlineLevel="0" collapsed="false">
      <c r="A16" s="30" t="s">
        <v>63</v>
      </c>
      <c r="B16" s="31" t="s">
        <v>64</v>
      </c>
      <c r="C16" s="30" t="s">
        <v>42</v>
      </c>
      <c r="D16" s="31" t="s">
        <v>1791</v>
      </c>
    </row>
    <row r="17" customFormat="false" ht="15" hidden="false" customHeight="true" outlineLevel="0" collapsed="false">
      <c r="A17" s="30" t="s">
        <v>65</v>
      </c>
      <c r="B17" s="31" t="s">
        <v>66</v>
      </c>
      <c r="C17" s="30" t="s">
        <v>42</v>
      </c>
      <c r="D17" s="31" t="s">
        <v>1791</v>
      </c>
    </row>
    <row r="18" customFormat="false" ht="15" hidden="false" customHeight="true" outlineLevel="0" collapsed="false">
      <c r="A18" s="30" t="s">
        <v>67</v>
      </c>
      <c r="B18" s="31" t="s">
        <v>68</v>
      </c>
      <c r="C18" s="30" t="s">
        <v>42</v>
      </c>
      <c r="D18" s="31" t="s">
        <v>1791</v>
      </c>
    </row>
    <row r="19" customFormat="false" ht="15" hidden="false" customHeight="true" outlineLevel="0" collapsed="false">
      <c r="A19" s="30" t="s">
        <v>69</v>
      </c>
      <c r="B19" s="31" t="s">
        <v>66</v>
      </c>
      <c r="C19" s="30" t="s">
        <v>42</v>
      </c>
      <c r="D19" s="31" t="s">
        <v>1791</v>
      </c>
    </row>
    <row r="20" customFormat="false" ht="15" hidden="false" customHeight="true" outlineLevel="0" collapsed="false">
      <c r="A20" s="30" t="s">
        <v>70</v>
      </c>
      <c r="B20" s="31" t="s">
        <v>68</v>
      </c>
      <c r="C20" s="30" t="s">
        <v>42</v>
      </c>
      <c r="D20" s="31" t="s">
        <v>1791</v>
      </c>
    </row>
    <row r="21" customFormat="false" ht="15" hidden="false" customHeight="true" outlineLevel="0" collapsed="false">
      <c r="A21" s="30" t="s">
        <v>71</v>
      </c>
      <c r="B21" s="31" t="s">
        <v>66</v>
      </c>
      <c r="C21" s="30" t="s">
        <v>42</v>
      </c>
      <c r="D21" s="31" t="s">
        <v>1791</v>
      </c>
    </row>
    <row r="22" customFormat="false" ht="15" hidden="false" customHeight="true" outlineLevel="0" collapsed="false">
      <c r="A22" s="30" t="s">
        <v>72</v>
      </c>
      <c r="B22" s="31" t="s">
        <v>68</v>
      </c>
      <c r="C22" s="30" t="s">
        <v>42</v>
      </c>
      <c r="D22" s="31" t="s">
        <v>1791</v>
      </c>
    </row>
    <row r="23" customFormat="false" ht="15" hidden="false" customHeight="true" outlineLevel="0" collapsed="false">
      <c r="A23" s="30" t="s">
        <v>73</v>
      </c>
      <c r="B23" s="31" t="s">
        <v>66</v>
      </c>
      <c r="C23" s="30" t="s">
        <v>42</v>
      </c>
      <c r="D23" s="31" t="s">
        <v>1791</v>
      </c>
    </row>
    <row r="24" customFormat="false" ht="15" hidden="false" customHeight="true" outlineLevel="0" collapsed="false">
      <c r="A24" s="30" t="s">
        <v>74</v>
      </c>
      <c r="B24" s="31" t="s">
        <v>68</v>
      </c>
      <c r="C24" s="30" t="s">
        <v>42</v>
      </c>
      <c r="D24" s="31" t="s">
        <v>1791</v>
      </c>
    </row>
    <row r="25" customFormat="false" ht="15" hidden="false" customHeight="true" outlineLevel="0" collapsed="false">
      <c r="A25" s="30" t="s">
        <v>75</v>
      </c>
      <c r="B25" s="31" t="s">
        <v>66</v>
      </c>
      <c r="C25" s="30" t="s">
        <v>42</v>
      </c>
      <c r="D25" s="31" t="s">
        <v>1791</v>
      </c>
    </row>
    <row r="26" customFormat="false" ht="15" hidden="false" customHeight="true" outlineLevel="0" collapsed="false">
      <c r="A26" s="30" t="s">
        <v>76</v>
      </c>
      <c r="B26" s="31" t="s">
        <v>68</v>
      </c>
      <c r="C26" s="30" t="s">
        <v>42</v>
      </c>
      <c r="D26" s="31" t="s">
        <v>1791</v>
      </c>
    </row>
    <row r="27" customFormat="false" ht="15" hidden="false" customHeight="true" outlineLevel="0" collapsed="false">
      <c r="A27" s="30" t="s">
        <v>77</v>
      </c>
      <c r="B27" s="31" t="s">
        <v>66</v>
      </c>
      <c r="C27" s="30" t="s">
        <v>42</v>
      </c>
      <c r="D27" s="31" t="s">
        <v>1791</v>
      </c>
    </row>
    <row r="28" customFormat="false" ht="15" hidden="false" customHeight="true" outlineLevel="0" collapsed="false">
      <c r="A28" s="30" t="s">
        <v>78</v>
      </c>
      <c r="B28" s="31" t="s">
        <v>68</v>
      </c>
      <c r="C28" s="30" t="s">
        <v>42</v>
      </c>
      <c r="D28" s="31" t="s">
        <v>1791</v>
      </c>
    </row>
    <row r="29" customFormat="false" ht="15" hidden="false" customHeight="true" outlineLevel="0" collapsed="false">
      <c r="A29" s="30" t="s">
        <v>79</v>
      </c>
      <c r="B29" s="31" t="s">
        <v>66</v>
      </c>
      <c r="C29" s="30" t="s">
        <v>42</v>
      </c>
      <c r="D29" s="31" t="s">
        <v>1791</v>
      </c>
    </row>
    <row r="30" customFormat="false" ht="15" hidden="false" customHeight="true" outlineLevel="0" collapsed="false">
      <c r="A30" s="30" t="s">
        <v>80</v>
      </c>
      <c r="B30" s="31" t="s">
        <v>68</v>
      </c>
      <c r="C30" s="30" t="s">
        <v>42</v>
      </c>
      <c r="D30" s="31" t="s">
        <v>1791</v>
      </c>
    </row>
    <row r="31" customFormat="false" ht="15" hidden="false" customHeight="true" outlineLevel="0" collapsed="false">
      <c r="A31" s="30" t="s">
        <v>81</v>
      </c>
      <c r="B31" s="31" t="s">
        <v>66</v>
      </c>
      <c r="C31" s="30" t="s">
        <v>42</v>
      </c>
      <c r="D31" s="31" t="s">
        <v>1791</v>
      </c>
    </row>
    <row r="32" customFormat="false" ht="15" hidden="false" customHeight="true" outlineLevel="0" collapsed="false">
      <c r="A32" s="30" t="s">
        <v>82</v>
      </c>
      <c r="B32" s="31" t="s">
        <v>68</v>
      </c>
      <c r="C32" s="30" t="s">
        <v>42</v>
      </c>
      <c r="D32" s="31" t="s">
        <v>1791</v>
      </c>
    </row>
    <row r="33" customFormat="false" ht="15" hidden="false" customHeight="true" outlineLevel="0" collapsed="false">
      <c r="A33" s="30" t="s">
        <v>83</v>
      </c>
      <c r="B33" s="31" t="s">
        <v>84</v>
      </c>
      <c r="C33" s="30" t="s">
        <v>42</v>
      </c>
      <c r="D33" s="31" t="s">
        <v>1791</v>
      </c>
    </row>
    <row r="34" customFormat="false" ht="15" hidden="false" customHeight="true" outlineLevel="0" collapsed="false">
      <c r="A34" s="30" t="s">
        <v>85</v>
      </c>
      <c r="B34" s="31" t="s">
        <v>86</v>
      </c>
      <c r="C34" s="30" t="s">
        <v>42</v>
      </c>
      <c r="D34" s="31" t="s">
        <v>1791</v>
      </c>
    </row>
    <row r="35" customFormat="false" ht="15" hidden="false" customHeight="true" outlineLevel="0" collapsed="false">
      <c r="A35" s="30" t="s">
        <v>87</v>
      </c>
      <c r="B35" s="31" t="s">
        <v>88</v>
      </c>
      <c r="C35" s="30" t="s">
        <v>42</v>
      </c>
      <c r="D35" s="31" t="s">
        <v>1791</v>
      </c>
    </row>
    <row r="36" customFormat="false" ht="15" hidden="false" customHeight="true" outlineLevel="0" collapsed="false">
      <c r="A36" s="30" t="s">
        <v>89</v>
      </c>
      <c r="B36" s="31" t="s">
        <v>90</v>
      </c>
      <c r="C36" s="30" t="s">
        <v>42</v>
      </c>
      <c r="D36" s="31" t="s">
        <v>1791</v>
      </c>
    </row>
    <row r="37" customFormat="false" ht="15" hidden="false" customHeight="true" outlineLevel="0" collapsed="false">
      <c r="A37" s="30" t="s">
        <v>91</v>
      </c>
      <c r="B37" s="31" t="s">
        <v>92</v>
      </c>
      <c r="C37" s="30" t="s">
        <v>42</v>
      </c>
      <c r="D37" s="31" t="s">
        <v>1791</v>
      </c>
    </row>
    <row r="38" customFormat="false" ht="15" hidden="false" customHeight="true" outlineLevel="0" collapsed="false">
      <c r="A38" s="30" t="s">
        <v>93</v>
      </c>
      <c r="B38" s="31" t="s">
        <v>94</v>
      </c>
      <c r="C38" s="30" t="s">
        <v>42</v>
      </c>
      <c r="D38" s="31" t="s">
        <v>1791</v>
      </c>
    </row>
    <row r="39" customFormat="false" ht="15" hidden="false" customHeight="true" outlineLevel="0" collapsed="false">
      <c r="A39" s="30" t="s">
        <v>95</v>
      </c>
      <c r="B39" s="31" t="s">
        <v>88</v>
      </c>
      <c r="C39" s="30" t="s">
        <v>42</v>
      </c>
      <c r="D39" s="31" t="s">
        <v>1791</v>
      </c>
    </row>
    <row r="40" customFormat="false" ht="15" hidden="false" customHeight="true" outlineLevel="0" collapsed="false">
      <c r="A40" s="30" t="s">
        <v>96</v>
      </c>
      <c r="B40" s="31" t="s">
        <v>90</v>
      </c>
      <c r="C40" s="30" t="s">
        <v>42</v>
      </c>
      <c r="D40" s="31" t="s">
        <v>1791</v>
      </c>
    </row>
    <row r="41" customFormat="false" ht="15" hidden="false" customHeight="true" outlineLevel="0" collapsed="false">
      <c r="A41" s="30" t="s">
        <v>97</v>
      </c>
      <c r="B41" s="31" t="s">
        <v>84</v>
      </c>
      <c r="C41" s="30" t="s">
        <v>42</v>
      </c>
      <c r="D41" s="31" t="s">
        <v>1791</v>
      </c>
    </row>
    <row r="42" customFormat="false" ht="15" hidden="false" customHeight="true" outlineLevel="0" collapsed="false">
      <c r="A42" s="30" t="s">
        <v>98</v>
      </c>
      <c r="B42" s="31" t="s">
        <v>94</v>
      </c>
      <c r="C42" s="30" t="s">
        <v>42</v>
      </c>
      <c r="D42" s="31" t="s">
        <v>1791</v>
      </c>
    </row>
    <row r="43" customFormat="false" ht="15" hidden="false" customHeight="true" outlineLevel="0" collapsed="false">
      <c r="A43" s="30" t="s">
        <v>99</v>
      </c>
      <c r="B43" s="31" t="s">
        <v>88</v>
      </c>
      <c r="C43" s="30" t="s">
        <v>42</v>
      </c>
      <c r="D43" s="31" t="s">
        <v>1791</v>
      </c>
    </row>
    <row r="44" customFormat="false" ht="15" hidden="false" customHeight="true" outlineLevel="0" collapsed="false">
      <c r="A44" s="30" t="s">
        <v>100</v>
      </c>
      <c r="B44" s="31" t="s">
        <v>90</v>
      </c>
      <c r="C44" s="30" t="s">
        <v>42</v>
      </c>
      <c r="D44" s="31" t="s">
        <v>1791</v>
      </c>
    </row>
    <row r="45" customFormat="false" ht="15" hidden="false" customHeight="true" outlineLevel="0" collapsed="false">
      <c r="A45" s="30" t="s">
        <v>101</v>
      </c>
      <c r="B45" s="31" t="s">
        <v>102</v>
      </c>
      <c r="C45" s="30" t="s">
        <v>42</v>
      </c>
      <c r="D45" s="31" t="s">
        <v>1791</v>
      </c>
    </row>
    <row r="46" customFormat="false" ht="15" hidden="false" customHeight="true" outlineLevel="0" collapsed="false">
      <c r="A46" s="30" t="s">
        <v>103</v>
      </c>
      <c r="B46" s="31" t="s">
        <v>94</v>
      </c>
      <c r="C46" s="30" t="s">
        <v>42</v>
      </c>
      <c r="D46" s="31" t="s">
        <v>1791</v>
      </c>
    </row>
    <row r="47" customFormat="false" ht="15" hidden="false" customHeight="true" outlineLevel="0" collapsed="false">
      <c r="A47" s="30" t="s">
        <v>104</v>
      </c>
      <c r="B47" s="31" t="s">
        <v>88</v>
      </c>
      <c r="C47" s="30" t="s">
        <v>42</v>
      </c>
      <c r="D47" s="31" t="s">
        <v>1791</v>
      </c>
    </row>
    <row r="48" customFormat="false" ht="15" hidden="false" customHeight="true" outlineLevel="0" collapsed="false">
      <c r="A48" s="30" t="s">
        <v>105</v>
      </c>
      <c r="B48" s="31" t="s">
        <v>90</v>
      </c>
      <c r="C48" s="30" t="s">
        <v>42</v>
      </c>
      <c r="D48" s="31" t="s">
        <v>1791</v>
      </c>
    </row>
    <row r="49" customFormat="false" ht="15" hidden="false" customHeight="true" outlineLevel="0" collapsed="false">
      <c r="A49" s="30" t="s">
        <v>106</v>
      </c>
      <c r="B49" s="31" t="s">
        <v>107</v>
      </c>
      <c r="C49" s="30" t="s">
        <v>42</v>
      </c>
      <c r="D49" s="31" t="s">
        <v>1791</v>
      </c>
    </row>
    <row r="50" customFormat="false" ht="15" hidden="false" customHeight="true" outlineLevel="0" collapsed="false">
      <c r="A50" s="30" t="s">
        <v>108</v>
      </c>
      <c r="B50" s="31" t="s">
        <v>109</v>
      </c>
      <c r="C50" s="30" t="s">
        <v>42</v>
      </c>
      <c r="D50" s="31" t="s">
        <v>1791</v>
      </c>
    </row>
    <row r="51" customFormat="false" ht="15" hidden="false" customHeight="true" outlineLevel="0" collapsed="false">
      <c r="A51" s="30" t="s">
        <v>110</v>
      </c>
      <c r="B51" s="31" t="s">
        <v>111</v>
      </c>
      <c r="C51" s="30" t="s">
        <v>42</v>
      </c>
      <c r="D51" s="31" t="s">
        <v>1791</v>
      </c>
    </row>
    <row r="52" customFormat="false" ht="15" hidden="false" customHeight="true" outlineLevel="0" collapsed="false">
      <c r="A52" s="30" t="s">
        <v>112</v>
      </c>
      <c r="B52" s="31" t="s">
        <v>113</v>
      </c>
      <c r="C52" s="30" t="s">
        <v>42</v>
      </c>
      <c r="D52" s="31" t="s">
        <v>1791</v>
      </c>
    </row>
    <row r="53" customFormat="false" ht="15" hidden="false" customHeight="true" outlineLevel="0" collapsed="false">
      <c r="A53" s="30" t="s">
        <v>114</v>
      </c>
      <c r="B53" s="31" t="s">
        <v>115</v>
      </c>
      <c r="C53" s="30" t="s">
        <v>42</v>
      </c>
      <c r="D53" s="31" t="s">
        <v>1791</v>
      </c>
    </row>
    <row r="54" customFormat="false" ht="15" hidden="false" customHeight="true" outlineLevel="0" collapsed="false">
      <c r="A54" s="30" t="s">
        <v>116</v>
      </c>
      <c r="B54" s="31" t="s">
        <v>107</v>
      </c>
      <c r="C54" s="30" t="s">
        <v>42</v>
      </c>
      <c r="D54" s="31" t="s">
        <v>1791</v>
      </c>
    </row>
    <row r="55" customFormat="false" ht="15" hidden="false" customHeight="true" outlineLevel="0" collapsed="false">
      <c r="A55" s="30" t="s">
        <v>117</v>
      </c>
      <c r="B55" s="31" t="s">
        <v>107</v>
      </c>
      <c r="C55" s="30" t="s">
        <v>42</v>
      </c>
      <c r="D55" s="31" t="s">
        <v>1791</v>
      </c>
    </row>
    <row r="56" customFormat="false" ht="15" hidden="false" customHeight="true" outlineLevel="0" collapsed="false">
      <c r="A56" s="30" t="s">
        <v>118</v>
      </c>
      <c r="B56" s="31" t="s">
        <v>119</v>
      </c>
      <c r="C56" s="30" t="s">
        <v>42</v>
      </c>
      <c r="D56" s="31" t="s">
        <v>1791</v>
      </c>
    </row>
    <row r="57" customFormat="false" ht="15" hidden="false" customHeight="true" outlineLevel="0" collapsed="false">
      <c r="A57" s="30" t="s">
        <v>120</v>
      </c>
      <c r="B57" s="31" t="s">
        <v>111</v>
      </c>
      <c r="C57" s="30" t="s">
        <v>42</v>
      </c>
      <c r="D57" s="31" t="s">
        <v>1791</v>
      </c>
    </row>
    <row r="58" customFormat="false" ht="15" hidden="false" customHeight="true" outlineLevel="0" collapsed="false">
      <c r="A58" s="30" t="s">
        <v>121</v>
      </c>
      <c r="B58" s="31" t="s">
        <v>122</v>
      </c>
      <c r="C58" s="30" t="s">
        <v>42</v>
      </c>
      <c r="D58" s="31" t="s">
        <v>1791</v>
      </c>
    </row>
    <row r="59" customFormat="false" ht="15" hidden="false" customHeight="true" outlineLevel="0" collapsed="false">
      <c r="A59" s="30" t="s">
        <v>123</v>
      </c>
      <c r="B59" s="31" t="s">
        <v>124</v>
      </c>
      <c r="C59" s="30" t="s">
        <v>42</v>
      </c>
      <c r="D59" s="31" t="s">
        <v>1791</v>
      </c>
    </row>
    <row r="60" customFormat="false" ht="15" hidden="false" customHeight="true" outlineLevel="0" collapsed="false">
      <c r="A60" s="30" t="s">
        <v>125</v>
      </c>
      <c r="B60" s="31" t="s">
        <v>126</v>
      </c>
      <c r="C60" s="30" t="s">
        <v>42</v>
      </c>
      <c r="D60" s="31" t="s">
        <v>1791</v>
      </c>
    </row>
    <row r="61" customFormat="false" ht="15" hidden="false" customHeight="true" outlineLevel="0" collapsed="false">
      <c r="A61" s="30" t="s">
        <v>127</v>
      </c>
      <c r="B61" s="31" t="s">
        <v>128</v>
      </c>
      <c r="C61" s="30" t="s">
        <v>42</v>
      </c>
      <c r="D61" s="31" t="s">
        <v>1791</v>
      </c>
    </row>
    <row r="62" customFormat="false" ht="15" hidden="false" customHeight="true" outlineLevel="0" collapsed="false">
      <c r="A62" s="30" t="s">
        <v>129</v>
      </c>
      <c r="B62" s="31" t="s">
        <v>130</v>
      </c>
      <c r="C62" s="30" t="s">
        <v>42</v>
      </c>
      <c r="D62" s="31" t="s">
        <v>1791</v>
      </c>
    </row>
    <row r="63" customFormat="false" ht="15" hidden="false" customHeight="true" outlineLevel="0" collapsed="false">
      <c r="A63" s="30" t="s">
        <v>131</v>
      </c>
      <c r="B63" s="31" t="s">
        <v>132</v>
      </c>
      <c r="C63" s="30" t="s">
        <v>42</v>
      </c>
      <c r="D63" s="31" t="s">
        <v>1791</v>
      </c>
    </row>
    <row r="64" customFormat="false" ht="15" hidden="false" customHeight="true" outlineLevel="0" collapsed="false">
      <c r="A64" s="30" t="s">
        <v>133</v>
      </c>
      <c r="B64" s="31" t="s">
        <v>134</v>
      </c>
      <c r="C64" s="30" t="s">
        <v>42</v>
      </c>
      <c r="D64" s="31" t="s">
        <v>1791</v>
      </c>
    </row>
    <row r="65" customFormat="false" ht="15" hidden="false" customHeight="true" outlineLevel="0" collapsed="false">
      <c r="A65" s="30" t="s">
        <v>135</v>
      </c>
      <c r="B65" s="31" t="s">
        <v>136</v>
      </c>
      <c r="C65" s="30" t="s">
        <v>42</v>
      </c>
      <c r="D65" s="31" t="s">
        <v>1791</v>
      </c>
    </row>
    <row r="66" customFormat="false" ht="15" hidden="false" customHeight="true" outlineLevel="0" collapsed="false">
      <c r="A66" s="30" t="s">
        <v>137</v>
      </c>
      <c r="B66" s="31" t="s">
        <v>138</v>
      </c>
      <c r="C66" s="30" t="s">
        <v>42</v>
      </c>
      <c r="D66" s="31" t="s">
        <v>1791</v>
      </c>
    </row>
    <row r="67" customFormat="false" ht="15" hidden="false" customHeight="true" outlineLevel="0" collapsed="false">
      <c r="A67" s="30" t="s">
        <v>139</v>
      </c>
      <c r="B67" s="31" t="s">
        <v>140</v>
      </c>
      <c r="C67" s="30" t="s">
        <v>42</v>
      </c>
      <c r="D67" s="31" t="s">
        <v>1791</v>
      </c>
    </row>
    <row r="68" customFormat="false" ht="15" hidden="false" customHeight="true" outlineLevel="0" collapsed="false">
      <c r="A68" s="30" t="s">
        <v>141</v>
      </c>
      <c r="B68" s="31" t="s">
        <v>142</v>
      </c>
      <c r="C68" s="30" t="s">
        <v>42</v>
      </c>
      <c r="D68" s="31" t="s">
        <v>1791</v>
      </c>
    </row>
    <row r="69" customFormat="false" ht="15" hidden="false" customHeight="true" outlineLevel="0" collapsed="false">
      <c r="A69" s="30" t="s">
        <v>143</v>
      </c>
      <c r="B69" s="31" t="s">
        <v>144</v>
      </c>
      <c r="C69" s="30" t="s">
        <v>42</v>
      </c>
      <c r="D69" s="31" t="s">
        <v>1791</v>
      </c>
    </row>
    <row r="70" customFormat="false" ht="15" hidden="false" customHeight="true" outlineLevel="0" collapsed="false">
      <c r="A70" s="30" t="s">
        <v>145</v>
      </c>
      <c r="B70" s="31" t="s">
        <v>146</v>
      </c>
      <c r="C70" s="30" t="s">
        <v>42</v>
      </c>
      <c r="D70" s="31" t="s">
        <v>1791</v>
      </c>
    </row>
    <row r="71" customFormat="false" ht="15" hidden="false" customHeight="true" outlineLevel="0" collapsed="false">
      <c r="A71" s="30" t="s">
        <v>147</v>
      </c>
      <c r="B71" s="31" t="s">
        <v>148</v>
      </c>
      <c r="C71" s="30" t="s">
        <v>42</v>
      </c>
      <c r="D71" s="31" t="s">
        <v>1791</v>
      </c>
    </row>
    <row r="72" customFormat="false" ht="15" hidden="false" customHeight="true" outlineLevel="0" collapsed="false">
      <c r="A72" s="30" t="s">
        <v>149</v>
      </c>
      <c r="B72" s="31" t="s">
        <v>150</v>
      </c>
      <c r="C72" s="30" t="s">
        <v>42</v>
      </c>
      <c r="D72" s="31" t="s">
        <v>1791</v>
      </c>
    </row>
    <row r="73" customFormat="false" ht="15" hidden="false" customHeight="true" outlineLevel="0" collapsed="false">
      <c r="A73" s="30" t="s">
        <v>151</v>
      </c>
      <c r="B73" s="31" t="s">
        <v>152</v>
      </c>
      <c r="C73" s="30" t="s">
        <v>42</v>
      </c>
      <c r="D73" s="31" t="s">
        <v>1791</v>
      </c>
    </row>
    <row r="74" customFormat="false" ht="15" hidden="false" customHeight="true" outlineLevel="0" collapsed="false">
      <c r="A74" s="30" t="s">
        <v>153</v>
      </c>
      <c r="B74" s="31" t="s">
        <v>154</v>
      </c>
      <c r="C74" s="30" t="s">
        <v>42</v>
      </c>
      <c r="D74" s="31" t="s">
        <v>1791</v>
      </c>
    </row>
    <row r="75" customFormat="false" ht="15" hidden="false" customHeight="true" outlineLevel="0" collapsed="false">
      <c r="A75" s="30" t="s">
        <v>155</v>
      </c>
      <c r="B75" s="31" t="s">
        <v>156</v>
      </c>
      <c r="C75" s="30" t="s">
        <v>42</v>
      </c>
      <c r="D75" s="31" t="s">
        <v>1791</v>
      </c>
    </row>
    <row r="76" customFormat="false" ht="15" hidden="false" customHeight="true" outlineLevel="0" collapsed="false">
      <c r="A76" s="30" t="s">
        <v>157</v>
      </c>
      <c r="B76" s="31" t="s">
        <v>158</v>
      </c>
      <c r="C76" s="30" t="s">
        <v>42</v>
      </c>
      <c r="D76" s="31" t="s">
        <v>1791</v>
      </c>
    </row>
    <row r="77" customFormat="false" ht="15" hidden="false" customHeight="true" outlineLevel="0" collapsed="false">
      <c r="A77" s="30" t="s">
        <v>159</v>
      </c>
      <c r="B77" s="31" t="s">
        <v>160</v>
      </c>
      <c r="C77" s="30" t="s">
        <v>42</v>
      </c>
      <c r="D77" s="31" t="s">
        <v>1791</v>
      </c>
    </row>
    <row r="78" customFormat="false" ht="15" hidden="false" customHeight="true" outlineLevel="0" collapsed="false">
      <c r="A78" s="30" t="s">
        <v>161</v>
      </c>
      <c r="B78" s="31" t="s">
        <v>162</v>
      </c>
      <c r="C78" s="30" t="s">
        <v>42</v>
      </c>
      <c r="D78" s="31" t="s">
        <v>1791</v>
      </c>
    </row>
    <row r="79" customFormat="false" ht="15" hidden="false" customHeight="true" outlineLevel="0" collapsed="false">
      <c r="A79" s="30" t="s">
        <v>163</v>
      </c>
      <c r="B79" s="31" t="s">
        <v>66</v>
      </c>
      <c r="C79" s="30" t="s">
        <v>42</v>
      </c>
      <c r="D79" s="31" t="s">
        <v>1791</v>
      </c>
    </row>
    <row r="80" customFormat="false" ht="15" hidden="false" customHeight="true" outlineLevel="0" collapsed="false">
      <c r="A80" s="30" t="s">
        <v>164</v>
      </c>
      <c r="B80" s="31" t="s">
        <v>165</v>
      </c>
      <c r="C80" s="30" t="s">
        <v>42</v>
      </c>
      <c r="D80" s="31" t="s">
        <v>1791</v>
      </c>
    </row>
    <row r="81" customFormat="false" ht="15" hidden="false" customHeight="true" outlineLevel="0" collapsed="false">
      <c r="A81" s="30" t="s">
        <v>166</v>
      </c>
      <c r="B81" s="31" t="s">
        <v>66</v>
      </c>
      <c r="C81" s="30" t="s">
        <v>42</v>
      </c>
      <c r="D81" s="31" t="s">
        <v>1791</v>
      </c>
    </row>
    <row r="82" customFormat="false" ht="15" hidden="false" customHeight="true" outlineLevel="0" collapsed="false">
      <c r="A82" s="30" t="s">
        <v>167</v>
      </c>
      <c r="B82" s="31" t="s">
        <v>165</v>
      </c>
      <c r="C82" s="30" t="s">
        <v>42</v>
      </c>
      <c r="D82" s="31" t="s">
        <v>1791</v>
      </c>
    </row>
    <row r="83" customFormat="false" ht="15" hidden="false" customHeight="true" outlineLevel="0" collapsed="false">
      <c r="A83" s="30" t="s">
        <v>168</v>
      </c>
      <c r="B83" s="31" t="s">
        <v>169</v>
      </c>
      <c r="C83" s="30" t="s">
        <v>42</v>
      </c>
      <c r="D83" s="31" t="s">
        <v>1791</v>
      </c>
    </row>
    <row r="84" customFormat="false" ht="15" hidden="false" customHeight="true" outlineLevel="0" collapsed="false">
      <c r="A84" s="30" t="s">
        <v>170</v>
      </c>
      <c r="B84" s="31" t="s">
        <v>171</v>
      </c>
      <c r="C84" s="30" t="s">
        <v>42</v>
      </c>
      <c r="D84" s="31" t="s">
        <v>1791</v>
      </c>
    </row>
    <row r="85" customFormat="false" ht="15" hidden="false" customHeight="true" outlineLevel="0" collapsed="false">
      <c r="A85" s="30" t="s">
        <v>172</v>
      </c>
      <c r="B85" s="31" t="s">
        <v>173</v>
      </c>
      <c r="C85" s="30" t="s">
        <v>42</v>
      </c>
      <c r="D85" s="31" t="s">
        <v>1791</v>
      </c>
    </row>
    <row r="86" customFormat="false" ht="15" hidden="false" customHeight="true" outlineLevel="0" collapsed="false">
      <c r="A86" s="30" t="s">
        <v>174</v>
      </c>
      <c r="B86" s="31" t="s">
        <v>175</v>
      </c>
      <c r="C86" s="30" t="s">
        <v>42</v>
      </c>
      <c r="D86" s="31" t="s">
        <v>1791</v>
      </c>
    </row>
    <row r="87" customFormat="false" ht="15" hidden="false" customHeight="true" outlineLevel="0" collapsed="false">
      <c r="A87" s="30" t="s">
        <v>176</v>
      </c>
      <c r="B87" s="31" t="s">
        <v>177</v>
      </c>
      <c r="C87" s="30" t="s">
        <v>42</v>
      </c>
      <c r="D87" s="31" t="s">
        <v>1791</v>
      </c>
    </row>
    <row r="88" customFormat="false" ht="15" hidden="false" customHeight="true" outlineLevel="0" collapsed="false">
      <c r="A88" s="30" t="s">
        <v>178</v>
      </c>
      <c r="B88" s="31" t="s">
        <v>179</v>
      </c>
      <c r="C88" s="30" t="s">
        <v>42</v>
      </c>
      <c r="D88" s="31" t="s">
        <v>1791</v>
      </c>
    </row>
    <row r="89" customFormat="false" ht="15" hidden="false" customHeight="true" outlineLevel="0" collapsed="false">
      <c r="A89" s="30" t="s">
        <v>180</v>
      </c>
      <c r="B89" s="31" t="s">
        <v>181</v>
      </c>
      <c r="C89" s="30" t="s">
        <v>42</v>
      </c>
      <c r="D89" s="31" t="s">
        <v>1791</v>
      </c>
    </row>
    <row r="90" customFormat="false" ht="15" hidden="false" customHeight="true" outlineLevel="0" collapsed="false">
      <c r="A90" s="30" t="s">
        <v>182</v>
      </c>
      <c r="B90" s="31" t="s">
        <v>124</v>
      </c>
      <c r="C90" s="30" t="s">
        <v>42</v>
      </c>
      <c r="D90" s="31" t="s">
        <v>1791</v>
      </c>
    </row>
    <row r="91" customFormat="false" ht="15" hidden="false" customHeight="true" outlineLevel="0" collapsed="false">
      <c r="A91" s="30" t="s">
        <v>183</v>
      </c>
      <c r="B91" s="31" t="s">
        <v>126</v>
      </c>
      <c r="C91" s="30" t="s">
        <v>42</v>
      </c>
      <c r="D91" s="31" t="s">
        <v>1791</v>
      </c>
    </row>
    <row r="92" customFormat="false" ht="15" hidden="false" customHeight="true" outlineLevel="0" collapsed="false">
      <c r="A92" s="30" t="s">
        <v>184</v>
      </c>
      <c r="B92" s="31" t="s">
        <v>138</v>
      </c>
      <c r="C92" s="30" t="s">
        <v>42</v>
      </c>
      <c r="D92" s="31" t="s">
        <v>1791</v>
      </c>
    </row>
    <row r="93" customFormat="false" ht="15" hidden="false" customHeight="true" outlineLevel="0" collapsed="false">
      <c r="A93" s="30" t="s">
        <v>185</v>
      </c>
      <c r="B93" s="31" t="s">
        <v>140</v>
      </c>
      <c r="C93" s="30" t="s">
        <v>42</v>
      </c>
      <c r="D93" s="31" t="s">
        <v>1791</v>
      </c>
    </row>
    <row r="94" customFormat="false" ht="15" hidden="false" customHeight="true" outlineLevel="0" collapsed="false">
      <c r="A94" s="30" t="s">
        <v>186</v>
      </c>
      <c r="B94" s="31" t="s">
        <v>142</v>
      </c>
      <c r="C94" s="30" t="s">
        <v>42</v>
      </c>
      <c r="D94" s="31" t="s">
        <v>1791</v>
      </c>
    </row>
    <row r="95" customFormat="false" ht="15" hidden="false" customHeight="true" outlineLevel="0" collapsed="false">
      <c r="A95" s="30" t="s">
        <v>187</v>
      </c>
      <c r="B95" s="31" t="s">
        <v>144</v>
      </c>
      <c r="C95" s="30" t="s">
        <v>42</v>
      </c>
      <c r="D95" s="31" t="s">
        <v>1791</v>
      </c>
    </row>
    <row r="96" customFormat="false" ht="15" hidden="false" customHeight="true" outlineLevel="0" collapsed="false">
      <c r="A96" s="30" t="s">
        <v>188</v>
      </c>
      <c r="B96" s="31" t="s">
        <v>146</v>
      </c>
      <c r="C96" s="30" t="s">
        <v>42</v>
      </c>
      <c r="D96" s="31" t="s">
        <v>1791</v>
      </c>
    </row>
    <row r="97" customFormat="false" ht="15" hidden="false" customHeight="true" outlineLevel="0" collapsed="false">
      <c r="A97" s="30" t="s">
        <v>189</v>
      </c>
      <c r="B97" s="31" t="s">
        <v>148</v>
      </c>
      <c r="C97" s="30" t="s">
        <v>42</v>
      </c>
      <c r="D97" s="31" t="s">
        <v>1791</v>
      </c>
    </row>
    <row r="98" customFormat="false" ht="15" hidden="false" customHeight="true" outlineLevel="0" collapsed="false">
      <c r="A98" s="30" t="s">
        <v>190</v>
      </c>
      <c r="B98" s="31" t="s">
        <v>150</v>
      </c>
      <c r="C98" s="30" t="s">
        <v>42</v>
      </c>
      <c r="D98" s="31" t="s">
        <v>1791</v>
      </c>
    </row>
    <row r="99" customFormat="false" ht="15" hidden="false" customHeight="true" outlineLevel="0" collapsed="false">
      <c r="A99" s="30" t="s">
        <v>191</v>
      </c>
      <c r="B99" s="31" t="s">
        <v>152</v>
      </c>
      <c r="C99" s="30" t="s">
        <v>42</v>
      </c>
      <c r="D99" s="31" t="s">
        <v>1791</v>
      </c>
    </row>
    <row r="100" customFormat="false" ht="15" hidden="false" customHeight="true" outlineLevel="0" collapsed="false">
      <c r="A100" s="30" t="s">
        <v>192</v>
      </c>
      <c r="B100" s="31" t="s">
        <v>154</v>
      </c>
      <c r="C100" s="30" t="s">
        <v>42</v>
      </c>
      <c r="D100" s="31" t="s">
        <v>1791</v>
      </c>
    </row>
    <row r="101" customFormat="false" ht="15" hidden="false" customHeight="true" outlineLevel="0" collapsed="false">
      <c r="A101" s="30" t="s">
        <v>193</v>
      </c>
      <c r="B101" s="31" t="s">
        <v>156</v>
      </c>
      <c r="C101" s="30" t="s">
        <v>42</v>
      </c>
      <c r="D101" s="31" t="s">
        <v>1791</v>
      </c>
    </row>
    <row r="102" customFormat="false" ht="15" hidden="false" customHeight="true" outlineLevel="0" collapsed="false">
      <c r="A102" s="30" t="s">
        <v>194</v>
      </c>
      <c r="B102" s="31" t="s">
        <v>158</v>
      </c>
      <c r="C102" s="30" t="s">
        <v>42</v>
      </c>
      <c r="D102" s="31" t="s">
        <v>1791</v>
      </c>
    </row>
    <row r="103" customFormat="false" ht="15" hidden="false" customHeight="true" outlineLevel="0" collapsed="false">
      <c r="A103" s="30" t="s">
        <v>195</v>
      </c>
      <c r="B103" s="31" t="s">
        <v>160</v>
      </c>
      <c r="C103" s="30" t="s">
        <v>42</v>
      </c>
      <c r="D103" s="31" t="s">
        <v>1791</v>
      </c>
    </row>
    <row r="104" customFormat="false" ht="15" hidden="false" customHeight="true" outlineLevel="0" collapsed="false">
      <c r="A104" s="30" t="s">
        <v>196</v>
      </c>
      <c r="B104" s="31" t="s">
        <v>162</v>
      </c>
      <c r="C104" s="30" t="s">
        <v>42</v>
      </c>
      <c r="D104" s="31" t="s">
        <v>1791</v>
      </c>
    </row>
    <row r="105" customFormat="false" ht="15" hidden="false" customHeight="true" outlineLevel="0" collapsed="false">
      <c r="A105" s="30" t="s">
        <v>197</v>
      </c>
      <c r="B105" s="31" t="s">
        <v>66</v>
      </c>
      <c r="C105" s="30" t="s">
        <v>42</v>
      </c>
      <c r="D105" s="31" t="s">
        <v>1791</v>
      </c>
    </row>
    <row r="106" customFormat="false" ht="15" hidden="false" customHeight="true" outlineLevel="0" collapsed="false">
      <c r="A106" s="30" t="s">
        <v>198</v>
      </c>
      <c r="B106" s="31" t="s">
        <v>165</v>
      </c>
      <c r="C106" s="30" t="s">
        <v>42</v>
      </c>
      <c r="D106" s="31" t="s">
        <v>1791</v>
      </c>
    </row>
    <row r="107" customFormat="false" ht="15" hidden="false" customHeight="true" outlineLevel="0" collapsed="false">
      <c r="A107" s="30" t="s">
        <v>199</v>
      </c>
      <c r="B107" s="31" t="s">
        <v>66</v>
      </c>
      <c r="C107" s="30" t="s">
        <v>42</v>
      </c>
      <c r="D107" s="31" t="s">
        <v>1791</v>
      </c>
    </row>
    <row r="108" customFormat="false" ht="15" hidden="false" customHeight="true" outlineLevel="0" collapsed="false">
      <c r="A108" s="30" t="s">
        <v>200</v>
      </c>
      <c r="B108" s="31" t="s">
        <v>165</v>
      </c>
      <c r="C108" s="30" t="s">
        <v>42</v>
      </c>
      <c r="D108" s="31" t="s">
        <v>1791</v>
      </c>
    </row>
    <row r="109" customFormat="false" ht="15" hidden="false" customHeight="true" outlineLevel="0" collapsed="false">
      <c r="A109" s="30" t="s">
        <v>201</v>
      </c>
      <c r="B109" s="31" t="s">
        <v>181</v>
      </c>
      <c r="C109" s="30" t="s">
        <v>42</v>
      </c>
      <c r="D109" s="31" t="s">
        <v>1791</v>
      </c>
    </row>
    <row r="110" customFormat="false" ht="15" hidden="false" customHeight="true" outlineLevel="0" collapsed="false">
      <c r="A110" s="30" t="s">
        <v>202</v>
      </c>
      <c r="B110" s="31" t="s">
        <v>203</v>
      </c>
      <c r="C110" s="30" t="s">
        <v>42</v>
      </c>
      <c r="D110" s="31" t="s">
        <v>1791</v>
      </c>
    </row>
    <row r="111" customFormat="false" ht="15" hidden="false" customHeight="true" outlineLevel="0" collapsed="false">
      <c r="A111" s="30" t="s">
        <v>204</v>
      </c>
      <c r="B111" s="31" t="s">
        <v>205</v>
      </c>
      <c r="C111" s="30" t="s">
        <v>42</v>
      </c>
      <c r="D111" s="31" t="s">
        <v>1791</v>
      </c>
    </row>
    <row r="112" customFormat="false" ht="15" hidden="false" customHeight="true" outlineLevel="0" collapsed="false">
      <c r="A112" s="30" t="s">
        <v>206</v>
      </c>
      <c r="B112" s="31" t="s">
        <v>207</v>
      </c>
      <c r="C112" s="30" t="s">
        <v>42</v>
      </c>
      <c r="D112" s="31" t="s">
        <v>1791</v>
      </c>
    </row>
    <row r="113" customFormat="false" ht="15" hidden="false" customHeight="true" outlineLevel="0" collapsed="false">
      <c r="A113" s="30" t="s">
        <v>208</v>
      </c>
      <c r="B113" s="31" t="s">
        <v>209</v>
      </c>
      <c r="C113" s="30" t="s">
        <v>42</v>
      </c>
      <c r="D113" s="31" t="s">
        <v>1791</v>
      </c>
    </row>
    <row r="114" customFormat="false" ht="15" hidden="false" customHeight="true" outlineLevel="0" collapsed="false">
      <c r="A114" s="30" t="s">
        <v>210</v>
      </c>
      <c r="B114" s="31" t="s">
        <v>211</v>
      </c>
      <c r="C114" s="30" t="s">
        <v>42</v>
      </c>
      <c r="D114" s="31" t="s">
        <v>1791</v>
      </c>
    </row>
    <row r="115" customFormat="false" ht="15" hidden="false" customHeight="true" outlineLevel="0" collapsed="false">
      <c r="A115" s="30" t="s">
        <v>212</v>
      </c>
      <c r="B115" s="31" t="s">
        <v>213</v>
      </c>
      <c r="C115" s="30" t="s">
        <v>42</v>
      </c>
      <c r="D115" s="31" t="s">
        <v>1791</v>
      </c>
    </row>
    <row r="116" customFormat="false" ht="15" hidden="false" customHeight="true" outlineLevel="0" collapsed="false">
      <c r="A116" s="30" t="s">
        <v>214</v>
      </c>
      <c r="B116" s="31" t="s">
        <v>215</v>
      </c>
      <c r="C116" s="30" t="s">
        <v>42</v>
      </c>
      <c r="D116" s="31" t="s">
        <v>1791</v>
      </c>
    </row>
    <row r="117" customFormat="false" ht="15" hidden="false" customHeight="true" outlineLevel="0" collapsed="false">
      <c r="A117" s="30" t="s">
        <v>216</v>
      </c>
      <c r="B117" s="31" t="s">
        <v>217</v>
      </c>
      <c r="C117" s="30" t="s">
        <v>42</v>
      </c>
      <c r="D117" s="31" t="s">
        <v>1791</v>
      </c>
    </row>
    <row r="118" customFormat="false" ht="15" hidden="false" customHeight="true" outlineLevel="0" collapsed="false">
      <c r="A118" s="30" t="s">
        <v>218</v>
      </c>
      <c r="B118" s="31" t="s">
        <v>215</v>
      </c>
      <c r="C118" s="30" t="s">
        <v>42</v>
      </c>
      <c r="D118" s="31" t="s">
        <v>1791</v>
      </c>
    </row>
    <row r="119" customFormat="false" ht="15" hidden="false" customHeight="true" outlineLevel="0" collapsed="false">
      <c r="A119" s="30" t="s">
        <v>219</v>
      </c>
      <c r="B119" s="31" t="s">
        <v>217</v>
      </c>
      <c r="C119" s="30" t="s">
        <v>42</v>
      </c>
      <c r="D119" s="31" t="s">
        <v>1791</v>
      </c>
    </row>
    <row r="120" customFormat="false" ht="15" hidden="false" customHeight="true" outlineLevel="0" collapsed="false">
      <c r="A120" s="30" t="s">
        <v>220</v>
      </c>
      <c r="B120" s="31" t="s">
        <v>221</v>
      </c>
      <c r="C120" s="30" t="s">
        <v>42</v>
      </c>
      <c r="D120" s="31" t="s">
        <v>1791</v>
      </c>
    </row>
    <row r="121" customFormat="false" ht="15" hidden="false" customHeight="true" outlineLevel="0" collapsed="false">
      <c r="A121" s="30" t="s">
        <v>222</v>
      </c>
      <c r="B121" s="31" t="s">
        <v>223</v>
      </c>
      <c r="C121" s="30" t="s">
        <v>42</v>
      </c>
      <c r="D121" s="31" t="s">
        <v>1791</v>
      </c>
    </row>
    <row r="122" customFormat="false" ht="15" hidden="false" customHeight="true" outlineLevel="0" collapsed="false">
      <c r="A122" s="30" t="s">
        <v>224</v>
      </c>
      <c r="B122" s="31" t="s">
        <v>225</v>
      </c>
      <c r="C122" s="30" t="s">
        <v>42</v>
      </c>
      <c r="D122" s="31" t="s">
        <v>1791</v>
      </c>
    </row>
    <row r="123" customFormat="false" ht="15" hidden="false" customHeight="true" outlineLevel="0" collapsed="false">
      <c r="A123" s="30" t="s">
        <v>226</v>
      </c>
      <c r="B123" s="31" t="s">
        <v>122</v>
      </c>
      <c r="C123" s="30" t="s">
        <v>42</v>
      </c>
      <c r="D123" s="31" t="s">
        <v>1791</v>
      </c>
    </row>
    <row r="124" customFormat="false" ht="15" hidden="false" customHeight="true" outlineLevel="0" collapsed="false">
      <c r="A124" s="30" t="s">
        <v>227</v>
      </c>
      <c r="B124" s="31" t="s">
        <v>107</v>
      </c>
      <c r="C124" s="30" t="s">
        <v>42</v>
      </c>
      <c r="D124" s="31" t="s">
        <v>1791</v>
      </c>
    </row>
    <row r="125" customFormat="false" ht="15" hidden="false" customHeight="true" outlineLevel="0" collapsed="false">
      <c r="A125" s="30" t="s">
        <v>228</v>
      </c>
      <c r="B125" s="31" t="s">
        <v>229</v>
      </c>
      <c r="C125" s="30" t="s">
        <v>42</v>
      </c>
      <c r="D125" s="31" t="s">
        <v>1791</v>
      </c>
    </row>
    <row r="126" customFormat="false" ht="15" hidden="false" customHeight="true" outlineLevel="0" collapsed="false">
      <c r="A126" s="30" t="s">
        <v>230</v>
      </c>
      <c r="B126" s="31" t="s">
        <v>231</v>
      </c>
      <c r="C126" s="30" t="s">
        <v>42</v>
      </c>
      <c r="D126" s="31" t="s">
        <v>1791</v>
      </c>
    </row>
    <row r="127" customFormat="false" ht="15" hidden="false" customHeight="true" outlineLevel="0" collapsed="false">
      <c r="A127" s="30" t="s">
        <v>232</v>
      </c>
      <c r="B127" s="31" t="s">
        <v>233</v>
      </c>
      <c r="C127" s="30" t="s">
        <v>42</v>
      </c>
      <c r="D127" s="31" t="s">
        <v>1791</v>
      </c>
    </row>
    <row r="128" customFormat="false" ht="15" hidden="false" customHeight="true" outlineLevel="0" collapsed="false">
      <c r="A128" s="30" t="s">
        <v>234</v>
      </c>
      <c r="B128" s="31" t="s">
        <v>235</v>
      </c>
      <c r="C128" s="30" t="s">
        <v>42</v>
      </c>
      <c r="D128" s="31" t="s">
        <v>1791</v>
      </c>
    </row>
    <row r="129" customFormat="false" ht="15" hidden="false" customHeight="true" outlineLevel="0" collapsed="false">
      <c r="A129" s="30" t="s">
        <v>236</v>
      </c>
      <c r="B129" s="31" t="s">
        <v>237</v>
      </c>
      <c r="C129" s="30" t="s">
        <v>42</v>
      </c>
      <c r="D129" s="31" t="s">
        <v>1791</v>
      </c>
    </row>
    <row r="130" customFormat="false" ht="15" hidden="false" customHeight="true" outlineLevel="0" collapsed="false">
      <c r="A130" s="30" t="s">
        <v>238</v>
      </c>
      <c r="B130" s="31" t="s">
        <v>181</v>
      </c>
      <c r="C130" s="30" t="s">
        <v>42</v>
      </c>
      <c r="D130" s="31" t="s">
        <v>1791</v>
      </c>
    </row>
    <row r="131" customFormat="false" ht="15" hidden="false" customHeight="true" outlineLevel="0" collapsed="false">
      <c r="A131" s="30" t="s">
        <v>239</v>
      </c>
      <c r="B131" s="31" t="s">
        <v>107</v>
      </c>
      <c r="C131" s="30" t="s">
        <v>42</v>
      </c>
      <c r="D131" s="31" t="s">
        <v>1791</v>
      </c>
    </row>
    <row r="132" customFormat="false" ht="15" hidden="false" customHeight="true" outlineLevel="0" collapsed="false">
      <c r="A132" s="30" t="s">
        <v>240</v>
      </c>
      <c r="B132" s="31" t="s">
        <v>231</v>
      </c>
      <c r="C132" s="30" t="s">
        <v>42</v>
      </c>
      <c r="D132" s="31" t="s">
        <v>1791</v>
      </c>
    </row>
    <row r="133" customFormat="false" ht="15" hidden="false" customHeight="true" outlineLevel="0" collapsed="false">
      <c r="A133" s="30" t="s">
        <v>241</v>
      </c>
      <c r="B133" s="31" t="s">
        <v>233</v>
      </c>
      <c r="C133" s="30" t="s">
        <v>42</v>
      </c>
      <c r="D133" s="31" t="s">
        <v>1791</v>
      </c>
    </row>
    <row r="134" customFormat="false" ht="15" hidden="false" customHeight="true" outlineLevel="0" collapsed="false">
      <c r="A134" s="30" t="s">
        <v>242</v>
      </c>
      <c r="B134" s="31" t="s">
        <v>235</v>
      </c>
      <c r="C134" s="30" t="s">
        <v>42</v>
      </c>
      <c r="D134" s="31" t="s">
        <v>1791</v>
      </c>
    </row>
    <row r="135" customFormat="false" ht="15" hidden="false" customHeight="true" outlineLevel="0" collapsed="false">
      <c r="A135" s="30" t="s">
        <v>243</v>
      </c>
      <c r="B135" s="31" t="s">
        <v>237</v>
      </c>
      <c r="C135" s="30" t="s">
        <v>42</v>
      </c>
      <c r="D135" s="31" t="s">
        <v>1791</v>
      </c>
    </row>
    <row r="136" customFormat="false" ht="15" hidden="false" customHeight="true" outlineLevel="0" collapsed="false">
      <c r="A136" s="30" t="s">
        <v>244</v>
      </c>
      <c r="B136" s="31" t="s">
        <v>181</v>
      </c>
      <c r="C136" s="30" t="s">
        <v>42</v>
      </c>
      <c r="D136" s="31" t="s">
        <v>1791</v>
      </c>
    </row>
    <row r="137" customFormat="false" ht="15" hidden="false" customHeight="true" outlineLevel="0" collapsed="false">
      <c r="A137" s="30" t="s">
        <v>245</v>
      </c>
      <c r="B137" s="31" t="s">
        <v>66</v>
      </c>
      <c r="C137" s="30" t="s">
        <v>246</v>
      </c>
      <c r="D137" s="31" t="s">
        <v>1792</v>
      </c>
    </row>
    <row r="138" customFormat="false" ht="15" hidden="false" customHeight="true" outlineLevel="0" collapsed="false">
      <c r="A138" s="30" t="s">
        <v>247</v>
      </c>
      <c r="B138" s="31" t="s">
        <v>165</v>
      </c>
      <c r="C138" s="30" t="s">
        <v>246</v>
      </c>
      <c r="D138" s="31" t="s">
        <v>1792</v>
      </c>
    </row>
    <row r="139" customFormat="false" ht="15" hidden="false" customHeight="true" outlineLevel="0" collapsed="false">
      <c r="A139" s="30" t="s">
        <v>248</v>
      </c>
      <c r="B139" s="31" t="s">
        <v>66</v>
      </c>
      <c r="C139" s="30" t="s">
        <v>246</v>
      </c>
      <c r="D139" s="31" t="s">
        <v>1792</v>
      </c>
    </row>
    <row r="140" customFormat="false" ht="15" hidden="false" customHeight="true" outlineLevel="0" collapsed="false">
      <c r="A140" s="30" t="s">
        <v>249</v>
      </c>
      <c r="B140" s="31" t="s">
        <v>250</v>
      </c>
      <c r="C140" s="30" t="s">
        <v>246</v>
      </c>
      <c r="D140" s="31" t="s">
        <v>1792</v>
      </c>
    </row>
    <row r="141" customFormat="false" ht="15" hidden="false" customHeight="true" outlineLevel="0" collapsed="false">
      <c r="A141" s="30" t="s">
        <v>251</v>
      </c>
      <c r="B141" s="31" t="s">
        <v>165</v>
      </c>
      <c r="C141" s="30" t="s">
        <v>246</v>
      </c>
      <c r="D141" s="31" t="s">
        <v>1792</v>
      </c>
    </row>
    <row r="142" customFormat="false" ht="15" hidden="false" customHeight="true" outlineLevel="0" collapsed="false">
      <c r="A142" s="30" t="s">
        <v>252</v>
      </c>
      <c r="B142" s="31" t="s">
        <v>66</v>
      </c>
      <c r="C142" s="30" t="s">
        <v>246</v>
      </c>
      <c r="D142" s="31" t="s">
        <v>1792</v>
      </c>
    </row>
    <row r="143" customFormat="false" ht="15" hidden="false" customHeight="true" outlineLevel="0" collapsed="false">
      <c r="A143" s="30" t="s">
        <v>253</v>
      </c>
      <c r="B143" s="31" t="s">
        <v>254</v>
      </c>
      <c r="C143" s="30" t="s">
        <v>246</v>
      </c>
      <c r="D143" s="31" t="s">
        <v>1792</v>
      </c>
    </row>
    <row r="144" customFormat="false" ht="15" hidden="false" customHeight="true" outlineLevel="0" collapsed="false">
      <c r="A144" s="30" t="s">
        <v>255</v>
      </c>
      <c r="B144" s="31" t="s">
        <v>256</v>
      </c>
      <c r="C144" s="30" t="s">
        <v>246</v>
      </c>
      <c r="D144" s="31" t="s">
        <v>1792</v>
      </c>
    </row>
    <row r="145" customFormat="false" ht="15" hidden="false" customHeight="true" outlineLevel="0" collapsed="false">
      <c r="A145" s="30" t="s">
        <v>257</v>
      </c>
      <c r="B145" s="31" t="s">
        <v>66</v>
      </c>
      <c r="C145" s="30" t="s">
        <v>246</v>
      </c>
      <c r="D145" s="31" t="s">
        <v>1792</v>
      </c>
    </row>
    <row r="146" customFormat="false" ht="15" hidden="false" customHeight="true" outlineLevel="0" collapsed="false">
      <c r="A146" s="30" t="s">
        <v>258</v>
      </c>
      <c r="B146" s="31" t="s">
        <v>250</v>
      </c>
      <c r="C146" s="30" t="s">
        <v>246</v>
      </c>
      <c r="D146" s="31" t="s">
        <v>1792</v>
      </c>
    </row>
    <row r="147" customFormat="false" ht="15" hidden="false" customHeight="true" outlineLevel="0" collapsed="false">
      <c r="A147" s="30" t="s">
        <v>259</v>
      </c>
      <c r="B147" s="31" t="s">
        <v>66</v>
      </c>
      <c r="C147" s="30" t="s">
        <v>246</v>
      </c>
      <c r="D147" s="31" t="s">
        <v>1792</v>
      </c>
    </row>
    <row r="148" customFormat="false" ht="15" hidden="false" customHeight="true" outlineLevel="0" collapsed="false">
      <c r="A148" s="30" t="s">
        <v>260</v>
      </c>
      <c r="B148" s="31" t="s">
        <v>66</v>
      </c>
      <c r="C148" s="30" t="s">
        <v>246</v>
      </c>
      <c r="D148" s="31" t="s">
        <v>1792</v>
      </c>
    </row>
    <row r="149" customFormat="false" ht="15" hidden="false" customHeight="true" outlineLevel="0" collapsed="false">
      <c r="A149" s="30" t="s">
        <v>261</v>
      </c>
      <c r="B149" s="31" t="s">
        <v>165</v>
      </c>
      <c r="C149" s="30" t="s">
        <v>246</v>
      </c>
      <c r="D149" s="31" t="s">
        <v>1792</v>
      </c>
    </row>
    <row r="150" customFormat="false" ht="15" hidden="false" customHeight="true" outlineLevel="0" collapsed="false">
      <c r="A150" s="30" t="s">
        <v>262</v>
      </c>
      <c r="B150" s="31" t="s">
        <v>263</v>
      </c>
      <c r="C150" s="30" t="s">
        <v>246</v>
      </c>
      <c r="D150" s="31" t="s">
        <v>1792</v>
      </c>
    </row>
    <row r="151" customFormat="false" ht="15" hidden="false" customHeight="true" outlineLevel="0" collapsed="false">
      <c r="A151" s="30" t="s">
        <v>264</v>
      </c>
      <c r="B151" s="31" t="s">
        <v>265</v>
      </c>
      <c r="C151" s="30" t="s">
        <v>246</v>
      </c>
      <c r="D151" s="31" t="s">
        <v>1792</v>
      </c>
    </row>
    <row r="152" customFormat="false" ht="15" hidden="false" customHeight="true" outlineLevel="0" collapsed="false">
      <c r="A152" s="30" t="s">
        <v>266</v>
      </c>
      <c r="B152" s="31" t="s">
        <v>267</v>
      </c>
      <c r="C152" s="30" t="s">
        <v>246</v>
      </c>
      <c r="D152" s="31" t="s">
        <v>1792</v>
      </c>
    </row>
    <row r="153" customFormat="false" ht="15" hidden="false" customHeight="true" outlineLevel="0" collapsed="false">
      <c r="A153" s="30" t="s">
        <v>268</v>
      </c>
      <c r="B153" s="31" t="s">
        <v>269</v>
      </c>
      <c r="C153" s="30" t="s">
        <v>246</v>
      </c>
      <c r="D153" s="31" t="s">
        <v>1792</v>
      </c>
    </row>
    <row r="154" customFormat="false" ht="15" hidden="false" customHeight="true" outlineLevel="0" collapsed="false">
      <c r="A154" s="30" t="s">
        <v>270</v>
      </c>
      <c r="B154" s="31" t="s">
        <v>271</v>
      </c>
      <c r="C154" s="30" t="s">
        <v>246</v>
      </c>
      <c r="D154" s="31" t="s">
        <v>1792</v>
      </c>
    </row>
    <row r="155" customFormat="false" ht="15" hidden="false" customHeight="true" outlineLevel="0" collapsed="false">
      <c r="A155" s="30" t="s">
        <v>272</v>
      </c>
      <c r="B155" s="31" t="s">
        <v>273</v>
      </c>
      <c r="C155" s="30" t="s">
        <v>246</v>
      </c>
      <c r="D155" s="31" t="s">
        <v>1792</v>
      </c>
    </row>
    <row r="156" customFormat="false" ht="15" hidden="false" customHeight="true" outlineLevel="0" collapsed="false">
      <c r="A156" s="30" t="s">
        <v>274</v>
      </c>
      <c r="B156" s="31" t="s">
        <v>275</v>
      </c>
      <c r="C156" s="30" t="s">
        <v>246</v>
      </c>
      <c r="D156" s="31" t="s">
        <v>1792</v>
      </c>
    </row>
    <row r="157" customFormat="false" ht="15" hidden="false" customHeight="true" outlineLevel="0" collapsed="false">
      <c r="A157" s="30" t="s">
        <v>276</v>
      </c>
      <c r="B157" s="31" t="s">
        <v>277</v>
      </c>
      <c r="C157" s="30" t="s">
        <v>246</v>
      </c>
      <c r="D157" s="31" t="s">
        <v>1792</v>
      </c>
    </row>
    <row r="158" customFormat="false" ht="15" hidden="false" customHeight="true" outlineLevel="0" collapsed="false">
      <c r="A158" s="30" t="s">
        <v>278</v>
      </c>
      <c r="B158" s="31" t="s">
        <v>66</v>
      </c>
      <c r="C158" s="30" t="s">
        <v>246</v>
      </c>
      <c r="D158" s="31" t="s">
        <v>1792</v>
      </c>
    </row>
    <row r="159" customFormat="false" ht="15" hidden="false" customHeight="true" outlineLevel="0" collapsed="false">
      <c r="A159" s="30" t="s">
        <v>279</v>
      </c>
      <c r="B159" s="31" t="s">
        <v>280</v>
      </c>
      <c r="C159" s="30" t="s">
        <v>246</v>
      </c>
      <c r="D159" s="31" t="s">
        <v>1792</v>
      </c>
    </row>
    <row r="160" customFormat="false" ht="15" hidden="false" customHeight="true" outlineLevel="0" collapsed="false">
      <c r="A160" s="30" t="s">
        <v>281</v>
      </c>
      <c r="B160" s="31" t="s">
        <v>165</v>
      </c>
      <c r="C160" s="30" t="s">
        <v>246</v>
      </c>
      <c r="D160" s="31" t="s">
        <v>1792</v>
      </c>
    </row>
    <row r="161" customFormat="false" ht="15" hidden="false" customHeight="true" outlineLevel="0" collapsed="false">
      <c r="A161" s="30" t="s">
        <v>282</v>
      </c>
      <c r="B161" s="31" t="s">
        <v>66</v>
      </c>
      <c r="C161" s="30" t="s">
        <v>246</v>
      </c>
      <c r="D161" s="31" t="s">
        <v>1792</v>
      </c>
    </row>
    <row r="162" customFormat="false" ht="15" hidden="false" customHeight="true" outlineLevel="0" collapsed="false">
      <c r="A162" s="30" t="s">
        <v>283</v>
      </c>
      <c r="B162" s="31" t="s">
        <v>280</v>
      </c>
      <c r="C162" s="30" t="s">
        <v>246</v>
      </c>
      <c r="D162" s="31" t="s">
        <v>1792</v>
      </c>
    </row>
    <row r="163" customFormat="false" ht="15" hidden="false" customHeight="true" outlineLevel="0" collapsed="false">
      <c r="A163" s="30" t="s">
        <v>284</v>
      </c>
      <c r="B163" s="31" t="s">
        <v>285</v>
      </c>
      <c r="C163" s="30" t="s">
        <v>246</v>
      </c>
      <c r="D163" s="31" t="s">
        <v>1792</v>
      </c>
    </row>
    <row r="164" customFormat="false" ht="15" hidden="false" customHeight="true" outlineLevel="0" collapsed="false">
      <c r="A164" s="30" t="s">
        <v>286</v>
      </c>
      <c r="B164" s="31" t="s">
        <v>165</v>
      </c>
      <c r="C164" s="30" t="s">
        <v>246</v>
      </c>
      <c r="D164" s="31" t="s">
        <v>1792</v>
      </c>
    </row>
    <row r="165" customFormat="false" ht="15" hidden="false" customHeight="true" outlineLevel="0" collapsed="false">
      <c r="A165" s="30" t="s">
        <v>287</v>
      </c>
      <c r="B165" s="31" t="s">
        <v>66</v>
      </c>
      <c r="C165" s="30" t="s">
        <v>246</v>
      </c>
      <c r="D165" s="31" t="s">
        <v>1792</v>
      </c>
    </row>
    <row r="166" customFormat="false" ht="15" hidden="false" customHeight="true" outlineLevel="0" collapsed="false">
      <c r="A166" s="30" t="s">
        <v>288</v>
      </c>
      <c r="B166" s="31" t="s">
        <v>280</v>
      </c>
      <c r="C166" s="30" t="s">
        <v>246</v>
      </c>
      <c r="D166" s="31" t="s">
        <v>1792</v>
      </c>
    </row>
    <row r="167" customFormat="false" ht="15" hidden="false" customHeight="true" outlineLevel="0" collapsed="false">
      <c r="A167" s="30" t="s">
        <v>289</v>
      </c>
      <c r="B167" s="31" t="s">
        <v>250</v>
      </c>
      <c r="C167" s="30" t="s">
        <v>246</v>
      </c>
      <c r="D167" s="31" t="s">
        <v>1792</v>
      </c>
    </row>
    <row r="168" customFormat="false" ht="15" hidden="false" customHeight="true" outlineLevel="0" collapsed="false">
      <c r="A168" s="30" t="s">
        <v>290</v>
      </c>
      <c r="B168" s="31" t="s">
        <v>165</v>
      </c>
      <c r="C168" s="30" t="s">
        <v>246</v>
      </c>
      <c r="D168" s="31" t="s">
        <v>1792</v>
      </c>
    </row>
    <row r="169" customFormat="false" ht="15" hidden="false" customHeight="true" outlineLevel="0" collapsed="false">
      <c r="A169" s="30" t="s">
        <v>291</v>
      </c>
      <c r="B169" s="31" t="s">
        <v>66</v>
      </c>
      <c r="C169" s="30" t="s">
        <v>246</v>
      </c>
      <c r="D169" s="31" t="s">
        <v>1792</v>
      </c>
    </row>
    <row r="170" customFormat="false" ht="15" hidden="false" customHeight="true" outlineLevel="0" collapsed="false">
      <c r="A170" s="30" t="s">
        <v>292</v>
      </c>
      <c r="B170" s="31" t="s">
        <v>280</v>
      </c>
      <c r="C170" s="30" t="s">
        <v>246</v>
      </c>
      <c r="D170" s="31" t="s">
        <v>1792</v>
      </c>
    </row>
    <row r="171" customFormat="false" ht="15" hidden="false" customHeight="true" outlineLevel="0" collapsed="false">
      <c r="A171" s="30" t="s">
        <v>293</v>
      </c>
      <c r="B171" s="31" t="s">
        <v>250</v>
      </c>
      <c r="C171" s="30" t="s">
        <v>246</v>
      </c>
      <c r="D171" s="31" t="s">
        <v>1792</v>
      </c>
    </row>
    <row r="172" customFormat="false" ht="15" hidden="false" customHeight="true" outlineLevel="0" collapsed="false">
      <c r="A172" s="30" t="s">
        <v>294</v>
      </c>
      <c r="B172" s="31" t="s">
        <v>165</v>
      </c>
      <c r="C172" s="30" t="s">
        <v>246</v>
      </c>
      <c r="D172" s="31" t="s">
        <v>1792</v>
      </c>
    </row>
    <row r="173" customFormat="false" ht="15" hidden="false" customHeight="true" outlineLevel="0" collapsed="false">
      <c r="A173" s="30" t="s">
        <v>295</v>
      </c>
      <c r="B173" s="31" t="s">
        <v>66</v>
      </c>
      <c r="C173" s="30" t="s">
        <v>246</v>
      </c>
      <c r="D173" s="31" t="s">
        <v>1792</v>
      </c>
    </row>
    <row r="174" customFormat="false" ht="15" hidden="false" customHeight="true" outlineLevel="0" collapsed="false">
      <c r="A174" s="30" t="s">
        <v>296</v>
      </c>
      <c r="B174" s="31" t="s">
        <v>280</v>
      </c>
      <c r="C174" s="30" t="s">
        <v>246</v>
      </c>
      <c r="D174" s="31" t="s">
        <v>1792</v>
      </c>
    </row>
    <row r="175" customFormat="false" ht="15" hidden="false" customHeight="true" outlineLevel="0" collapsed="false">
      <c r="A175" s="30" t="s">
        <v>297</v>
      </c>
      <c r="B175" s="31" t="s">
        <v>66</v>
      </c>
      <c r="C175" s="30" t="s">
        <v>246</v>
      </c>
      <c r="D175" s="31" t="s">
        <v>1792</v>
      </c>
    </row>
    <row r="176" customFormat="false" ht="15" hidden="false" customHeight="true" outlineLevel="0" collapsed="false">
      <c r="A176" s="30" t="s">
        <v>298</v>
      </c>
      <c r="B176" s="31" t="s">
        <v>280</v>
      </c>
      <c r="C176" s="30" t="s">
        <v>246</v>
      </c>
      <c r="D176" s="31" t="s">
        <v>1792</v>
      </c>
    </row>
    <row r="177" customFormat="false" ht="15" hidden="false" customHeight="true" outlineLevel="0" collapsed="false">
      <c r="A177" s="30" t="s">
        <v>299</v>
      </c>
      <c r="B177" s="31" t="s">
        <v>250</v>
      </c>
      <c r="C177" s="30" t="s">
        <v>246</v>
      </c>
      <c r="D177" s="31" t="s">
        <v>1792</v>
      </c>
    </row>
    <row r="178" customFormat="false" ht="15" hidden="false" customHeight="true" outlineLevel="0" collapsed="false">
      <c r="A178" s="30" t="s">
        <v>300</v>
      </c>
      <c r="B178" s="31" t="s">
        <v>66</v>
      </c>
      <c r="C178" s="30" t="s">
        <v>246</v>
      </c>
      <c r="D178" s="31" t="s">
        <v>1792</v>
      </c>
    </row>
    <row r="179" customFormat="false" ht="15" hidden="false" customHeight="true" outlineLevel="0" collapsed="false">
      <c r="A179" s="30" t="s">
        <v>301</v>
      </c>
      <c r="B179" s="31" t="s">
        <v>280</v>
      </c>
      <c r="C179" s="30" t="s">
        <v>246</v>
      </c>
      <c r="D179" s="31" t="s">
        <v>1792</v>
      </c>
    </row>
    <row r="180" customFormat="false" ht="15" hidden="false" customHeight="true" outlineLevel="0" collapsed="false">
      <c r="A180" s="30" t="s">
        <v>299</v>
      </c>
      <c r="B180" s="31" t="s">
        <v>250</v>
      </c>
      <c r="C180" s="30" t="s">
        <v>246</v>
      </c>
      <c r="D180" s="31" t="s">
        <v>1792</v>
      </c>
    </row>
    <row r="181" customFormat="false" ht="15" hidden="false" customHeight="true" outlineLevel="0" collapsed="false">
      <c r="A181" s="30" t="s">
        <v>302</v>
      </c>
      <c r="B181" s="31" t="s">
        <v>66</v>
      </c>
      <c r="C181" s="30" t="s">
        <v>246</v>
      </c>
      <c r="D181" s="31" t="s">
        <v>1792</v>
      </c>
    </row>
    <row r="182" customFormat="false" ht="15" hidden="false" customHeight="true" outlineLevel="0" collapsed="false">
      <c r="A182" s="30" t="s">
        <v>303</v>
      </c>
      <c r="B182" s="31" t="s">
        <v>280</v>
      </c>
      <c r="C182" s="30" t="s">
        <v>246</v>
      </c>
      <c r="D182" s="31" t="s">
        <v>1792</v>
      </c>
    </row>
    <row r="183" customFormat="false" ht="15" hidden="false" customHeight="true" outlineLevel="0" collapsed="false">
      <c r="A183" s="30" t="s">
        <v>304</v>
      </c>
      <c r="B183" s="31" t="s">
        <v>66</v>
      </c>
      <c r="C183" s="30" t="s">
        <v>246</v>
      </c>
      <c r="D183" s="31" t="s">
        <v>1792</v>
      </c>
    </row>
    <row r="184" customFormat="false" ht="15" hidden="false" customHeight="true" outlineLevel="0" collapsed="false">
      <c r="A184" s="30" t="s">
        <v>305</v>
      </c>
      <c r="B184" s="31" t="s">
        <v>280</v>
      </c>
      <c r="C184" s="30" t="s">
        <v>246</v>
      </c>
      <c r="D184" s="31" t="s">
        <v>1792</v>
      </c>
    </row>
    <row r="185" customFormat="false" ht="15" hidden="false" customHeight="true" outlineLevel="0" collapsed="false">
      <c r="A185" s="30" t="s">
        <v>306</v>
      </c>
      <c r="B185" s="31" t="s">
        <v>66</v>
      </c>
      <c r="C185" s="30" t="s">
        <v>246</v>
      </c>
      <c r="D185" s="31" t="s">
        <v>1792</v>
      </c>
    </row>
    <row r="186" customFormat="false" ht="15" hidden="false" customHeight="true" outlineLevel="0" collapsed="false">
      <c r="A186" s="30" t="s">
        <v>307</v>
      </c>
      <c r="B186" s="31" t="s">
        <v>280</v>
      </c>
      <c r="C186" s="30" t="s">
        <v>246</v>
      </c>
      <c r="D186" s="31" t="s">
        <v>1792</v>
      </c>
    </row>
    <row r="187" customFormat="false" ht="15" hidden="false" customHeight="true" outlineLevel="0" collapsed="false">
      <c r="A187" s="30" t="s">
        <v>308</v>
      </c>
      <c r="B187" s="31" t="s">
        <v>66</v>
      </c>
      <c r="C187" s="30" t="s">
        <v>246</v>
      </c>
      <c r="D187" s="31" t="s">
        <v>1792</v>
      </c>
    </row>
    <row r="188" customFormat="false" ht="15" hidden="false" customHeight="true" outlineLevel="0" collapsed="false">
      <c r="A188" s="30" t="s">
        <v>309</v>
      </c>
      <c r="B188" s="31" t="s">
        <v>280</v>
      </c>
      <c r="C188" s="30" t="s">
        <v>246</v>
      </c>
      <c r="D188" s="31" t="s">
        <v>1792</v>
      </c>
    </row>
    <row r="189" customFormat="false" ht="15" hidden="false" customHeight="true" outlineLevel="0" collapsed="false">
      <c r="A189" s="30" t="s">
        <v>310</v>
      </c>
      <c r="B189" s="31" t="s">
        <v>66</v>
      </c>
      <c r="C189" s="30" t="s">
        <v>246</v>
      </c>
      <c r="D189" s="31" t="s">
        <v>1792</v>
      </c>
    </row>
    <row r="190" customFormat="false" ht="15" hidden="false" customHeight="true" outlineLevel="0" collapsed="false">
      <c r="A190" s="30" t="s">
        <v>311</v>
      </c>
      <c r="B190" s="31" t="s">
        <v>280</v>
      </c>
      <c r="C190" s="30" t="s">
        <v>246</v>
      </c>
      <c r="D190" s="31" t="s">
        <v>1792</v>
      </c>
    </row>
    <row r="191" customFormat="false" ht="15" hidden="false" customHeight="true" outlineLevel="0" collapsed="false">
      <c r="A191" s="30" t="s">
        <v>312</v>
      </c>
      <c r="B191" s="31" t="s">
        <v>66</v>
      </c>
      <c r="C191" s="30" t="s">
        <v>246</v>
      </c>
      <c r="D191" s="31" t="s">
        <v>1792</v>
      </c>
    </row>
    <row r="192" customFormat="false" ht="15" hidden="false" customHeight="true" outlineLevel="0" collapsed="false">
      <c r="A192" s="30" t="s">
        <v>313</v>
      </c>
      <c r="B192" s="31" t="s">
        <v>280</v>
      </c>
      <c r="C192" s="30" t="s">
        <v>246</v>
      </c>
      <c r="D192" s="31" t="s">
        <v>1792</v>
      </c>
    </row>
    <row r="193" customFormat="false" ht="15" hidden="false" customHeight="true" outlineLevel="0" collapsed="false">
      <c r="A193" s="30" t="s">
        <v>314</v>
      </c>
      <c r="B193" s="31" t="s">
        <v>66</v>
      </c>
      <c r="C193" s="30" t="s">
        <v>246</v>
      </c>
      <c r="D193" s="31" t="s">
        <v>1792</v>
      </c>
    </row>
    <row r="194" customFormat="false" ht="15" hidden="false" customHeight="true" outlineLevel="0" collapsed="false">
      <c r="A194" s="30" t="s">
        <v>315</v>
      </c>
      <c r="B194" s="31" t="s">
        <v>280</v>
      </c>
      <c r="C194" s="30" t="s">
        <v>246</v>
      </c>
      <c r="D194" s="31" t="s">
        <v>1792</v>
      </c>
    </row>
    <row r="195" customFormat="false" ht="15" hidden="false" customHeight="true" outlineLevel="0" collapsed="false">
      <c r="A195" s="30" t="s">
        <v>316</v>
      </c>
      <c r="B195" s="31" t="s">
        <v>66</v>
      </c>
      <c r="C195" s="30" t="s">
        <v>246</v>
      </c>
      <c r="D195" s="31" t="s">
        <v>1792</v>
      </c>
    </row>
    <row r="196" customFormat="false" ht="15" hidden="false" customHeight="true" outlineLevel="0" collapsed="false">
      <c r="A196" s="30" t="s">
        <v>317</v>
      </c>
      <c r="B196" s="31" t="s">
        <v>280</v>
      </c>
      <c r="C196" s="30" t="s">
        <v>246</v>
      </c>
      <c r="D196" s="31" t="s">
        <v>1792</v>
      </c>
    </row>
    <row r="197" customFormat="false" ht="15" hidden="false" customHeight="true" outlineLevel="0" collapsed="false">
      <c r="A197" s="30" t="s">
        <v>318</v>
      </c>
      <c r="B197" s="31" t="s">
        <v>66</v>
      </c>
      <c r="C197" s="30" t="s">
        <v>246</v>
      </c>
      <c r="D197" s="31" t="s">
        <v>1792</v>
      </c>
    </row>
    <row r="198" customFormat="false" ht="15" hidden="false" customHeight="true" outlineLevel="0" collapsed="false">
      <c r="A198" s="30" t="s">
        <v>319</v>
      </c>
      <c r="B198" s="31" t="s">
        <v>280</v>
      </c>
      <c r="C198" s="30" t="s">
        <v>246</v>
      </c>
      <c r="D198" s="31" t="s">
        <v>1792</v>
      </c>
    </row>
    <row r="199" customFormat="false" ht="15" hidden="false" customHeight="true" outlineLevel="0" collapsed="false">
      <c r="A199" s="30" t="s">
        <v>320</v>
      </c>
      <c r="B199" s="31" t="s">
        <v>66</v>
      </c>
      <c r="C199" s="30" t="s">
        <v>246</v>
      </c>
      <c r="D199" s="31" t="s">
        <v>1792</v>
      </c>
    </row>
    <row r="200" customFormat="false" ht="15" hidden="false" customHeight="true" outlineLevel="0" collapsed="false">
      <c r="A200" s="30" t="s">
        <v>321</v>
      </c>
      <c r="B200" s="31" t="s">
        <v>280</v>
      </c>
      <c r="C200" s="30" t="s">
        <v>246</v>
      </c>
      <c r="D200" s="31" t="s">
        <v>1792</v>
      </c>
    </row>
    <row r="201" customFormat="false" ht="15" hidden="false" customHeight="true" outlineLevel="0" collapsed="false">
      <c r="A201" s="30" t="s">
        <v>322</v>
      </c>
      <c r="B201" s="31" t="s">
        <v>66</v>
      </c>
      <c r="C201" s="30" t="s">
        <v>246</v>
      </c>
      <c r="D201" s="31" t="s">
        <v>1792</v>
      </c>
    </row>
    <row r="202" customFormat="false" ht="15" hidden="false" customHeight="true" outlineLevel="0" collapsed="false">
      <c r="A202" s="30" t="s">
        <v>323</v>
      </c>
      <c r="B202" s="31" t="s">
        <v>280</v>
      </c>
      <c r="C202" s="30" t="s">
        <v>246</v>
      </c>
      <c r="D202" s="31" t="s">
        <v>1792</v>
      </c>
    </row>
    <row r="203" customFormat="false" ht="15" hidden="false" customHeight="true" outlineLevel="0" collapsed="false">
      <c r="A203" s="30" t="s">
        <v>324</v>
      </c>
      <c r="B203" s="31" t="s">
        <v>66</v>
      </c>
      <c r="C203" s="30" t="s">
        <v>246</v>
      </c>
      <c r="D203" s="31" t="s">
        <v>1792</v>
      </c>
    </row>
    <row r="204" customFormat="false" ht="15" hidden="false" customHeight="true" outlineLevel="0" collapsed="false">
      <c r="A204" s="30" t="s">
        <v>325</v>
      </c>
      <c r="B204" s="31" t="s">
        <v>285</v>
      </c>
      <c r="C204" s="30" t="s">
        <v>246</v>
      </c>
      <c r="D204" s="31" t="s">
        <v>1792</v>
      </c>
    </row>
    <row r="205" customFormat="false" ht="15" hidden="false" customHeight="true" outlineLevel="0" collapsed="false">
      <c r="A205" s="30" t="s">
        <v>326</v>
      </c>
      <c r="B205" s="31" t="s">
        <v>165</v>
      </c>
      <c r="C205" s="30" t="s">
        <v>246</v>
      </c>
      <c r="D205" s="31" t="s">
        <v>1792</v>
      </c>
    </row>
    <row r="206" customFormat="false" ht="15" hidden="false" customHeight="true" outlineLevel="0" collapsed="false">
      <c r="A206" s="30" t="s">
        <v>327</v>
      </c>
      <c r="B206" s="31" t="s">
        <v>66</v>
      </c>
      <c r="C206" s="30" t="s">
        <v>246</v>
      </c>
      <c r="D206" s="31" t="s">
        <v>1792</v>
      </c>
    </row>
    <row r="207" customFormat="false" ht="15" hidden="false" customHeight="true" outlineLevel="0" collapsed="false">
      <c r="A207" s="30" t="s">
        <v>328</v>
      </c>
      <c r="B207" s="31" t="s">
        <v>285</v>
      </c>
      <c r="C207" s="30" t="s">
        <v>246</v>
      </c>
      <c r="D207" s="31" t="s">
        <v>1792</v>
      </c>
    </row>
    <row r="208" customFormat="false" ht="15" hidden="false" customHeight="true" outlineLevel="0" collapsed="false">
      <c r="A208" s="30" t="s">
        <v>329</v>
      </c>
      <c r="B208" s="31" t="s">
        <v>165</v>
      </c>
      <c r="C208" s="30" t="s">
        <v>246</v>
      </c>
      <c r="D208" s="31" t="s">
        <v>1792</v>
      </c>
    </row>
    <row r="209" customFormat="false" ht="15" hidden="false" customHeight="true" outlineLevel="0" collapsed="false">
      <c r="A209" s="30" t="s">
        <v>330</v>
      </c>
      <c r="B209" s="31" t="s">
        <v>66</v>
      </c>
      <c r="C209" s="30" t="s">
        <v>246</v>
      </c>
      <c r="D209" s="31" t="s">
        <v>1792</v>
      </c>
    </row>
    <row r="210" customFormat="false" ht="15" hidden="false" customHeight="true" outlineLevel="0" collapsed="false">
      <c r="A210" s="30" t="s">
        <v>331</v>
      </c>
      <c r="B210" s="31" t="s">
        <v>280</v>
      </c>
      <c r="C210" s="30" t="s">
        <v>246</v>
      </c>
      <c r="D210" s="31" t="s">
        <v>1792</v>
      </c>
    </row>
    <row r="211" customFormat="false" ht="15" hidden="false" customHeight="true" outlineLevel="0" collapsed="false">
      <c r="A211" s="30" t="s">
        <v>332</v>
      </c>
      <c r="B211" s="31" t="s">
        <v>250</v>
      </c>
      <c r="C211" s="30" t="s">
        <v>246</v>
      </c>
      <c r="D211" s="31" t="s">
        <v>1792</v>
      </c>
    </row>
    <row r="212" customFormat="false" ht="15" hidden="false" customHeight="true" outlineLevel="0" collapsed="false">
      <c r="A212" s="30" t="s">
        <v>333</v>
      </c>
      <c r="B212" s="31" t="s">
        <v>66</v>
      </c>
      <c r="C212" s="30" t="s">
        <v>246</v>
      </c>
      <c r="D212" s="31" t="s">
        <v>1792</v>
      </c>
    </row>
    <row r="213" customFormat="false" ht="15" hidden="false" customHeight="true" outlineLevel="0" collapsed="false">
      <c r="A213" s="30" t="s">
        <v>334</v>
      </c>
      <c r="B213" s="31" t="s">
        <v>280</v>
      </c>
      <c r="C213" s="30" t="s">
        <v>246</v>
      </c>
      <c r="D213" s="31" t="s">
        <v>1792</v>
      </c>
    </row>
    <row r="214" customFormat="false" ht="15" hidden="false" customHeight="true" outlineLevel="0" collapsed="false">
      <c r="A214" s="30" t="s">
        <v>335</v>
      </c>
      <c r="B214" s="31" t="s">
        <v>250</v>
      </c>
      <c r="C214" s="30" t="s">
        <v>246</v>
      </c>
      <c r="D214" s="31" t="s">
        <v>1792</v>
      </c>
    </row>
    <row r="215" customFormat="false" ht="15" hidden="false" customHeight="true" outlineLevel="0" collapsed="false">
      <c r="A215" s="30" t="s">
        <v>336</v>
      </c>
      <c r="B215" s="31" t="s">
        <v>165</v>
      </c>
      <c r="C215" s="30" t="s">
        <v>246</v>
      </c>
      <c r="D215" s="31" t="s">
        <v>1792</v>
      </c>
    </row>
    <row r="216" customFormat="false" ht="15" hidden="false" customHeight="true" outlineLevel="0" collapsed="false">
      <c r="A216" s="30" t="s">
        <v>337</v>
      </c>
      <c r="B216" s="31" t="s">
        <v>66</v>
      </c>
      <c r="C216" s="30" t="s">
        <v>246</v>
      </c>
      <c r="D216" s="31" t="s">
        <v>1792</v>
      </c>
    </row>
    <row r="217" customFormat="false" ht="15" hidden="false" customHeight="true" outlineLevel="0" collapsed="false">
      <c r="A217" s="30" t="s">
        <v>338</v>
      </c>
      <c r="B217" s="31" t="s">
        <v>280</v>
      </c>
      <c r="C217" s="30" t="s">
        <v>246</v>
      </c>
      <c r="D217" s="31" t="s">
        <v>1792</v>
      </c>
    </row>
    <row r="218" customFormat="false" ht="15" hidden="false" customHeight="true" outlineLevel="0" collapsed="false">
      <c r="A218" s="30" t="s">
        <v>339</v>
      </c>
      <c r="B218" s="31" t="s">
        <v>250</v>
      </c>
      <c r="C218" s="30" t="s">
        <v>246</v>
      </c>
      <c r="D218" s="31" t="s">
        <v>1792</v>
      </c>
    </row>
    <row r="219" customFormat="false" ht="15" hidden="false" customHeight="true" outlineLevel="0" collapsed="false">
      <c r="A219" s="30" t="s">
        <v>340</v>
      </c>
      <c r="B219" s="31" t="s">
        <v>66</v>
      </c>
      <c r="C219" s="30" t="s">
        <v>246</v>
      </c>
      <c r="D219" s="31" t="s">
        <v>1792</v>
      </c>
    </row>
    <row r="220" customFormat="false" ht="15" hidden="false" customHeight="true" outlineLevel="0" collapsed="false">
      <c r="A220" s="30" t="s">
        <v>341</v>
      </c>
      <c r="B220" s="31" t="s">
        <v>280</v>
      </c>
      <c r="C220" s="30" t="s">
        <v>246</v>
      </c>
      <c r="D220" s="31" t="s">
        <v>1792</v>
      </c>
    </row>
    <row r="221" customFormat="false" ht="15" hidden="false" customHeight="true" outlineLevel="0" collapsed="false">
      <c r="A221" s="30" t="s">
        <v>342</v>
      </c>
      <c r="B221" s="31" t="s">
        <v>250</v>
      </c>
      <c r="C221" s="30" t="s">
        <v>246</v>
      </c>
      <c r="D221" s="31" t="s">
        <v>1792</v>
      </c>
    </row>
    <row r="222" customFormat="false" ht="15" hidden="false" customHeight="true" outlineLevel="0" collapsed="false">
      <c r="A222" s="30" t="s">
        <v>343</v>
      </c>
      <c r="B222" s="31" t="s">
        <v>66</v>
      </c>
      <c r="C222" s="30" t="s">
        <v>246</v>
      </c>
      <c r="D222" s="31" t="s">
        <v>1792</v>
      </c>
    </row>
    <row r="223" customFormat="false" ht="15" hidden="false" customHeight="true" outlineLevel="0" collapsed="false">
      <c r="A223" s="30" t="s">
        <v>344</v>
      </c>
      <c r="B223" s="31" t="s">
        <v>280</v>
      </c>
      <c r="C223" s="30" t="s">
        <v>246</v>
      </c>
      <c r="D223" s="31" t="s">
        <v>1792</v>
      </c>
    </row>
    <row r="224" customFormat="false" ht="15" hidden="false" customHeight="true" outlineLevel="0" collapsed="false">
      <c r="A224" s="30" t="s">
        <v>345</v>
      </c>
      <c r="B224" s="31" t="s">
        <v>66</v>
      </c>
      <c r="C224" s="30" t="s">
        <v>246</v>
      </c>
      <c r="D224" s="31" t="s">
        <v>1792</v>
      </c>
    </row>
    <row r="225" customFormat="false" ht="15" hidden="false" customHeight="true" outlineLevel="0" collapsed="false">
      <c r="A225" s="30" t="s">
        <v>346</v>
      </c>
      <c r="B225" s="31" t="s">
        <v>280</v>
      </c>
      <c r="C225" s="30" t="s">
        <v>246</v>
      </c>
      <c r="D225" s="31" t="s">
        <v>1792</v>
      </c>
    </row>
    <row r="226" customFormat="false" ht="15" hidden="false" customHeight="true" outlineLevel="0" collapsed="false">
      <c r="A226" s="30" t="s">
        <v>347</v>
      </c>
      <c r="B226" s="31" t="s">
        <v>66</v>
      </c>
      <c r="C226" s="30" t="s">
        <v>246</v>
      </c>
      <c r="D226" s="31" t="s">
        <v>1792</v>
      </c>
    </row>
    <row r="227" customFormat="false" ht="15" hidden="false" customHeight="true" outlineLevel="0" collapsed="false">
      <c r="A227" s="30" t="s">
        <v>348</v>
      </c>
      <c r="B227" s="31" t="s">
        <v>280</v>
      </c>
      <c r="C227" s="30" t="s">
        <v>246</v>
      </c>
      <c r="D227" s="31" t="s">
        <v>1792</v>
      </c>
    </row>
    <row r="228" customFormat="false" ht="15" hidden="false" customHeight="true" outlineLevel="0" collapsed="false">
      <c r="A228" s="30" t="s">
        <v>349</v>
      </c>
      <c r="B228" s="31" t="s">
        <v>66</v>
      </c>
      <c r="C228" s="30" t="s">
        <v>246</v>
      </c>
      <c r="D228" s="31" t="s">
        <v>1792</v>
      </c>
    </row>
    <row r="229" customFormat="false" ht="15" hidden="false" customHeight="true" outlineLevel="0" collapsed="false">
      <c r="A229" s="30" t="s">
        <v>350</v>
      </c>
      <c r="B229" s="31" t="s">
        <v>280</v>
      </c>
      <c r="C229" s="30" t="s">
        <v>246</v>
      </c>
      <c r="D229" s="31" t="s">
        <v>1792</v>
      </c>
    </row>
    <row r="230" customFormat="false" ht="15" hidden="false" customHeight="true" outlineLevel="0" collapsed="false">
      <c r="A230" s="30" t="s">
        <v>351</v>
      </c>
      <c r="B230" s="31" t="s">
        <v>66</v>
      </c>
      <c r="C230" s="30" t="s">
        <v>246</v>
      </c>
      <c r="D230" s="31" t="s">
        <v>1792</v>
      </c>
    </row>
    <row r="231" customFormat="false" ht="15" hidden="false" customHeight="true" outlineLevel="0" collapsed="false">
      <c r="A231" s="30" t="s">
        <v>352</v>
      </c>
      <c r="B231" s="31" t="s">
        <v>280</v>
      </c>
      <c r="C231" s="30" t="s">
        <v>246</v>
      </c>
      <c r="D231" s="31" t="s">
        <v>1792</v>
      </c>
    </row>
    <row r="232" customFormat="false" ht="15" hidden="false" customHeight="true" outlineLevel="0" collapsed="false">
      <c r="A232" s="30" t="s">
        <v>353</v>
      </c>
      <c r="B232" s="31" t="s">
        <v>66</v>
      </c>
      <c r="C232" s="30" t="s">
        <v>246</v>
      </c>
      <c r="D232" s="31" t="s">
        <v>1792</v>
      </c>
    </row>
    <row r="233" customFormat="false" ht="15" hidden="false" customHeight="true" outlineLevel="0" collapsed="false">
      <c r="A233" s="30" t="s">
        <v>354</v>
      </c>
      <c r="B233" s="31" t="s">
        <v>280</v>
      </c>
      <c r="C233" s="30" t="s">
        <v>246</v>
      </c>
      <c r="D233" s="31" t="s">
        <v>1792</v>
      </c>
    </row>
    <row r="234" customFormat="false" ht="15" hidden="false" customHeight="true" outlineLevel="0" collapsed="false">
      <c r="A234" s="30" t="s">
        <v>355</v>
      </c>
      <c r="B234" s="31" t="s">
        <v>66</v>
      </c>
      <c r="C234" s="30" t="s">
        <v>246</v>
      </c>
      <c r="D234" s="31" t="s">
        <v>1792</v>
      </c>
    </row>
    <row r="235" customFormat="false" ht="15" hidden="false" customHeight="true" outlineLevel="0" collapsed="false">
      <c r="A235" s="30" t="s">
        <v>356</v>
      </c>
      <c r="B235" s="31" t="s">
        <v>280</v>
      </c>
      <c r="C235" s="30" t="s">
        <v>246</v>
      </c>
      <c r="D235" s="31" t="s">
        <v>1792</v>
      </c>
    </row>
    <row r="236" customFormat="false" ht="15" hidden="false" customHeight="true" outlineLevel="0" collapsed="false">
      <c r="A236" s="30" t="s">
        <v>357</v>
      </c>
      <c r="B236" s="31" t="s">
        <v>66</v>
      </c>
      <c r="C236" s="30" t="s">
        <v>246</v>
      </c>
      <c r="D236" s="31" t="s">
        <v>1792</v>
      </c>
    </row>
    <row r="237" customFormat="false" ht="15" hidden="false" customHeight="true" outlineLevel="0" collapsed="false">
      <c r="A237" s="30" t="s">
        <v>358</v>
      </c>
      <c r="B237" s="31" t="s">
        <v>280</v>
      </c>
      <c r="C237" s="30" t="s">
        <v>246</v>
      </c>
      <c r="D237" s="31" t="s">
        <v>1792</v>
      </c>
    </row>
    <row r="238" customFormat="false" ht="15" hidden="false" customHeight="true" outlineLevel="0" collapsed="false">
      <c r="A238" s="30" t="s">
        <v>359</v>
      </c>
      <c r="B238" s="31" t="s">
        <v>66</v>
      </c>
      <c r="C238" s="30" t="s">
        <v>246</v>
      </c>
      <c r="D238" s="31" t="s">
        <v>1792</v>
      </c>
    </row>
    <row r="239" customFormat="false" ht="15" hidden="false" customHeight="true" outlineLevel="0" collapsed="false">
      <c r="A239" s="30" t="s">
        <v>360</v>
      </c>
      <c r="B239" s="31" t="s">
        <v>280</v>
      </c>
      <c r="C239" s="30" t="s">
        <v>246</v>
      </c>
      <c r="D239" s="31" t="s">
        <v>1792</v>
      </c>
    </row>
    <row r="240" customFormat="false" ht="15" hidden="false" customHeight="true" outlineLevel="0" collapsed="false">
      <c r="A240" s="30" t="s">
        <v>361</v>
      </c>
      <c r="B240" s="31" t="s">
        <v>66</v>
      </c>
      <c r="C240" s="30" t="s">
        <v>246</v>
      </c>
      <c r="D240" s="31" t="s">
        <v>1792</v>
      </c>
    </row>
    <row r="241" customFormat="false" ht="15" hidden="false" customHeight="true" outlineLevel="0" collapsed="false">
      <c r="A241" s="30" t="s">
        <v>362</v>
      </c>
      <c r="B241" s="31" t="s">
        <v>280</v>
      </c>
      <c r="C241" s="30" t="s">
        <v>246</v>
      </c>
      <c r="D241" s="31" t="s">
        <v>1792</v>
      </c>
    </row>
    <row r="242" customFormat="false" ht="15" hidden="false" customHeight="true" outlineLevel="0" collapsed="false">
      <c r="A242" s="30" t="s">
        <v>363</v>
      </c>
      <c r="B242" s="31" t="s">
        <v>66</v>
      </c>
      <c r="C242" s="30" t="s">
        <v>246</v>
      </c>
      <c r="D242" s="31" t="s">
        <v>1792</v>
      </c>
    </row>
    <row r="243" customFormat="false" ht="15" hidden="false" customHeight="true" outlineLevel="0" collapsed="false">
      <c r="A243" s="30" t="s">
        <v>364</v>
      </c>
      <c r="B243" s="31" t="s">
        <v>250</v>
      </c>
      <c r="C243" s="30" t="s">
        <v>246</v>
      </c>
      <c r="D243" s="31" t="s">
        <v>1792</v>
      </c>
    </row>
    <row r="244" customFormat="false" ht="15" hidden="false" customHeight="true" outlineLevel="0" collapsed="false">
      <c r="A244" s="30" t="s">
        <v>365</v>
      </c>
      <c r="B244" s="31" t="s">
        <v>66</v>
      </c>
      <c r="C244" s="30" t="s">
        <v>246</v>
      </c>
      <c r="D244" s="31" t="s">
        <v>1792</v>
      </c>
    </row>
    <row r="245" customFormat="false" ht="15" hidden="false" customHeight="true" outlineLevel="0" collapsed="false">
      <c r="A245" s="30" t="s">
        <v>366</v>
      </c>
      <c r="B245" s="31" t="s">
        <v>250</v>
      </c>
      <c r="C245" s="30" t="s">
        <v>246</v>
      </c>
      <c r="D245" s="31" t="s">
        <v>1792</v>
      </c>
    </row>
    <row r="246" customFormat="false" ht="15" hidden="false" customHeight="true" outlineLevel="0" collapsed="false">
      <c r="A246" s="30" t="s">
        <v>367</v>
      </c>
      <c r="B246" s="31" t="s">
        <v>368</v>
      </c>
      <c r="C246" s="30" t="s">
        <v>246</v>
      </c>
      <c r="D246" s="31" t="s">
        <v>1792</v>
      </c>
    </row>
    <row r="247" customFormat="false" ht="15" hidden="false" customHeight="true" outlineLevel="0" collapsed="false">
      <c r="A247" s="30" t="s">
        <v>369</v>
      </c>
      <c r="B247" s="31" t="s">
        <v>370</v>
      </c>
      <c r="C247" s="30" t="s">
        <v>246</v>
      </c>
      <c r="D247" s="31" t="s">
        <v>1792</v>
      </c>
    </row>
    <row r="248" customFormat="false" ht="15" hidden="false" customHeight="true" outlineLevel="0" collapsed="false">
      <c r="A248" s="30" t="s">
        <v>371</v>
      </c>
      <c r="B248" s="31" t="s">
        <v>372</v>
      </c>
      <c r="C248" s="30" t="s">
        <v>246</v>
      </c>
      <c r="D248" s="31" t="s">
        <v>1792</v>
      </c>
    </row>
    <row r="249" customFormat="false" ht="15" hidden="false" customHeight="true" outlineLevel="0" collapsed="false">
      <c r="A249" s="30" t="s">
        <v>373</v>
      </c>
      <c r="B249" s="31" t="s">
        <v>374</v>
      </c>
      <c r="C249" s="30" t="s">
        <v>246</v>
      </c>
      <c r="D249" s="31" t="s">
        <v>1792</v>
      </c>
    </row>
    <row r="250" customFormat="false" ht="15" hidden="false" customHeight="true" outlineLevel="0" collapsed="false">
      <c r="A250" s="30" t="s">
        <v>375</v>
      </c>
      <c r="B250" s="31" t="s">
        <v>376</v>
      </c>
      <c r="C250" s="30" t="s">
        <v>246</v>
      </c>
      <c r="D250" s="31" t="s">
        <v>1792</v>
      </c>
    </row>
    <row r="251" customFormat="false" ht="15" hidden="false" customHeight="true" outlineLevel="0" collapsed="false">
      <c r="A251" s="30" t="s">
        <v>377</v>
      </c>
      <c r="B251" s="31" t="s">
        <v>370</v>
      </c>
      <c r="C251" s="30" t="s">
        <v>246</v>
      </c>
      <c r="D251" s="31" t="s">
        <v>1792</v>
      </c>
    </row>
    <row r="252" customFormat="false" ht="15" hidden="false" customHeight="true" outlineLevel="0" collapsed="false">
      <c r="A252" s="30" t="s">
        <v>378</v>
      </c>
      <c r="B252" s="31" t="s">
        <v>372</v>
      </c>
      <c r="C252" s="30" t="s">
        <v>246</v>
      </c>
      <c r="D252" s="31" t="s">
        <v>1792</v>
      </c>
    </row>
    <row r="253" customFormat="false" ht="15" hidden="false" customHeight="true" outlineLevel="0" collapsed="false">
      <c r="A253" s="30" t="s">
        <v>379</v>
      </c>
      <c r="B253" s="31" t="s">
        <v>374</v>
      </c>
      <c r="C253" s="30" t="s">
        <v>246</v>
      </c>
      <c r="D253" s="31" t="s">
        <v>1792</v>
      </c>
    </row>
    <row r="254" customFormat="false" ht="15" hidden="false" customHeight="true" outlineLevel="0" collapsed="false">
      <c r="A254" s="30" t="s">
        <v>380</v>
      </c>
      <c r="B254" s="31" t="s">
        <v>381</v>
      </c>
      <c r="C254" s="30" t="s">
        <v>246</v>
      </c>
      <c r="D254" s="31" t="s">
        <v>1792</v>
      </c>
    </row>
    <row r="255" customFormat="false" ht="15" hidden="false" customHeight="true" outlineLevel="0" collapsed="false">
      <c r="A255" s="30" t="s">
        <v>382</v>
      </c>
      <c r="B255" s="31" t="s">
        <v>383</v>
      </c>
      <c r="C255" s="30" t="s">
        <v>246</v>
      </c>
      <c r="D255" s="31" t="s">
        <v>1792</v>
      </c>
    </row>
    <row r="256" customFormat="false" ht="15" hidden="false" customHeight="true" outlineLevel="0" collapsed="false">
      <c r="A256" s="30" t="s">
        <v>384</v>
      </c>
      <c r="B256" s="31" t="s">
        <v>385</v>
      </c>
      <c r="C256" s="30" t="s">
        <v>246</v>
      </c>
      <c r="D256" s="31" t="s">
        <v>1792</v>
      </c>
    </row>
    <row r="257" customFormat="false" ht="15" hidden="false" customHeight="true" outlineLevel="0" collapsed="false">
      <c r="A257" s="30" t="s">
        <v>386</v>
      </c>
      <c r="B257" s="31" t="s">
        <v>387</v>
      </c>
      <c r="C257" s="30" t="s">
        <v>246</v>
      </c>
      <c r="D257" s="31" t="s">
        <v>1792</v>
      </c>
    </row>
    <row r="258" customFormat="false" ht="15" hidden="false" customHeight="true" outlineLevel="0" collapsed="false">
      <c r="A258" s="30" t="s">
        <v>388</v>
      </c>
      <c r="B258" s="31" t="s">
        <v>389</v>
      </c>
      <c r="C258" s="30" t="s">
        <v>246</v>
      </c>
      <c r="D258" s="31" t="s">
        <v>1792</v>
      </c>
    </row>
    <row r="259" customFormat="false" ht="15" hidden="false" customHeight="true" outlineLevel="0" collapsed="false">
      <c r="A259" s="30" t="s">
        <v>390</v>
      </c>
      <c r="B259" s="31" t="s">
        <v>391</v>
      </c>
      <c r="C259" s="30" t="s">
        <v>246</v>
      </c>
      <c r="D259" s="31" t="s">
        <v>1792</v>
      </c>
    </row>
    <row r="260" customFormat="false" ht="15" hidden="false" customHeight="true" outlineLevel="0" collapsed="false">
      <c r="A260" s="30" t="s">
        <v>392</v>
      </c>
      <c r="B260" s="31" t="s">
        <v>393</v>
      </c>
      <c r="C260" s="30" t="s">
        <v>246</v>
      </c>
      <c r="D260" s="31" t="s">
        <v>1792</v>
      </c>
    </row>
    <row r="261" customFormat="false" ht="15" hidden="false" customHeight="true" outlineLevel="0" collapsed="false">
      <c r="A261" s="30" t="s">
        <v>394</v>
      </c>
      <c r="B261" s="31" t="s">
        <v>395</v>
      </c>
      <c r="C261" s="30" t="s">
        <v>246</v>
      </c>
      <c r="D261" s="31" t="s">
        <v>1792</v>
      </c>
    </row>
    <row r="262" customFormat="false" ht="15" hidden="false" customHeight="true" outlineLevel="0" collapsed="false">
      <c r="A262" s="30" t="s">
        <v>396</v>
      </c>
      <c r="B262" s="31" t="s">
        <v>397</v>
      </c>
      <c r="C262" s="30" t="s">
        <v>246</v>
      </c>
      <c r="D262" s="31" t="s">
        <v>1792</v>
      </c>
    </row>
    <row r="263" customFormat="false" ht="15" hidden="false" customHeight="true" outlineLevel="0" collapsed="false">
      <c r="A263" s="30" t="s">
        <v>398</v>
      </c>
      <c r="B263" s="31" t="s">
        <v>399</v>
      </c>
      <c r="C263" s="30" t="s">
        <v>246</v>
      </c>
      <c r="D263" s="31" t="s">
        <v>1792</v>
      </c>
    </row>
    <row r="264" customFormat="false" ht="15" hidden="false" customHeight="true" outlineLevel="0" collapsed="false">
      <c r="A264" s="30" t="s">
        <v>400</v>
      </c>
      <c r="B264" s="31" t="s">
        <v>401</v>
      </c>
      <c r="C264" s="30" t="s">
        <v>246</v>
      </c>
      <c r="D264" s="31" t="s">
        <v>1792</v>
      </c>
    </row>
    <row r="265" customFormat="false" ht="15" hidden="false" customHeight="true" outlineLevel="0" collapsed="false">
      <c r="A265" s="30" t="s">
        <v>402</v>
      </c>
      <c r="B265" s="31" t="s">
        <v>403</v>
      </c>
      <c r="C265" s="30" t="s">
        <v>246</v>
      </c>
      <c r="D265" s="31" t="s">
        <v>1792</v>
      </c>
    </row>
    <row r="266" customFormat="false" ht="15" hidden="false" customHeight="true" outlineLevel="0" collapsed="false">
      <c r="A266" s="30" t="s">
        <v>404</v>
      </c>
      <c r="B266" s="31" t="s">
        <v>405</v>
      </c>
      <c r="C266" s="30" t="s">
        <v>246</v>
      </c>
      <c r="D266" s="31" t="s">
        <v>1792</v>
      </c>
    </row>
    <row r="267" customFormat="false" ht="15" hidden="false" customHeight="true" outlineLevel="0" collapsed="false">
      <c r="A267" s="30" t="s">
        <v>406</v>
      </c>
      <c r="B267" s="31" t="s">
        <v>407</v>
      </c>
      <c r="C267" s="30" t="s">
        <v>246</v>
      </c>
      <c r="D267" s="31" t="s">
        <v>1792</v>
      </c>
    </row>
    <row r="268" customFormat="false" ht="15" hidden="false" customHeight="true" outlineLevel="0" collapsed="false">
      <c r="A268" s="30" t="s">
        <v>408</v>
      </c>
      <c r="B268" s="31" t="s">
        <v>409</v>
      </c>
      <c r="C268" s="30" t="s">
        <v>246</v>
      </c>
      <c r="D268" s="31" t="s">
        <v>1792</v>
      </c>
    </row>
    <row r="269" customFormat="false" ht="15" hidden="false" customHeight="true" outlineLevel="0" collapsed="false">
      <c r="A269" s="30" t="s">
        <v>410</v>
      </c>
      <c r="B269" s="31" t="s">
        <v>411</v>
      </c>
      <c r="C269" s="30" t="s">
        <v>246</v>
      </c>
      <c r="D269" s="31" t="s">
        <v>1792</v>
      </c>
    </row>
    <row r="270" customFormat="false" ht="15" hidden="false" customHeight="true" outlineLevel="0" collapsed="false">
      <c r="A270" s="30" t="s">
        <v>412</v>
      </c>
      <c r="B270" s="31" t="s">
        <v>413</v>
      </c>
      <c r="C270" s="30" t="s">
        <v>246</v>
      </c>
      <c r="D270" s="31" t="s">
        <v>1792</v>
      </c>
    </row>
    <row r="271" customFormat="false" ht="15" hidden="false" customHeight="true" outlineLevel="0" collapsed="false">
      <c r="A271" s="30" t="s">
        <v>414</v>
      </c>
      <c r="B271" s="31" t="s">
        <v>66</v>
      </c>
      <c r="C271" s="30" t="s">
        <v>246</v>
      </c>
      <c r="D271" s="31" t="s">
        <v>1792</v>
      </c>
    </row>
    <row r="272" customFormat="false" ht="15" hidden="false" customHeight="true" outlineLevel="0" collapsed="false">
      <c r="A272" s="30" t="s">
        <v>415</v>
      </c>
      <c r="B272" s="31" t="s">
        <v>66</v>
      </c>
      <c r="C272" s="30" t="s">
        <v>246</v>
      </c>
      <c r="D272" s="31" t="s">
        <v>1792</v>
      </c>
    </row>
    <row r="273" customFormat="false" ht="15" hidden="false" customHeight="true" outlineLevel="0" collapsed="false">
      <c r="A273" s="30" t="s">
        <v>416</v>
      </c>
      <c r="B273" s="31" t="s">
        <v>250</v>
      </c>
      <c r="C273" s="30" t="s">
        <v>246</v>
      </c>
      <c r="D273" s="31" t="s">
        <v>1792</v>
      </c>
    </row>
    <row r="274" customFormat="false" ht="15" hidden="false" customHeight="true" outlineLevel="0" collapsed="false">
      <c r="A274" s="30" t="s">
        <v>417</v>
      </c>
      <c r="B274" s="31" t="s">
        <v>66</v>
      </c>
      <c r="C274" s="30" t="s">
        <v>246</v>
      </c>
      <c r="D274" s="31" t="s">
        <v>1792</v>
      </c>
    </row>
    <row r="275" customFormat="false" ht="15" hidden="false" customHeight="true" outlineLevel="0" collapsed="false">
      <c r="A275" s="30" t="s">
        <v>418</v>
      </c>
      <c r="B275" s="31" t="s">
        <v>254</v>
      </c>
      <c r="C275" s="30" t="s">
        <v>246</v>
      </c>
      <c r="D275" s="31" t="s">
        <v>1792</v>
      </c>
    </row>
    <row r="276" customFormat="false" ht="15" hidden="false" customHeight="true" outlineLevel="0" collapsed="false">
      <c r="A276" s="30" t="s">
        <v>419</v>
      </c>
      <c r="B276" s="31" t="s">
        <v>256</v>
      </c>
      <c r="C276" s="30" t="s">
        <v>246</v>
      </c>
      <c r="D276" s="31" t="s">
        <v>1792</v>
      </c>
    </row>
    <row r="277" customFormat="false" ht="15" hidden="false" customHeight="true" outlineLevel="0" collapsed="false">
      <c r="A277" s="30" t="s">
        <v>420</v>
      </c>
      <c r="B277" s="31" t="s">
        <v>66</v>
      </c>
      <c r="C277" s="30" t="s">
        <v>246</v>
      </c>
      <c r="D277" s="31" t="s">
        <v>1792</v>
      </c>
    </row>
    <row r="278" customFormat="false" ht="15" hidden="false" customHeight="true" outlineLevel="0" collapsed="false">
      <c r="A278" s="30" t="s">
        <v>421</v>
      </c>
      <c r="B278" s="31" t="s">
        <v>250</v>
      </c>
      <c r="C278" s="30" t="s">
        <v>246</v>
      </c>
      <c r="D278" s="31" t="s">
        <v>1792</v>
      </c>
    </row>
    <row r="279" customFormat="false" ht="15" hidden="false" customHeight="true" outlineLevel="0" collapsed="false">
      <c r="A279" s="30" t="s">
        <v>422</v>
      </c>
      <c r="B279" s="31" t="s">
        <v>423</v>
      </c>
      <c r="C279" s="30" t="s">
        <v>246</v>
      </c>
      <c r="D279" s="31" t="s">
        <v>1792</v>
      </c>
    </row>
    <row r="280" customFormat="false" ht="15" hidden="false" customHeight="true" outlineLevel="0" collapsed="false">
      <c r="A280" s="30" t="s">
        <v>424</v>
      </c>
      <c r="B280" s="31" t="s">
        <v>66</v>
      </c>
      <c r="C280" s="30" t="s">
        <v>246</v>
      </c>
      <c r="D280" s="31" t="s">
        <v>1792</v>
      </c>
    </row>
    <row r="281" customFormat="false" ht="15" hidden="false" customHeight="true" outlineLevel="0" collapsed="false">
      <c r="A281" s="30" t="s">
        <v>425</v>
      </c>
      <c r="B281" s="31" t="s">
        <v>263</v>
      </c>
      <c r="C281" s="30" t="s">
        <v>246</v>
      </c>
      <c r="D281" s="31" t="s">
        <v>1792</v>
      </c>
    </row>
    <row r="282" customFormat="false" ht="15" hidden="false" customHeight="true" outlineLevel="0" collapsed="false">
      <c r="A282" s="30" t="s">
        <v>426</v>
      </c>
      <c r="B282" s="31" t="s">
        <v>427</v>
      </c>
      <c r="C282" s="30" t="s">
        <v>246</v>
      </c>
      <c r="D282" s="31" t="s">
        <v>1792</v>
      </c>
    </row>
    <row r="283" customFormat="false" ht="15" hidden="false" customHeight="true" outlineLevel="0" collapsed="false">
      <c r="A283" s="30" t="s">
        <v>428</v>
      </c>
      <c r="B283" s="31" t="s">
        <v>273</v>
      </c>
      <c r="C283" s="30" t="s">
        <v>246</v>
      </c>
      <c r="D283" s="31" t="s">
        <v>1792</v>
      </c>
    </row>
    <row r="284" customFormat="false" ht="15" hidden="false" customHeight="true" outlineLevel="0" collapsed="false">
      <c r="A284" s="30" t="s">
        <v>429</v>
      </c>
      <c r="B284" s="31" t="s">
        <v>275</v>
      </c>
      <c r="C284" s="30" t="s">
        <v>246</v>
      </c>
      <c r="D284" s="31" t="s">
        <v>1792</v>
      </c>
    </row>
    <row r="285" customFormat="false" ht="15" hidden="false" customHeight="true" outlineLevel="0" collapsed="false">
      <c r="A285" s="30" t="s">
        <v>430</v>
      </c>
      <c r="B285" s="31" t="s">
        <v>277</v>
      </c>
      <c r="C285" s="30" t="s">
        <v>246</v>
      </c>
      <c r="D285" s="31" t="s">
        <v>1792</v>
      </c>
    </row>
    <row r="286" customFormat="false" ht="15" hidden="false" customHeight="true" outlineLevel="0" collapsed="false">
      <c r="A286" s="30" t="s">
        <v>431</v>
      </c>
      <c r="B286" s="31" t="s">
        <v>407</v>
      </c>
      <c r="C286" s="30" t="s">
        <v>246</v>
      </c>
      <c r="D286" s="31" t="s">
        <v>1792</v>
      </c>
    </row>
    <row r="287" customFormat="false" ht="15" hidden="false" customHeight="true" outlineLevel="0" collapsed="false">
      <c r="A287" s="30" t="s">
        <v>432</v>
      </c>
      <c r="B287" s="31" t="s">
        <v>409</v>
      </c>
      <c r="C287" s="30" t="s">
        <v>246</v>
      </c>
      <c r="D287" s="31" t="s">
        <v>1792</v>
      </c>
    </row>
    <row r="288" customFormat="false" ht="15" hidden="false" customHeight="true" outlineLevel="0" collapsed="false">
      <c r="A288" s="30" t="s">
        <v>433</v>
      </c>
      <c r="B288" s="31" t="s">
        <v>411</v>
      </c>
      <c r="C288" s="30" t="s">
        <v>246</v>
      </c>
      <c r="D288" s="31" t="s">
        <v>1792</v>
      </c>
    </row>
    <row r="289" customFormat="false" ht="15" hidden="false" customHeight="true" outlineLevel="0" collapsed="false">
      <c r="A289" s="30" t="s">
        <v>434</v>
      </c>
      <c r="B289" s="31" t="s">
        <v>413</v>
      </c>
      <c r="C289" s="30" t="s">
        <v>246</v>
      </c>
      <c r="D289" s="31" t="s">
        <v>1792</v>
      </c>
    </row>
    <row r="290" customFormat="false" ht="15" hidden="false" customHeight="true" outlineLevel="0" collapsed="false">
      <c r="A290" s="30" t="s">
        <v>435</v>
      </c>
      <c r="B290" s="31" t="s">
        <v>436</v>
      </c>
      <c r="C290" s="30" t="s">
        <v>437</v>
      </c>
      <c r="D290" s="31" t="s">
        <v>1793</v>
      </c>
    </row>
    <row r="291" customFormat="false" ht="15" hidden="false" customHeight="true" outlineLevel="0" collapsed="false">
      <c r="A291" s="30" t="s">
        <v>438</v>
      </c>
      <c r="B291" s="31" t="s">
        <v>66</v>
      </c>
      <c r="C291" s="30" t="s">
        <v>437</v>
      </c>
      <c r="D291" s="31" t="s">
        <v>1793</v>
      </c>
    </row>
    <row r="292" customFormat="false" ht="15" hidden="false" customHeight="true" outlineLevel="0" collapsed="false">
      <c r="A292" s="30" t="s">
        <v>439</v>
      </c>
      <c r="B292" s="31" t="s">
        <v>165</v>
      </c>
      <c r="C292" s="30" t="s">
        <v>437</v>
      </c>
      <c r="D292" s="31" t="s">
        <v>1793</v>
      </c>
    </row>
    <row r="293" customFormat="false" ht="15" hidden="false" customHeight="true" outlineLevel="0" collapsed="false">
      <c r="A293" s="30" t="s">
        <v>440</v>
      </c>
      <c r="B293" s="31" t="s">
        <v>441</v>
      </c>
      <c r="C293" s="30" t="s">
        <v>437</v>
      </c>
      <c r="D293" s="31" t="s">
        <v>1793</v>
      </c>
    </row>
    <row r="294" customFormat="false" ht="15" hidden="false" customHeight="true" outlineLevel="0" collapsed="false">
      <c r="A294" s="30" t="s">
        <v>438</v>
      </c>
      <c r="B294" s="31" t="s">
        <v>66</v>
      </c>
      <c r="C294" s="30" t="s">
        <v>437</v>
      </c>
      <c r="D294" s="31" t="s">
        <v>1793</v>
      </c>
    </row>
    <row r="295" customFormat="false" ht="15" hidden="false" customHeight="true" outlineLevel="0" collapsed="false">
      <c r="A295" s="30" t="s">
        <v>439</v>
      </c>
      <c r="B295" s="31" t="s">
        <v>165</v>
      </c>
      <c r="C295" s="30" t="s">
        <v>437</v>
      </c>
      <c r="D295" s="31" t="s">
        <v>1793</v>
      </c>
    </row>
    <row r="296" customFormat="false" ht="15" hidden="false" customHeight="true" outlineLevel="0" collapsed="false">
      <c r="A296" s="30" t="s">
        <v>442</v>
      </c>
      <c r="B296" s="31" t="s">
        <v>443</v>
      </c>
      <c r="C296" s="30" t="s">
        <v>437</v>
      </c>
      <c r="D296" s="31" t="s">
        <v>1793</v>
      </c>
    </row>
    <row r="297" customFormat="false" ht="15" hidden="false" customHeight="true" outlineLevel="0" collapsed="false">
      <c r="A297" s="30" t="s">
        <v>444</v>
      </c>
      <c r="B297" s="31" t="s">
        <v>66</v>
      </c>
      <c r="C297" s="30" t="s">
        <v>437</v>
      </c>
      <c r="D297" s="31" t="s">
        <v>1793</v>
      </c>
    </row>
    <row r="298" customFormat="false" ht="15" hidden="false" customHeight="true" outlineLevel="0" collapsed="false">
      <c r="A298" s="30" t="s">
        <v>445</v>
      </c>
      <c r="B298" s="31" t="s">
        <v>165</v>
      </c>
      <c r="C298" s="30" t="s">
        <v>437</v>
      </c>
      <c r="D298" s="31" t="s">
        <v>1793</v>
      </c>
    </row>
    <row r="299" customFormat="false" ht="15" hidden="false" customHeight="true" outlineLevel="0" collapsed="false">
      <c r="A299" s="30" t="s">
        <v>446</v>
      </c>
      <c r="B299" s="31" t="s">
        <v>443</v>
      </c>
      <c r="C299" s="30" t="s">
        <v>437</v>
      </c>
      <c r="D299" s="31" t="s">
        <v>1793</v>
      </c>
    </row>
    <row r="300" customFormat="false" ht="15" hidden="false" customHeight="true" outlineLevel="0" collapsed="false">
      <c r="A300" s="30" t="s">
        <v>447</v>
      </c>
      <c r="B300" s="31" t="s">
        <v>66</v>
      </c>
      <c r="C300" s="30" t="s">
        <v>437</v>
      </c>
      <c r="D300" s="31" t="s">
        <v>1793</v>
      </c>
    </row>
    <row r="301" customFormat="false" ht="15" hidden="false" customHeight="true" outlineLevel="0" collapsed="false">
      <c r="A301" s="30" t="s">
        <v>448</v>
      </c>
      <c r="B301" s="31" t="s">
        <v>165</v>
      </c>
      <c r="C301" s="30" t="s">
        <v>437</v>
      </c>
      <c r="D301" s="31" t="s">
        <v>1793</v>
      </c>
    </row>
    <row r="302" customFormat="false" ht="15" hidden="false" customHeight="true" outlineLevel="0" collapsed="false">
      <c r="A302" s="30" t="s">
        <v>449</v>
      </c>
      <c r="B302" s="31" t="s">
        <v>443</v>
      </c>
      <c r="C302" s="30" t="s">
        <v>437</v>
      </c>
      <c r="D302" s="31" t="s">
        <v>1793</v>
      </c>
    </row>
    <row r="303" customFormat="false" ht="15" hidden="false" customHeight="true" outlineLevel="0" collapsed="false">
      <c r="A303" s="30" t="s">
        <v>450</v>
      </c>
      <c r="B303" s="31" t="s">
        <v>66</v>
      </c>
      <c r="C303" s="30" t="s">
        <v>437</v>
      </c>
      <c r="D303" s="31" t="s">
        <v>1793</v>
      </c>
    </row>
    <row r="304" customFormat="false" ht="15" hidden="false" customHeight="true" outlineLevel="0" collapsed="false">
      <c r="A304" s="30" t="s">
        <v>451</v>
      </c>
      <c r="B304" s="31" t="s">
        <v>165</v>
      </c>
      <c r="C304" s="30" t="s">
        <v>437</v>
      </c>
      <c r="D304" s="31" t="s">
        <v>1793</v>
      </c>
    </row>
    <row r="305" customFormat="false" ht="15" hidden="false" customHeight="true" outlineLevel="0" collapsed="false">
      <c r="A305" s="30" t="s">
        <v>452</v>
      </c>
      <c r="B305" s="31" t="s">
        <v>443</v>
      </c>
      <c r="C305" s="30" t="s">
        <v>437</v>
      </c>
      <c r="D305" s="31" t="s">
        <v>1793</v>
      </c>
    </row>
    <row r="306" customFormat="false" ht="15" hidden="false" customHeight="true" outlineLevel="0" collapsed="false">
      <c r="A306" s="30" t="s">
        <v>453</v>
      </c>
      <c r="B306" s="31" t="s">
        <v>66</v>
      </c>
      <c r="C306" s="30" t="s">
        <v>437</v>
      </c>
      <c r="D306" s="31" t="s">
        <v>1793</v>
      </c>
    </row>
    <row r="307" customFormat="false" ht="15" hidden="false" customHeight="true" outlineLevel="0" collapsed="false">
      <c r="A307" s="30" t="s">
        <v>454</v>
      </c>
      <c r="B307" s="31" t="s">
        <v>165</v>
      </c>
      <c r="C307" s="30" t="s">
        <v>437</v>
      </c>
      <c r="D307" s="31" t="s">
        <v>1793</v>
      </c>
    </row>
    <row r="308" customFormat="false" ht="15" hidden="false" customHeight="true" outlineLevel="0" collapsed="false">
      <c r="A308" s="30" t="s">
        <v>455</v>
      </c>
      <c r="B308" s="31" t="s">
        <v>66</v>
      </c>
      <c r="C308" s="30" t="s">
        <v>437</v>
      </c>
      <c r="D308" s="31" t="s">
        <v>1793</v>
      </c>
    </row>
    <row r="309" customFormat="false" ht="15" hidden="false" customHeight="true" outlineLevel="0" collapsed="false">
      <c r="A309" s="30" t="s">
        <v>456</v>
      </c>
      <c r="B309" s="31" t="s">
        <v>165</v>
      </c>
      <c r="C309" s="30" t="s">
        <v>437</v>
      </c>
      <c r="D309" s="31" t="s">
        <v>1793</v>
      </c>
    </row>
    <row r="310" customFormat="false" ht="15" hidden="false" customHeight="true" outlineLevel="0" collapsed="false">
      <c r="A310" s="30" t="s">
        <v>457</v>
      </c>
      <c r="B310" s="31" t="s">
        <v>66</v>
      </c>
      <c r="C310" s="30" t="s">
        <v>437</v>
      </c>
      <c r="D310" s="31" t="s">
        <v>1793</v>
      </c>
    </row>
    <row r="311" customFormat="false" ht="15" hidden="false" customHeight="true" outlineLevel="0" collapsed="false">
      <c r="A311" s="30" t="s">
        <v>458</v>
      </c>
      <c r="B311" s="31" t="s">
        <v>165</v>
      </c>
      <c r="C311" s="30" t="s">
        <v>437</v>
      </c>
      <c r="D311" s="31" t="s">
        <v>1793</v>
      </c>
    </row>
    <row r="312" customFormat="false" ht="15" hidden="false" customHeight="true" outlineLevel="0" collapsed="false">
      <c r="A312" s="30" t="s">
        <v>459</v>
      </c>
      <c r="B312" s="31" t="s">
        <v>443</v>
      </c>
      <c r="C312" s="30" t="s">
        <v>437</v>
      </c>
      <c r="D312" s="31" t="s">
        <v>1793</v>
      </c>
    </row>
    <row r="313" customFormat="false" ht="15" hidden="false" customHeight="true" outlineLevel="0" collapsed="false">
      <c r="A313" s="30" t="s">
        <v>460</v>
      </c>
      <c r="B313" s="31" t="s">
        <v>66</v>
      </c>
      <c r="C313" s="30" t="s">
        <v>437</v>
      </c>
      <c r="D313" s="31" t="s">
        <v>1793</v>
      </c>
    </row>
    <row r="314" customFormat="false" ht="15" hidden="false" customHeight="true" outlineLevel="0" collapsed="false">
      <c r="A314" s="30" t="s">
        <v>461</v>
      </c>
      <c r="B314" s="31" t="s">
        <v>165</v>
      </c>
      <c r="C314" s="30" t="s">
        <v>437</v>
      </c>
      <c r="D314" s="31" t="s">
        <v>1793</v>
      </c>
    </row>
    <row r="315" customFormat="false" ht="15" hidden="false" customHeight="true" outlineLevel="0" collapsed="false">
      <c r="A315" s="30" t="s">
        <v>462</v>
      </c>
      <c r="B315" s="31" t="s">
        <v>443</v>
      </c>
      <c r="C315" s="30" t="s">
        <v>437</v>
      </c>
      <c r="D315" s="31" t="s">
        <v>1793</v>
      </c>
    </row>
    <row r="316" customFormat="false" ht="15" hidden="false" customHeight="true" outlineLevel="0" collapsed="false">
      <c r="A316" s="30" t="s">
        <v>463</v>
      </c>
      <c r="B316" s="31" t="s">
        <v>66</v>
      </c>
      <c r="C316" s="30" t="s">
        <v>437</v>
      </c>
      <c r="D316" s="31" t="s">
        <v>1793</v>
      </c>
    </row>
    <row r="317" customFormat="false" ht="15" hidden="false" customHeight="true" outlineLevel="0" collapsed="false">
      <c r="A317" s="30" t="s">
        <v>464</v>
      </c>
      <c r="B317" s="31" t="s">
        <v>165</v>
      </c>
      <c r="C317" s="30" t="s">
        <v>437</v>
      </c>
      <c r="D317" s="31" t="s">
        <v>1793</v>
      </c>
    </row>
    <row r="318" customFormat="false" ht="15" hidden="false" customHeight="true" outlineLevel="0" collapsed="false">
      <c r="A318" s="30" t="s">
        <v>465</v>
      </c>
      <c r="B318" s="31" t="s">
        <v>66</v>
      </c>
      <c r="C318" s="30" t="s">
        <v>437</v>
      </c>
      <c r="D318" s="31" t="s">
        <v>1793</v>
      </c>
    </row>
    <row r="319" customFormat="false" ht="15" hidden="false" customHeight="true" outlineLevel="0" collapsed="false">
      <c r="A319" s="30" t="s">
        <v>466</v>
      </c>
      <c r="B319" s="31" t="s">
        <v>165</v>
      </c>
      <c r="C319" s="30" t="s">
        <v>437</v>
      </c>
      <c r="D319" s="31" t="s">
        <v>1793</v>
      </c>
    </row>
    <row r="320" customFormat="false" ht="15" hidden="false" customHeight="true" outlineLevel="0" collapsed="false">
      <c r="A320" s="30" t="s">
        <v>467</v>
      </c>
      <c r="B320" s="31" t="s">
        <v>66</v>
      </c>
      <c r="C320" s="30" t="s">
        <v>437</v>
      </c>
      <c r="D320" s="31" t="s">
        <v>1793</v>
      </c>
    </row>
    <row r="321" customFormat="false" ht="15" hidden="false" customHeight="true" outlineLevel="0" collapsed="false">
      <c r="A321" s="30" t="s">
        <v>468</v>
      </c>
      <c r="B321" s="31" t="s">
        <v>280</v>
      </c>
      <c r="C321" s="30" t="s">
        <v>437</v>
      </c>
      <c r="D321" s="31" t="s">
        <v>1793</v>
      </c>
    </row>
    <row r="322" customFormat="false" ht="15" hidden="false" customHeight="true" outlineLevel="0" collapsed="false">
      <c r="A322" s="30" t="s">
        <v>469</v>
      </c>
      <c r="B322" s="31" t="s">
        <v>165</v>
      </c>
      <c r="C322" s="30" t="s">
        <v>437</v>
      </c>
      <c r="D322" s="31" t="s">
        <v>1793</v>
      </c>
    </row>
    <row r="323" customFormat="false" ht="15" hidden="false" customHeight="true" outlineLevel="0" collapsed="false">
      <c r="A323" s="30" t="s">
        <v>470</v>
      </c>
      <c r="B323" s="31" t="s">
        <v>66</v>
      </c>
      <c r="C323" s="30" t="s">
        <v>437</v>
      </c>
      <c r="D323" s="31" t="s">
        <v>1793</v>
      </c>
    </row>
    <row r="324" customFormat="false" ht="15" hidden="false" customHeight="true" outlineLevel="0" collapsed="false">
      <c r="A324" s="30" t="s">
        <v>471</v>
      </c>
      <c r="B324" s="31" t="s">
        <v>280</v>
      </c>
      <c r="C324" s="30" t="s">
        <v>437</v>
      </c>
      <c r="D324" s="31" t="s">
        <v>1793</v>
      </c>
    </row>
    <row r="325" customFormat="false" ht="15" hidden="false" customHeight="true" outlineLevel="0" collapsed="false">
      <c r="A325" s="30" t="s">
        <v>472</v>
      </c>
      <c r="B325" s="31" t="s">
        <v>165</v>
      </c>
      <c r="C325" s="30" t="s">
        <v>437</v>
      </c>
      <c r="D325" s="31" t="s">
        <v>1793</v>
      </c>
    </row>
    <row r="326" customFormat="false" ht="15" hidden="false" customHeight="true" outlineLevel="0" collapsed="false">
      <c r="A326" s="30" t="s">
        <v>473</v>
      </c>
      <c r="B326" s="31" t="s">
        <v>66</v>
      </c>
      <c r="C326" s="30" t="s">
        <v>437</v>
      </c>
      <c r="D326" s="31" t="s">
        <v>1793</v>
      </c>
    </row>
    <row r="327" customFormat="false" ht="15" hidden="false" customHeight="true" outlineLevel="0" collapsed="false">
      <c r="A327" s="30" t="s">
        <v>474</v>
      </c>
      <c r="B327" s="31" t="s">
        <v>280</v>
      </c>
      <c r="C327" s="30" t="s">
        <v>437</v>
      </c>
      <c r="D327" s="31" t="s">
        <v>1793</v>
      </c>
    </row>
    <row r="328" customFormat="false" ht="15" hidden="false" customHeight="true" outlineLevel="0" collapsed="false">
      <c r="A328" s="30" t="s">
        <v>475</v>
      </c>
      <c r="B328" s="31" t="s">
        <v>285</v>
      </c>
      <c r="C328" s="30" t="s">
        <v>437</v>
      </c>
      <c r="D328" s="31" t="s">
        <v>1793</v>
      </c>
    </row>
    <row r="329" customFormat="false" ht="15" hidden="false" customHeight="true" outlineLevel="0" collapsed="false">
      <c r="A329" s="30" t="s">
        <v>476</v>
      </c>
      <c r="B329" s="31" t="s">
        <v>165</v>
      </c>
      <c r="C329" s="30" t="s">
        <v>437</v>
      </c>
      <c r="D329" s="31" t="s">
        <v>1793</v>
      </c>
    </row>
    <row r="330" customFormat="false" ht="15" hidden="false" customHeight="true" outlineLevel="0" collapsed="false">
      <c r="A330" s="30" t="s">
        <v>477</v>
      </c>
      <c r="B330" s="31" t="s">
        <v>66</v>
      </c>
      <c r="C330" s="30" t="s">
        <v>437</v>
      </c>
      <c r="D330" s="31" t="s">
        <v>1793</v>
      </c>
    </row>
    <row r="331" customFormat="false" ht="15" hidden="false" customHeight="true" outlineLevel="0" collapsed="false">
      <c r="A331" s="30" t="s">
        <v>478</v>
      </c>
      <c r="B331" s="31" t="s">
        <v>280</v>
      </c>
      <c r="C331" s="30" t="s">
        <v>437</v>
      </c>
      <c r="D331" s="31" t="s">
        <v>1793</v>
      </c>
    </row>
    <row r="332" customFormat="false" ht="15" hidden="false" customHeight="true" outlineLevel="0" collapsed="false">
      <c r="A332" s="30" t="s">
        <v>479</v>
      </c>
      <c r="B332" s="31" t="s">
        <v>285</v>
      </c>
      <c r="C332" s="30" t="s">
        <v>437</v>
      </c>
      <c r="D332" s="31" t="s">
        <v>1793</v>
      </c>
    </row>
    <row r="333" customFormat="false" ht="15" hidden="false" customHeight="true" outlineLevel="0" collapsed="false">
      <c r="A333" s="30" t="s">
        <v>480</v>
      </c>
      <c r="B333" s="31" t="s">
        <v>165</v>
      </c>
      <c r="C333" s="30" t="s">
        <v>437</v>
      </c>
      <c r="D333" s="31" t="s">
        <v>1793</v>
      </c>
    </row>
    <row r="334" customFormat="false" ht="15" hidden="false" customHeight="true" outlineLevel="0" collapsed="false">
      <c r="A334" s="30" t="s">
        <v>481</v>
      </c>
      <c r="B334" s="31" t="s">
        <v>66</v>
      </c>
      <c r="C334" s="30" t="s">
        <v>437</v>
      </c>
      <c r="D334" s="31" t="s">
        <v>1793</v>
      </c>
    </row>
    <row r="335" customFormat="false" ht="15" hidden="false" customHeight="true" outlineLevel="0" collapsed="false">
      <c r="A335" s="30" t="s">
        <v>482</v>
      </c>
      <c r="B335" s="31" t="s">
        <v>280</v>
      </c>
      <c r="C335" s="30" t="s">
        <v>437</v>
      </c>
      <c r="D335" s="31" t="s">
        <v>1793</v>
      </c>
    </row>
    <row r="336" customFormat="false" ht="15" hidden="false" customHeight="true" outlineLevel="0" collapsed="false">
      <c r="A336" s="30" t="s">
        <v>483</v>
      </c>
      <c r="B336" s="31" t="s">
        <v>165</v>
      </c>
      <c r="C336" s="30" t="s">
        <v>437</v>
      </c>
      <c r="D336" s="31" t="s">
        <v>1793</v>
      </c>
    </row>
    <row r="337" customFormat="false" ht="15" hidden="false" customHeight="true" outlineLevel="0" collapsed="false">
      <c r="A337" s="30" t="s">
        <v>484</v>
      </c>
      <c r="B337" s="31" t="s">
        <v>66</v>
      </c>
      <c r="C337" s="30" t="s">
        <v>437</v>
      </c>
      <c r="D337" s="31" t="s">
        <v>1793</v>
      </c>
    </row>
    <row r="338" customFormat="false" ht="15" hidden="false" customHeight="true" outlineLevel="0" collapsed="false">
      <c r="A338" s="30" t="s">
        <v>485</v>
      </c>
      <c r="B338" s="31" t="s">
        <v>280</v>
      </c>
      <c r="C338" s="30" t="s">
        <v>437</v>
      </c>
      <c r="D338" s="31" t="s">
        <v>1793</v>
      </c>
    </row>
    <row r="339" customFormat="false" ht="15" hidden="false" customHeight="true" outlineLevel="0" collapsed="false">
      <c r="A339" s="30" t="s">
        <v>486</v>
      </c>
      <c r="B339" s="31" t="s">
        <v>250</v>
      </c>
      <c r="C339" s="30" t="s">
        <v>437</v>
      </c>
      <c r="D339" s="31" t="s">
        <v>1793</v>
      </c>
    </row>
    <row r="340" customFormat="false" ht="15" hidden="false" customHeight="true" outlineLevel="0" collapsed="false">
      <c r="A340" s="30" t="s">
        <v>487</v>
      </c>
      <c r="B340" s="31" t="s">
        <v>165</v>
      </c>
      <c r="C340" s="30" t="s">
        <v>437</v>
      </c>
      <c r="D340" s="31" t="s">
        <v>1793</v>
      </c>
    </row>
    <row r="341" customFormat="false" ht="15" hidden="false" customHeight="true" outlineLevel="0" collapsed="false">
      <c r="A341" s="30" t="s">
        <v>488</v>
      </c>
      <c r="B341" s="31" t="s">
        <v>66</v>
      </c>
      <c r="C341" s="30" t="s">
        <v>437</v>
      </c>
      <c r="D341" s="31" t="s">
        <v>1793</v>
      </c>
    </row>
    <row r="342" customFormat="false" ht="15" hidden="false" customHeight="true" outlineLevel="0" collapsed="false">
      <c r="A342" s="30" t="s">
        <v>489</v>
      </c>
      <c r="B342" s="31" t="s">
        <v>280</v>
      </c>
      <c r="C342" s="30" t="s">
        <v>437</v>
      </c>
      <c r="D342" s="31" t="s">
        <v>1793</v>
      </c>
    </row>
    <row r="343" customFormat="false" ht="15" hidden="false" customHeight="true" outlineLevel="0" collapsed="false">
      <c r="A343" s="30" t="s">
        <v>490</v>
      </c>
      <c r="B343" s="31" t="s">
        <v>250</v>
      </c>
      <c r="C343" s="30" t="s">
        <v>437</v>
      </c>
      <c r="D343" s="31" t="s">
        <v>1793</v>
      </c>
    </row>
    <row r="344" customFormat="false" ht="15" hidden="false" customHeight="true" outlineLevel="0" collapsed="false">
      <c r="A344" s="30" t="s">
        <v>491</v>
      </c>
      <c r="B344" s="31" t="s">
        <v>66</v>
      </c>
      <c r="C344" s="30" t="s">
        <v>437</v>
      </c>
      <c r="D344" s="31" t="s">
        <v>1793</v>
      </c>
    </row>
    <row r="345" customFormat="false" ht="15" hidden="false" customHeight="true" outlineLevel="0" collapsed="false">
      <c r="A345" s="30" t="s">
        <v>492</v>
      </c>
      <c r="B345" s="31" t="s">
        <v>280</v>
      </c>
      <c r="C345" s="30" t="s">
        <v>437</v>
      </c>
      <c r="D345" s="31" t="s">
        <v>1793</v>
      </c>
    </row>
    <row r="346" customFormat="false" ht="15" hidden="false" customHeight="true" outlineLevel="0" collapsed="false">
      <c r="A346" s="30" t="s">
        <v>493</v>
      </c>
      <c r="B346" s="31" t="s">
        <v>250</v>
      </c>
      <c r="C346" s="30" t="s">
        <v>437</v>
      </c>
      <c r="D346" s="31" t="s">
        <v>1793</v>
      </c>
    </row>
    <row r="347" customFormat="false" ht="15" hidden="false" customHeight="true" outlineLevel="0" collapsed="false">
      <c r="A347" s="30" t="s">
        <v>494</v>
      </c>
      <c r="B347" s="31" t="s">
        <v>66</v>
      </c>
      <c r="C347" s="30" t="s">
        <v>437</v>
      </c>
      <c r="D347" s="31" t="s">
        <v>1793</v>
      </c>
    </row>
    <row r="348" customFormat="false" ht="15" hidden="false" customHeight="true" outlineLevel="0" collapsed="false">
      <c r="A348" s="30" t="s">
        <v>495</v>
      </c>
      <c r="B348" s="31" t="s">
        <v>280</v>
      </c>
      <c r="C348" s="30" t="s">
        <v>437</v>
      </c>
      <c r="D348" s="31" t="s">
        <v>1793</v>
      </c>
    </row>
    <row r="349" customFormat="false" ht="15" hidden="false" customHeight="true" outlineLevel="0" collapsed="false">
      <c r="A349" s="30" t="s">
        <v>496</v>
      </c>
      <c r="B349" s="31" t="s">
        <v>66</v>
      </c>
      <c r="C349" s="30" t="s">
        <v>437</v>
      </c>
      <c r="D349" s="31" t="s">
        <v>1793</v>
      </c>
    </row>
    <row r="350" customFormat="false" ht="15" hidden="false" customHeight="true" outlineLevel="0" collapsed="false">
      <c r="A350" s="30" t="s">
        <v>497</v>
      </c>
      <c r="B350" s="31" t="s">
        <v>280</v>
      </c>
      <c r="C350" s="30" t="s">
        <v>437</v>
      </c>
      <c r="D350" s="31" t="s">
        <v>1793</v>
      </c>
    </row>
    <row r="351" customFormat="false" ht="15" hidden="false" customHeight="true" outlineLevel="0" collapsed="false">
      <c r="A351" s="30" t="s">
        <v>498</v>
      </c>
      <c r="B351" s="31" t="s">
        <v>250</v>
      </c>
      <c r="C351" s="30" t="s">
        <v>437</v>
      </c>
      <c r="D351" s="31" t="s">
        <v>1793</v>
      </c>
    </row>
    <row r="352" customFormat="false" ht="15" hidden="false" customHeight="true" outlineLevel="0" collapsed="false">
      <c r="A352" s="30" t="s">
        <v>499</v>
      </c>
      <c r="B352" s="31" t="s">
        <v>66</v>
      </c>
      <c r="C352" s="30" t="s">
        <v>437</v>
      </c>
      <c r="D352" s="31" t="s">
        <v>1793</v>
      </c>
    </row>
    <row r="353" customFormat="false" ht="15" hidden="false" customHeight="true" outlineLevel="0" collapsed="false">
      <c r="A353" s="30" t="s">
        <v>500</v>
      </c>
      <c r="B353" s="31" t="s">
        <v>280</v>
      </c>
      <c r="C353" s="30" t="s">
        <v>437</v>
      </c>
      <c r="D353" s="31" t="s">
        <v>1793</v>
      </c>
    </row>
    <row r="354" customFormat="false" ht="15" hidden="false" customHeight="true" outlineLevel="0" collapsed="false">
      <c r="A354" s="30" t="s">
        <v>501</v>
      </c>
      <c r="B354" s="31" t="s">
        <v>250</v>
      </c>
      <c r="C354" s="30" t="s">
        <v>437</v>
      </c>
      <c r="D354" s="31" t="s">
        <v>1793</v>
      </c>
    </row>
    <row r="355" customFormat="false" ht="15" hidden="false" customHeight="true" outlineLevel="0" collapsed="false">
      <c r="A355" s="30" t="s">
        <v>502</v>
      </c>
      <c r="B355" s="31" t="s">
        <v>66</v>
      </c>
      <c r="C355" s="30" t="s">
        <v>437</v>
      </c>
      <c r="D355" s="31" t="s">
        <v>1793</v>
      </c>
    </row>
    <row r="356" customFormat="false" ht="15" hidden="false" customHeight="true" outlineLevel="0" collapsed="false">
      <c r="A356" s="30" t="s">
        <v>503</v>
      </c>
      <c r="B356" s="31" t="s">
        <v>280</v>
      </c>
      <c r="C356" s="30" t="s">
        <v>437</v>
      </c>
      <c r="D356" s="31" t="s">
        <v>1793</v>
      </c>
    </row>
    <row r="357" customFormat="false" ht="15" hidden="false" customHeight="true" outlineLevel="0" collapsed="false">
      <c r="A357" s="30" t="s">
        <v>504</v>
      </c>
      <c r="B357" s="31" t="s">
        <v>66</v>
      </c>
      <c r="C357" s="30" t="s">
        <v>437</v>
      </c>
      <c r="D357" s="31" t="s">
        <v>1793</v>
      </c>
    </row>
    <row r="358" customFormat="false" ht="15" hidden="false" customHeight="true" outlineLevel="0" collapsed="false">
      <c r="A358" s="30" t="s">
        <v>505</v>
      </c>
      <c r="B358" s="31" t="s">
        <v>280</v>
      </c>
      <c r="C358" s="30" t="s">
        <v>437</v>
      </c>
      <c r="D358" s="31" t="s">
        <v>1793</v>
      </c>
    </row>
    <row r="359" customFormat="false" ht="15" hidden="false" customHeight="true" outlineLevel="0" collapsed="false">
      <c r="A359" s="30" t="s">
        <v>506</v>
      </c>
      <c r="B359" s="31" t="s">
        <v>66</v>
      </c>
      <c r="C359" s="30" t="s">
        <v>437</v>
      </c>
      <c r="D359" s="31" t="s">
        <v>1793</v>
      </c>
    </row>
    <row r="360" customFormat="false" ht="15" hidden="false" customHeight="true" outlineLevel="0" collapsed="false">
      <c r="A360" s="30" t="s">
        <v>507</v>
      </c>
      <c r="B360" s="31" t="s">
        <v>280</v>
      </c>
      <c r="C360" s="30" t="s">
        <v>437</v>
      </c>
      <c r="D360" s="31" t="s">
        <v>1793</v>
      </c>
    </row>
    <row r="361" customFormat="false" ht="15" hidden="false" customHeight="true" outlineLevel="0" collapsed="false">
      <c r="A361" s="30" t="s">
        <v>508</v>
      </c>
      <c r="B361" s="31" t="s">
        <v>66</v>
      </c>
      <c r="C361" s="30" t="s">
        <v>437</v>
      </c>
      <c r="D361" s="31" t="s">
        <v>1793</v>
      </c>
    </row>
    <row r="362" customFormat="false" ht="15" hidden="false" customHeight="true" outlineLevel="0" collapsed="false">
      <c r="A362" s="30" t="s">
        <v>509</v>
      </c>
      <c r="B362" s="31" t="s">
        <v>280</v>
      </c>
      <c r="C362" s="30" t="s">
        <v>437</v>
      </c>
      <c r="D362" s="31" t="s">
        <v>1793</v>
      </c>
    </row>
    <row r="363" customFormat="false" ht="15" hidden="false" customHeight="true" outlineLevel="0" collapsed="false">
      <c r="A363" s="30" t="s">
        <v>510</v>
      </c>
      <c r="B363" s="31" t="s">
        <v>66</v>
      </c>
      <c r="C363" s="30" t="s">
        <v>437</v>
      </c>
      <c r="D363" s="31" t="s">
        <v>1793</v>
      </c>
    </row>
    <row r="364" customFormat="false" ht="15" hidden="false" customHeight="true" outlineLevel="0" collapsed="false">
      <c r="A364" s="30" t="s">
        <v>511</v>
      </c>
      <c r="B364" s="31" t="s">
        <v>280</v>
      </c>
      <c r="C364" s="30" t="s">
        <v>437</v>
      </c>
      <c r="D364" s="31" t="s">
        <v>1793</v>
      </c>
    </row>
    <row r="365" customFormat="false" ht="15" hidden="false" customHeight="true" outlineLevel="0" collapsed="false">
      <c r="A365" s="30" t="s">
        <v>512</v>
      </c>
      <c r="B365" s="31" t="s">
        <v>66</v>
      </c>
      <c r="C365" s="30" t="s">
        <v>437</v>
      </c>
      <c r="D365" s="31" t="s">
        <v>1793</v>
      </c>
    </row>
    <row r="366" customFormat="false" ht="15" hidden="false" customHeight="true" outlineLevel="0" collapsed="false">
      <c r="A366" s="30" t="s">
        <v>513</v>
      </c>
      <c r="B366" s="31" t="s">
        <v>66</v>
      </c>
      <c r="C366" s="30" t="s">
        <v>437</v>
      </c>
      <c r="D366" s="31" t="s">
        <v>1793</v>
      </c>
    </row>
    <row r="367" customFormat="false" ht="15" hidden="false" customHeight="true" outlineLevel="0" collapsed="false">
      <c r="A367" s="30" t="s">
        <v>514</v>
      </c>
      <c r="B367" s="31" t="s">
        <v>280</v>
      </c>
      <c r="C367" s="30" t="s">
        <v>437</v>
      </c>
      <c r="D367" s="31" t="s">
        <v>1793</v>
      </c>
    </row>
    <row r="368" customFormat="false" ht="15" hidden="false" customHeight="true" outlineLevel="0" collapsed="false">
      <c r="A368" s="30" t="s">
        <v>515</v>
      </c>
      <c r="B368" s="31" t="s">
        <v>66</v>
      </c>
      <c r="C368" s="30" t="s">
        <v>437</v>
      </c>
      <c r="D368" s="31" t="s">
        <v>1793</v>
      </c>
    </row>
    <row r="369" customFormat="false" ht="15" hidden="false" customHeight="true" outlineLevel="0" collapsed="false">
      <c r="A369" s="30" t="s">
        <v>516</v>
      </c>
      <c r="B369" s="31" t="s">
        <v>280</v>
      </c>
      <c r="C369" s="30" t="s">
        <v>437</v>
      </c>
      <c r="D369" s="31" t="s">
        <v>1793</v>
      </c>
    </row>
    <row r="370" customFormat="false" ht="15" hidden="false" customHeight="true" outlineLevel="0" collapsed="false">
      <c r="A370" s="30" t="s">
        <v>517</v>
      </c>
      <c r="B370" s="31" t="s">
        <v>66</v>
      </c>
      <c r="C370" s="30" t="s">
        <v>437</v>
      </c>
      <c r="D370" s="31" t="s">
        <v>1793</v>
      </c>
    </row>
    <row r="371" customFormat="false" ht="15" hidden="false" customHeight="true" outlineLevel="0" collapsed="false">
      <c r="A371" s="30" t="s">
        <v>518</v>
      </c>
      <c r="B371" s="31" t="s">
        <v>280</v>
      </c>
      <c r="C371" s="30" t="s">
        <v>437</v>
      </c>
      <c r="D371" s="31" t="s">
        <v>1793</v>
      </c>
    </row>
    <row r="372" customFormat="false" ht="15" hidden="false" customHeight="true" outlineLevel="0" collapsed="false">
      <c r="A372" s="30" t="s">
        <v>519</v>
      </c>
      <c r="B372" s="31" t="s">
        <v>66</v>
      </c>
      <c r="C372" s="30" t="s">
        <v>437</v>
      </c>
      <c r="D372" s="31" t="s">
        <v>1793</v>
      </c>
    </row>
    <row r="373" customFormat="false" ht="15" hidden="false" customHeight="true" outlineLevel="0" collapsed="false">
      <c r="A373" s="30" t="s">
        <v>520</v>
      </c>
      <c r="B373" s="31" t="s">
        <v>280</v>
      </c>
      <c r="C373" s="30" t="s">
        <v>437</v>
      </c>
      <c r="D373" s="31" t="s">
        <v>1793</v>
      </c>
    </row>
    <row r="374" customFormat="false" ht="15" hidden="false" customHeight="true" outlineLevel="0" collapsed="false">
      <c r="A374" s="30" t="s">
        <v>521</v>
      </c>
      <c r="B374" s="31" t="s">
        <v>66</v>
      </c>
      <c r="C374" s="30" t="s">
        <v>437</v>
      </c>
      <c r="D374" s="31" t="s">
        <v>1793</v>
      </c>
    </row>
    <row r="375" customFormat="false" ht="15" hidden="false" customHeight="true" outlineLevel="0" collapsed="false">
      <c r="A375" s="30" t="s">
        <v>522</v>
      </c>
      <c r="B375" s="31" t="s">
        <v>280</v>
      </c>
      <c r="C375" s="30" t="s">
        <v>437</v>
      </c>
      <c r="D375" s="31" t="s">
        <v>1793</v>
      </c>
    </row>
    <row r="376" customFormat="false" ht="15" hidden="false" customHeight="true" outlineLevel="0" collapsed="false">
      <c r="A376" s="30" t="s">
        <v>523</v>
      </c>
      <c r="B376" s="31" t="s">
        <v>250</v>
      </c>
      <c r="C376" s="30" t="s">
        <v>437</v>
      </c>
      <c r="D376" s="31" t="s">
        <v>1793</v>
      </c>
    </row>
    <row r="377" customFormat="false" ht="15" hidden="false" customHeight="true" outlineLevel="0" collapsed="false">
      <c r="A377" s="30" t="s">
        <v>524</v>
      </c>
      <c r="B377" s="31" t="s">
        <v>165</v>
      </c>
      <c r="C377" s="30" t="s">
        <v>437</v>
      </c>
      <c r="D377" s="31" t="s">
        <v>1793</v>
      </c>
    </row>
    <row r="378" customFormat="false" ht="15" hidden="false" customHeight="true" outlineLevel="0" collapsed="false">
      <c r="A378" s="30" t="s">
        <v>525</v>
      </c>
      <c r="B378" s="31" t="s">
        <v>66</v>
      </c>
      <c r="C378" s="30" t="s">
        <v>437</v>
      </c>
      <c r="D378" s="31" t="s">
        <v>1793</v>
      </c>
    </row>
    <row r="379" customFormat="false" ht="15" hidden="false" customHeight="true" outlineLevel="0" collapsed="false">
      <c r="A379" s="30" t="s">
        <v>526</v>
      </c>
      <c r="B379" s="31" t="s">
        <v>280</v>
      </c>
      <c r="C379" s="30" t="s">
        <v>437</v>
      </c>
      <c r="D379" s="31" t="s">
        <v>1793</v>
      </c>
    </row>
    <row r="380" customFormat="false" ht="15" hidden="false" customHeight="true" outlineLevel="0" collapsed="false">
      <c r="A380" s="30" t="s">
        <v>527</v>
      </c>
      <c r="B380" s="31" t="s">
        <v>250</v>
      </c>
      <c r="C380" s="30" t="s">
        <v>437</v>
      </c>
      <c r="D380" s="31" t="s">
        <v>1793</v>
      </c>
    </row>
    <row r="381" customFormat="false" ht="15" hidden="false" customHeight="true" outlineLevel="0" collapsed="false">
      <c r="A381" s="30" t="s">
        <v>528</v>
      </c>
      <c r="B381" s="31" t="s">
        <v>165</v>
      </c>
      <c r="C381" s="30" t="s">
        <v>437</v>
      </c>
      <c r="D381" s="31" t="s">
        <v>1793</v>
      </c>
    </row>
    <row r="382" customFormat="false" ht="15" hidden="false" customHeight="true" outlineLevel="0" collapsed="false">
      <c r="A382" s="30" t="s">
        <v>529</v>
      </c>
      <c r="B382" s="31" t="s">
        <v>66</v>
      </c>
      <c r="C382" s="30" t="s">
        <v>437</v>
      </c>
      <c r="D382" s="31" t="s">
        <v>1793</v>
      </c>
    </row>
    <row r="383" customFormat="false" ht="15" hidden="false" customHeight="true" outlineLevel="0" collapsed="false">
      <c r="A383" s="30" t="s">
        <v>530</v>
      </c>
      <c r="B383" s="31" t="s">
        <v>280</v>
      </c>
      <c r="C383" s="30" t="s">
        <v>437</v>
      </c>
      <c r="D383" s="31" t="s">
        <v>1793</v>
      </c>
    </row>
    <row r="384" customFormat="false" ht="15" hidden="false" customHeight="true" outlineLevel="0" collapsed="false">
      <c r="A384" s="30" t="s">
        <v>531</v>
      </c>
      <c r="B384" s="31" t="s">
        <v>66</v>
      </c>
      <c r="C384" s="30" t="s">
        <v>437</v>
      </c>
      <c r="D384" s="31" t="s">
        <v>1793</v>
      </c>
    </row>
    <row r="385" customFormat="false" ht="15" hidden="false" customHeight="true" outlineLevel="0" collapsed="false">
      <c r="A385" s="30" t="s">
        <v>532</v>
      </c>
      <c r="B385" s="31" t="s">
        <v>280</v>
      </c>
      <c r="C385" s="30" t="s">
        <v>437</v>
      </c>
      <c r="D385" s="31" t="s">
        <v>1793</v>
      </c>
    </row>
    <row r="386" customFormat="false" ht="15" hidden="false" customHeight="true" outlineLevel="0" collapsed="false">
      <c r="A386" s="30" t="s">
        <v>533</v>
      </c>
      <c r="B386" s="31" t="s">
        <v>250</v>
      </c>
      <c r="C386" s="30" t="s">
        <v>437</v>
      </c>
      <c r="D386" s="31" t="s">
        <v>1793</v>
      </c>
    </row>
    <row r="387" customFormat="false" ht="15" hidden="false" customHeight="true" outlineLevel="0" collapsed="false">
      <c r="A387" s="30" t="s">
        <v>534</v>
      </c>
      <c r="B387" s="31" t="s">
        <v>66</v>
      </c>
      <c r="C387" s="30" t="s">
        <v>437</v>
      </c>
      <c r="D387" s="31" t="s">
        <v>1793</v>
      </c>
    </row>
    <row r="388" customFormat="false" ht="15" hidden="false" customHeight="true" outlineLevel="0" collapsed="false">
      <c r="A388" s="30" t="s">
        <v>535</v>
      </c>
      <c r="B388" s="31" t="s">
        <v>280</v>
      </c>
      <c r="C388" s="30" t="s">
        <v>437</v>
      </c>
      <c r="D388" s="31" t="s">
        <v>1793</v>
      </c>
    </row>
    <row r="389" customFormat="false" ht="15" hidden="false" customHeight="true" outlineLevel="0" collapsed="false">
      <c r="A389" s="30" t="s">
        <v>536</v>
      </c>
      <c r="B389" s="31" t="s">
        <v>250</v>
      </c>
      <c r="C389" s="30" t="s">
        <v>437</v>
      </c>
      <c r="D389" s="31" t="s">
        <v>1793</v>
      </c>
    </row>
    <row r="390" customFormat="false" ht="15" hidden="false" customHeight="true" outlineLevel="0" collapsed="false">
      <c r="A390" s="30" t="s">
        <v>537</v>
      </c>
      <c r="B390" s="31" t="s">
        <v>66</v>
      </c>
      <c r="C390" s="30" t="s">
        <v>437</v>
      </c>
      <c r="D390" s="31" t="s">
        <v>1793</v>
      </c>
    </row>
    <row r="391" customFormat="false" ht="15" hidden="false" customHeight="true" outlineLevel="0" collapsed="false">
      <c r="A391" s="30" t="s">
        <v>538</v>
      </c>
      <c r="B391" s="31" t="s">
        <v>280</v>
      </c>
      <c r="C391" s="30" t="s">
        <v>437</v>
      </c>
      <c r="D391" s="31" t="s">
        <v>1793</v>
      </c>
    </row>
    <row r="392" customFormat="false" ht="15" hidden="false" customHeight="true" outlineLevel="0" collapsed="false">
      <c r="A392" s="30" t="s">
        <v>539</v>
      </c>
      <c r="B392" s="31" t="s">
        <v>540</v>
      </c>
      <c r="C392" s="30" t="s">
        <v>437</v>
      </c>
      <c r="D392" s="31" t="s">
        <v>1793</v>
      </c>
    </row>
    <row r="393" customFormat="false" ht="15" hidden="false" customHeight="true" outlineLevel="0" collapsed="false">
      <c r="A393" s="30" t="s">
        <v>541</v>
      </c>
      <c r="B393" s="31" t="s">
        <v>66</v>
      </c>
      <c r="C393" s="30" t="s">
        <v>437</v>
      </c>
      <c r="D393" s="31" t="s">
        <v>1793</v>
      </c>
    </row>
    <row r="394" customFormat="false" ht="15" hidden="false" customHeight="true" outlineLevel="0" collapsed="false">
      <c r="A394" s="30" t="s">
        <v>542</v>
      </c>
      <c r="B394" s="31" t="s">
        <v>280</v>
      </c>
      <c r="C394" s="30" t="s">
        <v>437</v>
      </c>
      <c r="D394" s="31" t="s">
        <v>1793</v>
      </c>
    </row>
    <row r="395" customFormat="false" ht="15" hidden="false" customHeight="true" outlineLevel="0" collapsed="false">
      <c r="A395" s="30" t="s">
        <v>543</v>
      </c>
      <c r="B395" s="31" t="s">
        <v>250</v>
      </c>
      <c r="C395" s="30" t="s">
        <v>437</v>
      </c>
      <c r="D395" s="31" t="s">
        <v>1793</v>
      </c>
    </row>
    <row r="396" customFormat="false" ht="15" hidden="false" customHeight="true" outlineLevel="0" collapsed="false">
      <c r="A396" s="30" t="s">
        <v>544</v>
      </c>
      <c r="B396" s="31" t="s">
        <v>66</v>
      </c>
      <c r="C396" s="30" t="s">
        <v>437</v>
      </c>
      <c r="D396" s="31" t="s">
        <v>1793</v>
      </c>
    </row>
    <row r="397" customFormat="false" ht="15" hidden="false" customHeight="true" outlineLevel="0" collapsed="false">
      <c r="A397" s="30" t="s">
        <v>545</v>
      </c>
      <c r="B397" s="31" t="s">
        <v>280</v>
      </c>
      <c r="C397" s="30" t="s">
        <v>437</v>
      </c>
      <c r="D397" s="31" t="s">
        <v>1793</v>
      </c>
    </row>
    <row r="398" customFormat="false" ht="15" hidden="false" customHeight="true" outlineLevel="0" collapsed="false">
      <c r="A398" s="30" t="s">
        <v>546</v>
      </c>
      <c r="B398" s="31" t="s">
        <v>66</v>
      </c>
      <c r="C398" s="30" t="s">
        <v>437</v>
      </c>
      <c r="D398" s="31" t="s">
        <v>1793</v>
      </c>
    </row>
    <row r="399" customFormat="false" ht="15" hidden="false" customHeight="true" outlineLevel="0" collapsed="false">
      <c r="A399" s="30" t="s">
        <v>547</v>
      </c>
      <c r="B399" s="31" t="s">
        <v>280</v>
      </c>
      <c r="C399" s="30" t="s">
        <v>437</v>
      </c>
      <c r="D399" s="31" t="s">
        <v>1793</v>
      </c>
    </row>
    <row r="400" customFormat="false" ht="15" hidden="false" customHeight="true" outlineLevel="0" collapsed="false">
      <c r="A400" s="30" t="s">
        <v>548</v>
      </c>
      <c r="B400" s="31" t="s">
        <v>66</v>
      </c>
      <c r="C400" s="30" t="s">
        <v>437</v>
      </c>
      <c r="D400" s="31" t="s">
        <v>1793</v>
      </c>
    </row>
    <row r="401" customFormat="false" ht="15" hidden="false" customHeight="true" outlineLevel="0" collapsed="false">
      <c r="A401" s="30" t="s">
        <v>549</v>
      </c>
      <c r="B401" s="31" t="s">
        <v>280</v>
      </c>
      <c r="C401" s="30" t="s">
        <v>437</v>
      </c>
      <c r="D401" s="31" t="s">
        <v>1793</v>
      </c>
    </row>
    <row r="402" customFormat="false" ht="15" hidden="false" customHeight="true" outlineLevel="0" collapsed="false">
      <c r="A402" s="30" t="s">
        <v>550</v>
      </c>
      <c r="B402" s="31" t="s">
        <v>66</v>
      </c>
      <c r="C402" s="30" t="s">
        <v>437</v>
      </c>
      <c r="D402" s="31" t="s">
        <v>1793</v>
      </c>
    </row>
    <row r="403" customFormat="false" ht="15" hidden="false" customHeight="true" outlineLevel="0" collapsed="false">
      <c r="A403" s="30" t="s">
        <v>551</v>
      </c>
      <c r="B403" s="31" t="s">
        <v>280</v>
      </c>
      <c r="C403" s="30" t="s">
        <v>437</v>
      </c>
      <c r="D403" s="31" t="s">
        <v>1793</v>
      </c>
    </row>
    <row r="404" customFormat="false" ht="15" hidden="false" customHeight="true" outlineLevel="0" collapsed="false">
      <c r="A404" s="30" t="s">
        <v>552</v>
      </c>
      <c r="B404" s="31" t="s">
        <v>66</v>
      </c>
      <c r="C404" s="30" t="s">
        <v>437</v>
      </c>
      <c r="D404" s="31" t="s">
        <v>1793</v>
      </c>
    </row>
    <row r="405" customFormat="false" ht="15" hidden="false" customHeight="true" outlineLevel="0" collapsed="false">
      <c r="A405" s="30" t="s">
        <v>553</v>
      </c>
      <c r="B405" s="31" t="s">
        <v>280</v>
      </c>
      <c r="C405" s="30" t="s">
        <v>437</v>
      </c>
      <c r="D405" s="31" t="s">
        <v>1793</v>
      </c>
    </row>
    <row r="406" customFormat="false" ht="15" hidden="false" customHeight="true" outlineLevel="0" collapsed="false">
      <c r="A406" s="30" t="s">
        <v>554</v>
      </c>
      <c r="B406" s="31" t="s">
        <v>66</v>
      </c>
      <c r="C406" s="30" t="s">
        <v>437</v>
      </c>
      <c r="D406" s="31" t="s">
        <v>1793</v>
      </c>
    </row>
    <row r="407" customFormat="false" ht="15" hidden="false" customHeight="true" outlineLevel="0" collapsed="false">
      <c r="A407" s="30" t="s">
        <v>555</v>
      </c>
      <c r="B407" s="31" t="s">
        <v>280</v>
      </c>
      <c r="C407" s="30" t="s">
        <v>437</v>
      </c>
      <c r="D407" s="31" t="s">
        <v>1793</v>
      </c>
    </row>
    <row r="408" customFormat="false" ht="15" hidden="false" customHeight="true" outlineLevel="0" collapsed="false">
      <c r="A408" s="30" t="s">
        <v>556</v>
      </c>
      <c r="B408" s="31" t="s">
        <v>66</v>
      </c>
      <c r="C408" s="30" t="s">
        <v>437</v>
      </c>
      <c r="D408" s="31" t="s">
        <v>1793</v>
      </c>
    </row>
    <row r="409" customFormat="false" ht="15" hidden="false" customHeight="true" outlineLevel="0" collapsed="false">
      <c r="A409" s="30" t="s">
        <v>557</v>
      </c>
      <c r="B409" s="31" t="s">
        <v>280</v>
      </c>
      <c r="C409" s="30" t="s">
        <v>437</v>
      </c>
      <c r="D409" s="31" t="s">
        <v>1793</v>
      </c>
    </row>
    <row r="410" customFormat="false" ht="15" hidden="false" customHeight="true" outlineLevel="0" collapsed="false">
      <c r="A410" s="30" t="s">
        <v>558</v>
      </c>
      <c r="B410" s="31" t="s">
        <v>66</v>
      </c>
      <c r="C410" s="30" t="s">
        <v>437</v>
      </c>
      <c r="D410" s="31" t="s">
        <v>1793</v>
      </c>
    </row>
    <row r="411" customFormat="false" ht="15" hidden="false" customHeight="true" outlineLevel="0" collapsed="false">
      <c r="A411" s="30" t="s">
        <v>559</v>
      </c>
      <c r="B411" s="31" t="s">
        <v>280</v>
      </c>
      <c r="C411" s="30" t="s">
        <v>437</v>
      </c>
      <c r="D411" s="31" t="s">
        <v>1793</v>
      </c>
    </row>
    <row r="412" customFormat="false" ht="15" hidden="false" customHeight="true" outlineLevel="0" collapsed="false">
      <c r="A412" s="30" t="s">
        <v>560</v>
      </c>
      <c r="B412" s="31" t="s">
        <v>66</v>
      </c>
      <c r="C412" s="30" t="s">
        <v>437</v>
      </c>
      <c r="D412" s="31" t="s">
        <v>1793</v>
      </c>
    </row>
    <row r="413" customFormat="false" ht="15" hidden="false" customHeight="true" outlineLevel="0" collapsed="false">
      <c r="A413" s="30" t="s">
        <v>561</v>
      </c>
      <c r="B413" s="31" t="s">
        <v>280</v>
      </c>
      <c r="C413" s="30" t="s">
        <v>437</v>
      </c>
      <c r="D413" s="31" t="s">
        <v>1793</v>
      </c>
    </row>
    <row r="414" customFormat="false" ht="15" hidden="false" customHeight="true" outlineLevel="0" collapsed="false">
      <c r="A414" s="30" t="s">
        <v>562</v>
      </c>
      <c r="B414" s="31" t="s">
        <v>66</v>
      </c>
      <c r="C414" s="30" t="s">
        <v>437</v>
      </c>
      <c r="D414" s="31" t="s">
        <v>1793</v>
      </c>
    </row>
    <row r="415" customFormat="false" ht="15" hidden="false" customHeight="true" outlineLevel="0" collapsed="false">
      <c r="A415" s="30" t="s">
        <v>563</v>
      </c>
      <c r="B415" s="31" t="s">
        <v>280</v>
      </c>
      <c r="C415" s="30" t="s">
        <v>437</v>
      </c>
      <c r="D415" s="31" t="s">
        <v>1793</v>
      </c>
    </row>
    <row r="416" customFormat="false" ht="15" hidden="false" customHeight="true" outlineLevel="0" collapsed="false">
      <c r="A416" s="30" t="s">
        <v>564</v>
      </c>
      <c r="B416" s="31" t="s">
        <v>66</v>
      </c>
      <c r="C416" s="30" t="s">
        <v>437</v>
      </c>
      <c r="D416" s="31" t="s">
        <v>1793</v>
      </c>
    </row>
    <row r="417" customFormat="false" ht="15" hidden="false" customHeight="true" outlineLevel="0" collapsed="false">
      <c r="A417" s="30" t="s">
        <v>565</v>
      </c>
      <c r="B417" s="31" t="s">
        <v>280</v>
      </c>
      <c r="C417" s="30" t="s">
        <v>437</v>
      </c>
      <c r="D417" s="31" t="s">
        <v>1793</v>
      </c>
    </row>
    <row r="418" customFormat="false" ht="15" hidden="false" customHeight="true" outlineLevel="0" collapsed="false">
      <c r="A418" s="30" t="s">
        <v>566</v>
      </c>
      <c r="B418" s="31" t="s">
        <v>567</v>
      </c>
      <c r="C418" s="30" t="s">
        <v>437</v>
      </c>
      <c r="D418" s="31" t="s">
        <v>1793</v>
      </c>
    </row>
    <row r="419" customFormat="false" ht="15" hidden="false" customHeight="true" outlineLevel="0" collapsed="false">
      <c r="A419" s="30" t="s">
        <v>568</v>
      </c>
      <c r="B419" s="31" t="s">
        <v>569</v>
      </c>
      <c r="C419" s="30" t="s">
        <v>437</v>
      </c>
      <c r="D419" s="31" t="s">
        <v>1793</v>
      </c>
    </row>
    <row r="420" customFormat="false" ht="15" hidden="false" customHeight="true" outlineLevel="0" collapsed="false">
      <c r="A420" s="30" t="s">
        <v>570</v>
      </c>
      <c r="B420" s="31" t="s">
        <v>385</v>
      </c>
      <c r="C420" s="30" t="s">
        <v>437</v>
      </c>
      <c r="D420" s="31" t="s">
        <v>1793</v>
      </c>
    </row>
    <row r="421" customFormat="false" ht="15" hidden="false" customHeight="true" outlineLevel="0" collapsed="false">
      <c r="A421" s="30" t="s">
        <v>571</v>
      </c>
      <c r="B421" s="31" t="s">
        <v>387</v>
      </c>
      <c r="C421" s="30" t="s">
        <v>437</v>
      </c>
      <c r="D421" s="31" t="s">
        <v>1793</v>
      </c>
    </row>
    <row r="422" customFormat="false" ht="15" hidden="false" customHeight="true" outlineLevel="0" collapsed="false">
      <c r="A422" s="30" t="s">
        <v>572</v>
      </c>
      <c r="B422" s="31" t="s">
        <v>389</v>
      </c>
      <c r="C422" s="30" t="s">
        <v>437</v>
      </c>
      <c r="D422" s="31" t="s">
        <v>1793</v>
      </c>
    </row>
    <row r="423" customFormat="false" ht="15" hidden="false" customHeight="true" outlineLevel="0" collapsed="false">
      <c r="A423" s="30" t="s">
        <v>573</v>
      </c>
      <c r="B423" s="31" t="s">
        <v>574</v>
      </c>
      <c r="C423" s="30" t="s">
        <v>437</v>
      </c>
      <c r="D423" s="31" t="s">
        <v>1793</v>
      </c>
    </row>
    <row r="424" customFormat="false" ht="15" hidden="false" customHeight="true" outlineLevel="0" collapsed="false">
      <c r="A424" s="30" t="s">
        <v>575</v>
      </c>
      <c r="B424" s="31" t="s">
        <v>66</v>
      </c>
      <c r="C424" s="30" t="s">
        <v>437</v>
      </c>
      <c r="D424" s="31" t="s">
        <v>1793</v>
      </c>
    </row>
    <row r="425" customFormat="false" ht="15" hidden="false" customHeight="true" outlineLevel="0" collapsed="false">
      <c r="A425" s="30" t="s">
        <v>576</v>
      </c>
      <c r="B425" s="31" t="s">
        <v>250</v>
      </c>
      <c r="C425" s="30" t="s">
        <v>437</v>
      </c>
      <c r="D425" s="31" t="s">
        <v>1793</v>
      </c>
    </row>
    <row r="426" customFormat="false" ht="15" hidden="false" customHeight="true" outlineLevel="0" collapsed="false">
      <c r="A426" s="30" t="s">
        <v>577</v>
      </c>
      <c r="B426" s="31" t="s">
        <v>66</v>
      </c>
      <c r="C426" s="30" t="s">
        <v>437</v>
      </c>
      <c r="D426" s="31" t="s">
        <v>1793</v>
      </c>
    </row>
    <row r="427" customFormat="false" ht="15" hidden="false" customHeight="true" outlineLevel="0" collapsed="false">
      <c r="A427" s="30" t="s">
        <v>578</v>
      </c>
      <c r="B427" s="31" t="s">
        <v>250</v>
      </c>
      <c r="C427" s="30" t="s">
        <v>437</v>
      </c>
      <c r="D427" s="31" t="s">
        <v>1793</v>
      </c>
    </row>
    <row r="428" customFormat="false" ht="15" hidden="false" customHeight="true" outlineLevel="0" collapsed="false">
      <c r="A428" s="30" t="s">
        <v>579</v>
      </c>
      <c r="B428" s="31" t="s">
        <v>66</v>
      </c>
      <c r="C428" s="30" t="s">
        <v>437</v>
      </c>
      <c r="D428" s="31" t="s">
        <v>1793</v>
      </c>
    </row>
    <row r="429" customFormat="false" ht="15" hidden="false" customHeight="true" outlineLevel="0" collapsed="false">
      <c r="A429" s="30" t="s">
        <v>580</v>
      </c>
      <c r="B429" s="31" t="s">
        <v>280</v>
      </c>
      <c r="C429" s="30" t="s">
        <v>437</v>
      </c>
      <c r="D429" s="31" t="s">
        <v>1793</v>
      </c>
    </row>
    <row r="430" customFormat="false" ht="15" hidden="false" customHeight="true" outlineLevel="0" collapsed="false">
      <c r="A430" s="30" t="s">
        <v>581</v>
      </c>
      <c r="B430" s="31" t="s">
        <v>66</v>
      </c>
      <c r="C430" s="30" t="s">
        <v>437</v>
      </c>
      <c r="D430" s="31" t="s">
        <v>1793</v>
      </c>
    </row>
    <row r="431" customFormat="false" ht="15" hidden="false" customHeight="true" outlineLevel="0" collapsed="false">
      <c r="A431" s="30" t="s">
        <v>582</v>
      </c>
      <c r="B431" s="31" t="s">
        <v>280</v>
      </c>
      <c r="C431" s="30" t="s">
        <v>437</v>
      </c>
      <c r="D431" s="31" t="s">
        <v>1793</v>
      </c>
    </row>
    <row r="432" customFormat="false" ht="15" hidden="false" customHeight="true" outlineLevel="0" collapsed="false">
      <c r="A432" s="30" t="s">
        <v>583</v>
      </c>
      <c r="B432" s="31" t="s">
        <v>66</v>
      </c>
      <c r="C432" s="30" t="s">
        <v>437</v>
      </c>
      <c r="D432" s="31" t="s">
        <v>1793</v>
      </c>
    </row>
    <row r="433" customFormat="false" ht="15" hidden="false" customHeight="true" outlineLevel="0" collapsed="false">
      <c r="A433" s="30" t="s">
        <v>584</v>
      </c>
      <c r="B433" s="31" t="s">
        <v>280</v>
      </c>
      <c r="C433" s="30" t="s">
        <v>437</v>
      </c>
      <c r="D433" s="31" t="s">
        <v>1793</v>
      </c>
    </row>
    <row r="434" customFormat="false" ht="15" hidden="false" customHeight="true" outlineLevel="0" collapsed="false">
      <c r="A434" s="30" t="s">
        <v>585</v>
      </c>
      <c r="B434" s="31" t="s">
        <v>66</v>
      </c>
      <c r="C434" s="30" t="s">
        <v>437</v>
      </c>
      <c r="D434" s="31" t="s">
        <v>1793</v>
      </c>
    </row>
    <row r="435" customFormat="false" ht="15" hidden="false" customHeight="true" outlineLevel="0" collapsed="false">
      <c r="A435" s="30" t="s">
        <v>586</v>
      </c>
      <c r="B435" s="31" t="s">
        <v>280</v>
      </c>
      <c r="C435" s="30" t="s">
        <v>437</v>
      </c>
      <c r="D435" s="31" t="s">
        <v>1793</v>
      </c>
    </row>
    <row r="436" customFormat="false" ht="15" hidden="false" customHeight="true" outlineLevel="0" collapsed="false">
      <c r="A436" s="30" t="s">
        <v>587</v>
      </c>
      <c r="B436" s="31" t="s">
        <v>66</v>
      </c>
      <c r="C436" s="30" t="s">
        <v>437</v>
      </c>
      <c r="D436" s="31" t="s">
        <v>1793</v>
      </c>
    </row>
    <row r="437" customFormat="false" ht="15" hidden="false" customHeight="true" outlineLevel="0" collapsed="false">
      <c r="A437" s="30" t="s">
        <v>588</v>
      </c>
      <c r="B437" s="31" t="s">
        <v>280</v>
      </c>
      <c r="C437" s="30" t="s">
        <v>437</v>
      </c>
      <c r="D437" s="31" t="s">
        <v>1793</v>
      </c>
    </row>
    <row r="438" customFormat="false" ht="15" hidden="false" customHeight="true" outlineLevel="0" collapsed="false">
      <c r="A438" s="30" t="s">
        <v>589</v>
      </c>
      <c r="B438" s="31" t="s">
        <v>66</v>
      </c>
      <c r="C438" s="30" t="s">
        <v>437</v>
      </c>
      <c r="D438" s="31" t="s">
        <v>1793</v>
      </c>
    </row>
    <row r="439" customFormat="false" ht="15" hidden="false" customHeight="true" outlineLevel="0" collapsed="false">
      <c r="A439" s="30" t="s">
        <v>590</v>
      </c>
      <c r="B439" s="31" t="s">
        <v>280</v>
      </c>
      <c r="C439" s="30" t="s">
        <v>437</v>
      </c>
      <c r="D439" s="31" t="s">
        <v>1793</v>
      </c>
    </row>
    <row r="440" customFormat="false" ht="15" hidden="false" customHeight="true" outlineLevel="0" collapsed="false">
      <c r="A440" s="30" t="s">
        <v>591</v>
      </c>
      <c r="B440" s="31" t="s">
        <v>66</v>
      </c>
      <c r="C440" s="30" t="s">
        <v>437</v>
      </c>
      <c r="D440" s="31" t="s">
        <v>1793</v>
      </c>
    </row>
    <row r="441" customFormat="false" ht="15" hidden="false" customHeight="true" outlineLevel="0" collapsed="false">
      <c r="A441" s="30" t="s">
        <v>592</v>
      </c>
      <c r="B441" s="31" t="s">
        <v>280</v>
      </c>
      <c r="C441" s="30" t="s">
        <v>437</v>
      </c>
      <c r="D441" s="31" t="s">
        <v>1793</v>
      </c>
    </row>
    <row r="442" customFormat="false" ht="15" hidden="false" customHeight="true" outlineLevel="0" collapsed="false">
      <c r="A442" s="30" t="s">
        <v>593</v>
      </c>
      <c r="B442" s="31" t="s">
        <v>250</v>
      </c>
      <c r="C442" s="30" t="s">
        <v>437</v>
      </c>
      <c r="D442" s="31" t="s">
        <v>1793</v>
      </c>
    </row>
    <row r="443" customFormat="false" ht="15" hidden="false" customHeight="true" outlineLevel="0" collapsed="false">
      <c r="A443" s="30" t="s">
        <v>594</v>
      </c>
      <c r="B443" s="31" t="s">
        <v>66</v>
      </c>
      <c r="C443" s="30" t="s">
        <v>437</v>
      </c>
      <c r="D443" s="31" t="s">
        <v>1793</v>
      </c>
    </row>
    <row r="444" customFormat="false" ht="15" hidden="false" customHeight="true" outlineLevel="0" collapsed="false">
      <c r="A444" s="30" t="s">
        <v>595</v>
      </c>
      <c r="B444" s="31" t="s">
        <v>280</v>
      </c>
      <c r="C444" s="30" t="s">
        <v>437</v>
      </c>
      <c r="D444" s="31" t="s">
        <v>1793</v>
      </c>
    </row>
    <row r="445" customFormat="false" ht="15" hidden="false" customHeight="true" outlineLevel="0" collapsed="false">
      <c r="A445" s="30" t="s">
        <v>596</v>
      </c>
      <c r="B445" s="31" t="s">
        <v>250</v>
      </c>
      <c r="C445" s="30" t="s">
        <v>437</v>
      </c>
      <c r="D445" s="31" t="s">
        <v>1793</v>
      </c>
    </row>
    <row r="446" customFormat="false" ht="15" hidden="false" customHeight="true" outlineLevel="0" collapsed="false">
      <c r="A446" s="30" t="s">
        <v>597</v>
      </c>
      <c r="B446" s="31" t="s">
        <v>66</v>
      </c>
      <c r="C446" s="30" t="s">
        <v>437</v>
      </c>
      <c r="D446" s="31" t="s">
        <v>1793</v>
      </c>
    </row>
    <row r="447" customFormat="false" ht="15" hidden="false" customHeight="true" outlineLevel="0" collapsed="false">
      <c r="A447" s="30" t="s">
        <v>598</v>
      </c>
      <c r="B447" s="31" t="s">
        <v>280</v>
      </c>
      <c r="C447" s="30" t="s">
        <v>437</v>
      </c>
      <c r="D447" s="31" t="s">
        <v>1793</v>
      </c>
    </row>
    <row r="448" customFormat="false" ht="15" hidden="false" customHeight="true" outlineLevel="0" collapsed="false">
      <c r="A448" s="30" t="s">
        <v>599</v>
      </c>
      <c r="B448" s="31" t="s">
        <v>66</v>
      </c>
      <c r="C448" s="30" t="s">
        <v>437</v>
      </c>
      <c r="D448" s="31" t="s">
        <v>1793</v>
      </c>
    </row>
    <row r="449" customFormat="false" ht="15" hidden="false" customHeight="true" outlineLevel="0" collapsed="false">
      <c r="A449" s="30" t="s">
        <v>600</v>
      </c>
      <c r="B449" s="31" t="s">
        <v>280</v>
      </c>
      <c r="C449" s="30" t="s">
        <v>437</v>
      </c>
      <c r="D449" s="31" t="s">
        <v>1793</v>
      </c>
    </row>
    <row r="450" customFormat="false" ht="15" hidden="false" customHeight="true" outlineLevel="0" collapsed="false">
      <c r="A450" s="30" t="s">
        <v>601</v>
      </c>
      <c r="B450" s="31" t="s">
        <v>602</v>
      </c>
      <c r="C450" s="30" t="s">
        <v>437</v>
      </c>
      <c r="D450" s="31" t="s">
        <v>1793</v>
      </c>
    </row>
    <row r="451" customFormat="false" ht="15" hidden="false" customHeight="true" outlineLevel="0" collapsed="false">
      <c r="A451" s="30" t="s">
        <v>603</v>
      </c>
      <c r="B451" s="31" t="s">
        <v>66</v>
      </c>
      <c r="C451" s="30" t="s">
        <v>437</v>
      </c>
      <c r="D451" s="31" t="s">
        <v>1793</v>
      </c>
    </row>
    <row r="452" customFormat="false" ht="15" hidden="false" customHeight="true" outlineLevel="0" collapsed="false">
      <c r="A452" s="30" t="s">
        <v>604</v>
      </c>
      <c r="B452" s="31" t="s">
        <v>280</v>
      </c>
      <c r="C452" s="30" t="s">
        <v>437</v>
      </c>
      <c r="D452" s="31" t="s">
        <v>1793</v>
      </c>
    </row>
    <row r="453" customFormat="false" ht="15" hidden="false" customHeight="true" outlineLevel="0" collapsed="false">
      <c r="A453" s="30" t="s">
        <v>605</v>
      </c>
      <c r="B453" s="31" t="s">
        <v>66</v>
      </c>
      <c r="C453" s="30" t="s">
        <v>437</v>
      </c>
      <c r="D453" s="31" t="s">
        <v>1793</v>
      </c>
    </row>
    <row r="454" customFormat="false" ht="15" hidden="false" customHeight="true" outlineLevel="0" collapsed="false">
      <c r="A454" s="30" t="s">
        <v>606</v>
      </c>
      <c r="B454" s="31" t="s">
        <v>250</v>
      </c>
      <c r="C454" s="30" t="s">
        <v>437</v>
      </c>
      <c r="D454" s="31" t="s">
        <v>1793</v>
      </c>
    </row>
    <row r="455" customFormat="false" ht="15" hidden="false" customHeight="true" outlineLevel="0" collapsed="false">
      <c r="A455" s="30" t="s">
        <v>607</v>
      </c>
      <c r="B455" s="31" t="s">
        <v>165</v>
      </c>
      <c r="C455" s="30" t="s">
        <v>437</v>
      </c>
      <c r="D455" s="31" t="s">
        <v>1793</v>
      </c>
    </row>
    <row r="456" customFormat="false" ht="15" hidden="false" customHeight="true" outlineLevel="0" collapsed="false">
      <c r="A456" s="30" t="s">
        <v>608</v>
      </c>
      <c r="B456" s="31" t="s">
        <v>66</v>
      </c>
      <c r="C456" s="30" t="s">
        <v>437</v>
      </c>
      <c r="D456" s="31" t="s">
        <v>1793</v>
      </c>
    </row>
    <row r="457" customFormat="false" ht="15" hidden="false" customHeight="true" outlineLevel="0" collapsed="false">
      <c r="A457" s="30" t="s">
        <v>609</v>
      </c>
      <c r="B457" s="31" t="s">
        <v>250</v>
      </c>
      <c r="C457" s="30" t="s">
        <v>437</v>
      </c>
      <c r="D457" s="31" t="s">
        <v>1793</v>
      </c>
    </row>
    <row r="458" customFormat="false" ht="15" hidden="false" customHeight="true" outlineLevel="0" collapsed="false">
      <c r="A458" s="30" t="s">
        <v>610</v>
      </c>
      <c r="B458" s="31" t="s">
        <v>165</v>
      </c>
      <c r="C458" s="30" t="s">
        <v>437</v>
      </c>
      <c r="D458" s="31" t="s">
        <v>1793</v>
      </c>
    </row>
    <row r="459" customFormat="false" ht="15" hidden="false" customHeight="true" outlineLevel="0" collapsed="false">
      <c r="A459" s="30" t="s">
        <v>611</v>
      </c>
      <c r="B459" s="31" t="s">
        <v>66</v>
      </c>
      <c r="C459" s="30" t="s">
        <v>437</v>
      </c>
      <c r="D459" s="31" t="s">
        <v>1793</v>
      </c>
    </row>
    <row r="460" customFormat="false" ht="15" hidden="false" customHeight="true" outlineLevel="0" collapsed="false">
      <c r="A460" s="30" t="s">
        <v>612</v>
      </c>
      <c r="B460" s="31" t="s">
        <v>250</v>
      </c>
      <c r="C460" s="30" t="s">
        <v>437</v>
      </c>
      <c r="D460" s="31" t="s">
        <v>1793</v>
      </c>
    </row>
    <row r="461" customFormat="false" ht="15" hidden="false" customHeight="true" outlineLevel="0" collapsed="false">
      <c r="A461" s="30" t="s">
        <v>613</v>
      </c>
      <c r="B461" s="31" t="s">
        <v>165</v>
      </c>
      <c r="C461" s="30" t="s">
        <v>437</v>
      </c>
      <c r="D461" s="31" t="s">
        <v>1793</v>
      </c>
    </row>
    <row r="462" customFormat="false" ht="15" hidden="false" customHeight="true" outlineLevel="0" collapsed="false">
      <c r="A462" s="30" t="s">
        <v>614</v>
      </c>
      <c r="B462" s="31" t="s">
        <v>66</v>
      </c>
      <c r="C462" s="30" t="s">
        <v>437</v>
      </c>
      <c r="D462" s="31" t="s">
        <v>1793</v>
      </c>
    </row>
    <row r="463" customFormat="false" ht="15" hidden="false" customHeight="true" outlineLevel="0" collapsed="false">
      <c r="A463" s="30" t="s">
        <v>615</v>
      </c>
      <c r="B463" s="31" t="s">
        <v>250</v>
      </c>
      <c r="C463" s="30" t="s">
        <v>437</v>
      </c>
      <c r="D463" s="31" t="s">
        <v>1793</v>
      </c>
    </row>
    <row r="464" customFormat="false" ht="15" hidden="false" customHeight="true" outlineLevel="0" collapsed="false">
      <c r="A464" s="30" t="s">
        <v>616</v>
      </c>
      <c r="B464" s="31" t="s">
        <v>165</v>
      </c>
      <c r="C464" s="30" t="s">
        <v>437</v>
      </c>
      <c r="D464" s="31" t="s">
        <v>1793</v>
      </c>
    </row>
    <row r="465" customFormat="false" ht="15" hidden="false" customHeight="true" outlineLevel="0" collapsed="false">
      <c r="A465" s="30" t="s">
        <v>617</v>
      </c>
      <c r="B465" s="31" t="s">
        <v>66</v>
      </c>
      <c r="C465" s="30" t="s">
        <v>437</v>
      </c>
      <c r="D465" s="31" t="s">
        <v>1793</v>
      </c>
    </row>
    <row r="466" customFormat="false" ht="15" hidden="false" customHeight="true" outlineLevel="0" collapsed="false">
      <c r="A466" s="30" t="s">
        <v>618</v>
      </c>
      <c r="B466" s="31" t="s">
        <v>280</v>
      </c>
      <c r="C466" s="30" t="s">
        <v>437</v>
      </c>
      <c r="D466" s="31" t="s">
        <v>1793</v>
      </c>
    </row>
    <row r="467" customFormat="false" ht="15" hidden="false" customHeight="true" outlineLevel="0" collapsed="false">
      <c r="A467" s="30" t="s">
        <v>619</v>
      </c>
      <c r="B467" s="31" t="s">
        <v>66</v>
      </c>
      <c r="C467" s="30" t="s">
        <v>437</v>
      </c>
      <c r="D467" s="31" t="s">
        <v>1793</v>
      </c>
    </row>
    <row r="468" customFormat="false" ht="15" hidden="false" customHeight="true" outlineLevel="0" collapsed="false">
      <c r="A468" s="30" t="s">
        <v>620</v>
      </c>
      <c r="B468" s="31" t="s">
        <v>280</v>
      </c>
      <c r="C468" s="30" t="s">
        <v>437</v>
      </c>
      <c r="D468" s="31" t="s">
        <v>1793</v>
      </c>
    </row>
    <row r="469" customFormat="false" ht="15" hidden="false" customHeight="true" outlineLevel="0" collapsed="false">
      <c r="A469" s="30" t="s">
        <v>621</v>
      </c>
      <c r="B469" s="31" t="s">
        <v>250</v>
      </c>
      <c r="C469" s="30" t="s">
        <v>437</v>
      </c>
      <c r="D469" s="31" t="s">
        <v>1793</v>
      </c>
    </row>
    <row r="470" customFormat="false" ht="15" hidden="false" customHeight="true" outlineLevel="0" collapsed="false">
      <c r="A470" s="30" t="s">
        <v>622</v>
      </c>
      <c r="B470" s="31" t="s">
        <v>66</v>
      </c>
      <c r="C470" s="30" t="s">
        <v>437</v>
      </c>
      <c r="D470" s="31" t="s">
        <v>1793</v>
      </c>
    </row>
    <row r="471" customFormat="false" ht="15" hidden="false" customHeight="true" outlineLevel="0" collapsed="false">
      <c r="A471" s="30" t="s">
        <v>623</v>
      </c>
      <c r="B471" s="31" t="s">
        <v>280</v>
      </c>
      <c r="C471" s="30" t="s">
        <v>437</v>
      </c>
      <c r="D471" s="31" t="s">
        <v>1793</v>
      </c>
    </row>
    <row r="472" customFormat="false" ht="15" hidden="false" customHeight="true" outlineLevel="0" collapsed="false">
      <c r="A472" s="30" t="s">
        <v>624</v>
      </c>
      <c r="B472" s="31" t="s">
        <v>250</v>
      </c>
      <c r="C472" s="30" t="s">
        <v>437</v>
      </c>
      <c r="D472" s="31" t="s">
        <v>1793</v>
      </c>
    </row>
    <row r="473" customFormat="false" ht="15" hidden="false" customHeight="true" outlineLevel="0" collapsed="false">
      <c r="A473" s="30" t="s">
        <v>625</v>
      </c>
      <c r="B473" s="31" t="s">
        <v>66</v>
      </c>
      <c r="C473" s="30" t="s">
        <v>437</v>
      </c>
      <c r="D473" s="31" t="s">
        <v>1793</v>
      </c>
    </row>
    <row r="474" customFormat="false" ht="15" hidden="false" customHeight="true" outlineLevel="0" collapsed="false">
      <c r="A474" s="30" t="s">
        <v>626</v>
      </c>
      <c r="B474" s="31" t="s">
        <v>280</v>
      </c>
      <c r="C474" s="30" t="s">
        <v>437</v>
      </c>
      <c r="D474" s="31" t="s">
        <v>1793</v>
      </c>
    </row>
    <row r="475" customFormat="false" ht="15" hidden="false" customHeight="true" outlineLevel="0" collapsed="false">
      <c r="A475" s="30" t="s">
        <v>627</v>
      </c>
      <c r="B475" s="31" t="s">
        <v>66</v>
      </c>
      <c r="C475" s="30" t="s">
        <v>437</v>
      </c>
      <c r="D475" s="31" t="s">
        <v>1793</v>
      </c>
    </row>
    <row r="476" customFormat="false" ht="15" hidden="false" customHeight="true" outlineLevel="0" collapsed="false">
      <c r="A476" s="30" t="s">
        <v>628</v>
      </c>
      <c r="B476" s="31" t="s">
        <v>280</v>
      </c>
      <c r="C476" s="30" t="s">
        <v>437</v>
      </c>
      <c r="D476" s="31" t="s">
        <v>1793</v>
      </c>
    </row>
    <row r="477" customFormat="false" ht="15" hidden="false" customHeight="true" outlineLevel="0" collapsed="false">
      <c r="A477" s="30" t="s">
        <v>629</v>
      </c>
      <c r="B477" s="31" t="s">
        <v>250</v>
      </c>
      <c r="C477" s="30" t="s">
        <v>437</v>
      </c>
      <c r="D477" s="31" t="s">
        <v>1793</v>
      </c>
    </row>
    <row r="478" customFormat="false" ht="15" hidden="false" customHeight="true" outlineLevel="0" collapsed="false">
      <c r="A478" s="30" t="s">
        <v>630</v>
      </c>
      <c r="B478" s="31" t="s">
        <v>66</v>
      </c>
      <c r="C478" s="30" t="s">
        <v>437</v>
      </c>
      <c r="D478" s="31" t="s">
        <v>1793</v>
      </c>
    </row>
    <row r="479" customFormat="false" ht="15" hidden="false" customHeight="true" outlineLevel="0" collapsed="false">
      <c r="A479" s="30" t="s">
        <v>631</v>
      </c>
      <c r="B479" s="31" t="s">
        <v>280</v>
      </c>
      <c r="C479" s="30" t="s">
        <v>437</v>
      </c>
      <c r="D479" s="31" t="s">
        <v>1793</v>
      </c>
    </row>
    <row r="480" customFormat="false" ht="15" hidden="false" customHeight="true" outlineLevel="0" collapsed="false">
      <c r="A480" s="30" t="s">
        <v>632</v>
      </c>
      <c r="B480" s="31" t="s">
        <v>66</v>
      </c>
      <c r="C480" s="30" t="s">
        <v>437</v>
      </c>
      <c r="D480" s="31" t="s">
        <v>1793</v>
      </c>
    </row>
    <row r="481" customFormat="false" ht="15" hidden="false" customHeight="true" outlineLevel="0" collapsed="false">
      <c r="A481" s="30" t="s">
        <v>633</v>
      </c>
      <c r="B481" s="31" t="s">
        <v>280</v>
      </c>
      <c r="C481" s="30" t="s">
        <v>437</v>
      </c>
      <c r="D481" s="31" t="s">
        <v>1793</v>
      </c>
    </row>
    <row r="482" customFormat="false" ht="15" hidden="false" customHeight="true" outlineLevel="0" collapsed="false">
      <c r="A482" s="30" t="s">
        <v>634</v>
      </c>
      <c r="B482" s="31" t="s">
        <v>250</v>
      </c>
      <c r="C482" s="30" t="s">
        <v>437</v>
      </c>
      <c r="D482" s="31" t="s">
        <v>1793</v>
      </c>
    </row>
    <row r="483" customFormat="false" ht="15" hidden="false" customHeight="true" outlineLevel="0" collapsed="false">
      <c r="A483" s="30" t="s">
        <v>635</v>
      </c>
      <c r="B483" s="31" t="s">
        <v>66</v>
      </c>
      <c r="C483" s="30" t="s">
        <v>437</v>
      </c>
      <c r="D483" s="31" t="s">
        <v>1793</v>
      </c>
    </row>
    <row r="484" customFormat="false" ht="15" hidden="false" customHeight="true" outlineLevel="0" collapsed="false">
      <c r="A484" s="30" t="s">
        <v>636</v>
      </c>
      <c r="B484" s="31" t="s">
        <v>280</v>
      </c>
      <c r="C484" s="30" t="s">
        <v>437</v>
      </c>
      <c r="D484" s="31" t="s">
        <v>1793</v>
      </c>
    </row>
    <row r="485" customFormat="false" ht="15" hidden="false" customHeight="true" outlineLevel="0" collapsed="false">
      <c r="A485" s="30" t="s">
        <v>637</v>
      </c>
      <c r="B485" s="31" t="s">
        <v>250</v>
      </c>
      <c r="C485" s="30" t="s">
        <v>437</v>
      </c>
      <c r="D485" s="31" t="s">
        <v>1793</v>
      </c>
    </row>
    <row r="486" customFormat="false" ht="15" hidden="false" customHeight="true" outlineLevel="0" collapsed="false">
      <c r="A486" s="30" t="s">
        <v>638</v>
      </c>
      <c r="B486" s="31" t="s">
        <v>66</v>
      </c>
      <c r="C486" s="30" t="s">
        <v>437</v>
      </c>
      <c r="D486" s="31" t="s">
        <v>1793</v>
      </c>
    </row>
    <row r="487" customFormat="false" ht="15" hidden="false" customHeight="true" outlineLevel="0" collapsed="false">
      <c r="A487" s="30" t="s">
        <v>639</v>
      </c>
      <c r="B487" s="31" t="s">
        <v>280</v>
      </c>
      <c r="C487" s="30" t="s">
        <v>437</v>
      </c>
      <c r="D487" s="31" t="s">
        <v>1793</v>
      </c>
    </row>
    <row r="488" customFormat="false" ht="15" hidden="false" customHeight="true" outlineLevel="0" collapsed="false">
      <c r="A488" s="30" t="s">
        <v>640</v>
      </c>
      <c r="B488" s="31" t="s">
        <v>66</v>
      </c>
      <c r="C488" s="30" t="s">
        <v>437</v>
      </c>
      <c r="D488" s="31" t="s">
        <v>1793</v>
      </c>
    </row>
    <row r="489" customFormat="false" ht="15" hidden="false" customHeight="true" outlineLevel="0" collapsed="false">
      <c r="A489" s="30" t="s">
        <v>641</v>
      </c>
      <c r="B489" s="31" t="s">
        <v>280</v>
      </c>
      <c r="C489" s="30" t="s">
        <v>437</v>
      </c>
      <c r="D489" s="31" t="s">
        <v>1793</v>
      </c>
    </row>
    <row r="490" customFormat="false" ht="15" hidden="false" customHeight="true" outlineLevel="0" collapsed="false">
      <c r="A490" s="30" t="s">
        <v>642</v>
      </c>
      <c r="B490" s="31" t="s">
        <v>66</v>
      </c>
      <c r="C490" s="30" t="s">
        <v>437</v>
      </c>
      <c r="D490" s="31" t="s">
        <v>1793</v>
      </c>
    </row>
    <row r="491" customFormat="false" ht="15" hidden="false" customHeight="true" outlineLevel="0" collapsed="false">
      <c r="A491" s="30" t="s">
        <v>643</v>
      </c>
      <c r="B491" s="31" t="s">
        <v>280</v>
      </c>
      <c r="C491" s="30" t="s">
        <v>437</v>
      </c>
      <c r="D491" s="31" t="s">
        <v>1793</v>
      </c>
    </row>
    <row r="492" customFormat="false" ht="15" hidden="false" customHeight="true" outlineLevel="0" collapsed="false">
      <c r="A492" s="30" t="s">
        <v>644</v>
      </c>
      <c r="B492" s="31" t="s">
        <v>66</v>
      </c>
      <c r="C492" s="30" t="s">
        <v>437</v>
      </c>
      <c r="D492" s="31" t="s">
        <v>1793</v>
      </c>
    </row>
    <row r="493" customFormat="false" ht="15" hidden="false" customHeight="true" outlineLevel="0" collapsed="false">
      <c r="A493" s="30" t="s">
        <v>645</v>
      </c>
      <c r="B493" s="31" t="s">
        <v>646</v>
      </c>
      <c r="C493" s="30" t="s">
        <v>437</v>
      </c>
      <c r="D493" s="31" t="s">
        <v>1793</v>
      </c>
    </row>
    <row r="494" customFormat="false" ht="15" hidden="false" customHeight="true" outlineLevel="0" collapsed="false">
      <c r="A494" s="30" t="s">
        <v>647</v>
      </c>
      <c r="B494" s="31" t="s">
        <v>648</v>
      </c>
      <c r="C494" s="30" t="s">
        <v>437</v>
      </c>
      <c r="D494" s="31" t="s">
        <v>1793</v>
      </c>
    </row>
    <row r="495" customFormat="false" ht="15" hidden="false" customHeight="true" outlineLevel="0" collapsed="false">
      <c r="A495" s="30" t="s">
        <v>649</v>
      </c>
      <c r="B495" s="31" t="s">
        <v>650</v>
      </c>
      <c r="C495" s="30" t="s">
        <v>437</v>
      </c>
      <c r="D495" s="31" t="s">
        <v>1793</v>
      </c>
    </row>
    <row r="496" customFormat="false" ht="15" hidden="false" customHeight="true" outlineLevel="0" collapsed="false">
      <c r="A496" s="30" t="s">
        <v>651</v>
      </c>
      <c r="B496" s="31" t="s">
        <v>652</v>
      </c>
      <c r="C496" s="30" t="s">
        <v>437</v>
      </c>
      <c r="D496" s="31" t="s">
        <v>1793</v>
      </c>
    </row>
    <row r="497" customFormat="false" ht="15" hidden="false" customHeight="true" outlineLevel="0" collapsed="false">
      <c r="A497" s="30" t="s">
        <v>653</v>
      </c>
      <c r="B497" s="31" t="s">
        <v>654</v>
      </c>
      <c r="C497" s="30" t="s">
        <v>437</v>
      </c>
      <c r="D497" s="31" t="s">
        <v>1793</v>
      </c>
    </row>
    <row r="498" customFormat="false" ht="15" hidden="false" customHeight="true" outlineLevel="0" collapsed="false">
      <c r="A498" s="30" t="s">
        <v>655</v>
      </c>
      <c r="B498" s="31" t="s">
        <v>656</v>
      </c>
      <c r="C498" s="30" t="s">
        <v>437</v>
      </c>
      <c r="D498" s="31" t="s">
        <v>1793</v>
      </c>
    </row>
    <row r="499" customFormat="false" ht="15" hidden="false" customHeight="true" outlineLevel="0" collapsed="false">
      <c r="A499" s="30" t="s">
        <v>657</v>
      </c>
      <c r="B499" s="31" t="s">
        <v>658</v>
      </c>
      <c r="C499" s="30" t="s">
        <v>437</v>
      </c>
      <c r="D499" s="31" t="s">
        <v>1793</v>
      </c>
    </row>
    <row r="500" customFormat="false" ht="15" hidden="false" customHeight="true" outlineLevel="0" collapsed="false">
      <c r="A500" s="30" t="s">
        <v>659</v>
      </c>
      <c r="B500" s="31" t="s">
        <v>66</v>
      </c>
      <c r="C500" s="30" t="s">
        <v>437</v>
      </c>
      <c r="D500" s="31" t="s">
        <v>1793</v>
      </c>
    </row>
    <row r="501" customFormat="false" ht="15" hidden="false" customHeight="true" outlineLevel="0" collapsed="false">
      <c r="A501" s="30" t="s">
        <v>660</v>
      </c>
      <c r="B501" s="31" t="s">
        <v>280</v>
      </c>
      <c r="C501" s="30" t="s">
        <v>437</v>
      </c>
      <c r="D501" s="31" t="s">
        <v>1793</v>
      </c>
    </row>
    <row r="502" customFormat="false" ht="15" hidden="false" customHeight="true" outlineLevel="0" collapsed="false">
      <c r="A502" s="30" t="s">
        <v>661</v>
      </c>
      <c r="B502" s="31" t="s">
        <v>662</v>
      </c>
      <c r="C502" s="30" t="s">
        <v>437</v>
      </c>
      <c r="D502" s="31" t="s">
        <v>1793</v>
      </c>
    </row>
    <row r="503" customFormat="false" ht="15" hidden="false" customHeight="true" outlineLevel="0" collapsed="false">
      <c r="A503" s="30" t="s">
        <v>663</v>
      </c>
      <c r="B503" s="31" t="s">
        <v>664</v>
      </c>
      <c r="C503" s="30" t="s">
        <v>437</v>
      </c>
      <c r="D503" s="31" t="s">
        <v>1793</v>
      </c>
    </row>
    <row r="504" customFormat="false" ht="15" hidden="false" customHeight="true" outlineLevel="0" collapsed="false">
      <c r="A504" s="30" t="s">
        <v>665</v>
      </c>
      <c r="B504" s="31" t="s">
        <v>666</v>
      </c>
      <c r="C504" s="30" t="s">
        <v>437</v>
      </c>
      <c r="D504" s="31" t="s">
        <v>1793</v>
      </c>
    </row>
    <row r="505" customFormat="false" ht="15" hidden="false" customHeight="true" outlineLevel="0" collapsed="false">
      <c r="A505" s="30" t="s">
        <v>667</v>
      </c>
      <c r="B505" s="31" t="s">
        <v>668</v>
      </c>
      <c r="C505" s="30" t="s">
        <v>437</v>
      </c>
      <c r="D505" s="31" t="s">
        <v>1793</v>
      </c>
    </row>
    <row r="506" customFormat="false" ht="15" hidden="false" customHeight="true" outlineLevel="0" collapsed="false">
      <c r="A506" s="30" t="s">
        <v>669</v>
      </c>
      <c r="B506" s="31" t="s">
        <v>670</v>
      </c>
      <c r="C506" s="30" t="s">
        <v>437</v>
      </c>
      <c r="D506" s="31" t="s">
        <v>1793</v>
      </c>
    </row>
    <row r="507" customFormat="false" ht="15" hidden="false" customHeight="true" outlineLevel="0" collapsed="false">
      <c r="A507" s="30" t="s">
        <v>671</v>
      </c>
      <c r="B507" s="31" t="s">
        <v>672</v>
      </c>
      <c r="C507" s="30" t="s">
        <v>437</v>
      </c>
      <c r="D507" s="31" t="s">
        <v>1793</v>
      </c>
    </row>
    <row r="508" customFormat="false" ht="15" hidden="false" customHeight="true" outlineLevel="0" collapsed="false">
      <c r="A508" s="30" t="s">
        <v>673</v>
      </c>
      <c r="B508" s="31" t="s">
        <v>674</v>
      </c>
      <c r="C508" s="30" t="s">
        <v>437</v>
      </c>
      <c r="D508" s="31" t="s">
        <v>1793</v>
      </c>
    </row>
    <row r="509" customFormat="false" ht="15" hidden="false" customHeight="true" outlineLevel="0" collapsed="false">
      <c r="A509" s="30" t="s">
        <v>675</v>
      </c>
      <c r="B509" s="31" t="s">
        <v>676</v>
      </c>
      <c r="C509" s="30" t="s">
        <v>437</v>
      </c>
      <c r="D509" s="31" t="s">
        <v>1793</v>
      </c>
    </row>
    <row r="510" customFormat="false" ht="15" hidden="false" customHeight="true" outlineLevel="0" collapsed="false">
      <c r="A510" s="30" t="s">
        <v>677</v>
      </c>
      <c r="B510" s="31" t="s">
        <v>678</v>
      </c>
      <c r="C510" s="30" t="s">
        <v>437</v>
      </c>
      <c r="D510" s="31" t="s">
        <v>1793</v>
      </c>
    </row>
    <row r="511" customFormat="false" ht="15" hidden="false" customHeight="true" outlineLevel="0" collapsed="false">
      <c r="A511" s="30" t="s">
        <v>679</v>
      </c>
      <c r="B511" s="31" t="s">
        <v>66</v>
      </c>
      <c r="C511" s="30" t="s">
        <v>437</v>
      </c>
      <c r="D511" s="31" t="s">
        <v>1793</v>
      </c>
    </row>
    <row r="512" customFormat="false" ht="15" hidden="false" customHeight="true" outlineLevel="0" collapsed="false">
      <c r="A512" s="30" t="s">
        <v>680</v>
      </c>
      <c r="B512" s="31" t="s">
        <v>280</v>
      </c>
      <c r="C512" s="30" t="s">
        <v>437</v>
      </c>
      <c r="D512" s="31" t="s">
        <v>1793</v>
      </c>
    </row>
    <row r="513" customFormat="false" ht="15" hidden="false" customHeight="true" outlineLevel="0" collapsed="false">
      <c r="A513" s="30" t="s">
        <v>681</v>
      </c>
      <c r="B513" s="31" t="s">
        <v>250</v>
      </c>
      <c r="C513" s="30" t="s">
        <v>437</v>
      </c>
      <c r="D513" s="31" t="s">
        <v>1793</v>
      </c>
    </row>
    <row r="514" customFormat="false" ht="15" hidden="false" customHeight="true" outlineLevel="0" collapsed="false">
      <c r="A514" s="30" t="s">
        <v>682</v>
      </c>
      <c r="B514" s="31" t="s">
        <v>66</v>
      </c>
      <c r="C514" s="30" t="s">
        <v>437</v>
      </c>
      <c r="D514" s="31" t="s">
        <v>1793</v>
      </c>
    </row>
    <row r="515" customFormat="false" ht="15" hidden="false" customHeight="true" outlineLevel="0" collapsed="false">
      <c r="A515" s="30" t="s">
        <v>683</v>
      </c>
      <c r="B515" s="31" t="s">
        <v>280</v>
      </c>
      <c r="C515" s="30" t="s">
        <v>437</v>
      </c>
      <c r="D515" s="31" t="s">
        <v>1793</v>
      </c>
    </row>
    <row r="516" customFormat="false" ht="15" hidden="false" customHeight="true" outlineLevel="0" collapsed="false">
      <c r="A516" s="30" t="s">
        <v>684</v>
      </c>
      <c r="B516" s="31" t="s">
        <v>66</v>
      </c>
      <c r="C516" s="30" t="s">
        <v>437</v>
      </c>
      <c r="D516" s="31" t="s">
        <v>1793</v>
      </c>
    </row>
    <row r="517" customFormat="false" ht="15" hidden="false" customHeight="true" outlineLevel="0" collapsed="false">
      <c r="A517" s="30" t="s">
        <v>685</v>
      </c>
      <c r="B517" s="31" t="s">
        <v>280</v>
      </c>
      <c r="C517" s="30" t="s">
        <v>437</v>
      </c>
      <c r="D517" s="31" t="s">
        <v>1793</v>
      </c>
    </row>
    <row r="518" customFormat="false" ht="15" hidden="false" customHeight="true" outlineLevel="0" collapsed="false">
      <c r="A518" s="30" t="s">
        <v>686</v>
      </c>
      <c r="B518" s="31" t="s">
        <v>66</v>
      </c>
      <c r="C518" s="30" t="s">
        <v>437</v>
      </c>
      <c r="D518" s="31" t="s">
        <v>1793</v>
      </c>
    </row>
    <row r="519" customFormat="false" ht="15" hidden="false" customHeight="true" outlineLevel="0" collapsed="false">
      <c r="A519" s="30" t="s">
        <v>687</v>
      </c>
      <c r="B519" s="31" t="s">
        <v>280</v>
      </c>
      <c r="C519" s="30" t="s">
        <v>437</v>
      </c>
      <c r="D519" s="31" t="s">
        <v>1793</v>
      </c>
    </row>
    <row r="520" customFormat="false" ht="15" hidden="false" customHeight="true" outlineLevel="0" collapsed="false">
      <c r="A520" s="30" t="s">
        <v>688</v>
      </c>
      <c r="B520" s="31" t="s">
        <v>689</v>
      </c>
      <c r="C520" s="30" t="s">
        <v>437</v>
      </c>
      <c r="D520" s="31" t="s">
        <v>1793</v>
      </c>
    </row>
    <row r="521" customFormat="false" ht="15" hidden="false" customHeight="true" outlineLevel="0" collapsed="false">
      <c r="A521" s="30" t="s">
        <v>690</v>
      </c>
      <c r="B521" s="31" t="s">
        <v>691</v>
      </c>
      <c r="C521" s="30" t="s">
        <v>437</v>
      </c>
      <c r="D521" s="31" t="s">
        <v>1793</v>
      </c>
    </row>
    <row r="522" customFormat="false" ht="15" hidden="false" customHeight="true" outlineLevel="0" collapsed="false">
      <c r="A522" s="30" t="s">
        <v>692</v>
      </c>
      <c r="B522" s="31" t="s">
        <v>693</v>
      </c>
      <c r="C522" s="30" t="s">
        <v>437</v>
      </c>
      <c r="D522" s="31" t="s">
        <v>1793</v>
      </c>
    </row>
    <row r="523" customFormat="false" ht="15" hidden="false" customHeight="true" outlineLevel="0" collapsed="false">
      <c r="A523" s="30" t="s">
        <v>694</v>
      </c>
      <c r="B523" s="31" t="s">
        <v>695</v>
      </c>
      <c r="C523" s="30" t="s">
        <v>437</v>
      </c>
      <c r="D523" s="31" t="s">
        <v>1793</v>
      </c>
    </row>
    <row r="524" customFormat="false" ht="15" hidden="false" customHeight="true" outlineLevel="0" collapsed="false">
      <c r="A524" s="30" t="s">
        <v>696</v>
      </c>
      <c r="B524" s="31" t="s">
        <v>66</v>
      </c>
      <c r="C524" s="30" t="s">
        <v>437</v>
      </c>
      <c r="D524" s="31" t="s">
        <v>1793</v>
      </c>
    </row>
    <row r="525" customFormat="false" ht="15" hidden="false" customHeight="true" outlineLevel="0" collapsed="false">
      <c r="A525" s="30" t="s">
        <v>697</v>
      </c>
      <c r="B525" s="31" t="s">
        <v>280</v>
      </c>
      <c r="C525" s="30" t="s">
        <v>437</v>
      </c>
      <c r="D525" s="31" t="s">
        <v>1793</v>
      </c>
    </row>
    <row r="526" customFormat="false" ht="15" hidden="false" customHeight="true" outlineLevel="0" collapsed="false">
      <c r="A526" s="30" t="s">
        <v>698</v>
      </c>
      <c r="B526" s="31" t="s">
        <v>66</v>
      </c>
      <c r="C526" s="30" t="s">
        <v>437</v>
      </c>
      <c r="D526" s="31" t="s">
        <v>1793</v>
      </c>
    </row>
    <row r="527" customFormat="false" ht="15" hidden="false" customHeight="true" outlineLevel="0" collapsed="false">
      <c r="A527" s="30" t="s">
        <v>699</v>
      </c>
      <c r="B527" s="31" t="s">
        <v>280</v>
      </c>
      <c r="C527" s="30" t="s">
        <v>437</v>
      </c>
      <c r="D527" s="31" t="s">
        <v>1793</v>
      </c>
    </row>
    <row r="528" customFormat="false" ht="15" hidden="false" customHeight="true" outlineLevel="0" collapsed="false">
      <c r="A528" s="30" t="s">
        <v>700</v>
      </c>
      <c r="B528" s="31" t="s">
        <v>66</v>
      </c>
      <c r="C528" s="30" t="s">
        <v>437</v>
      </c>
      <c r="D528" s="31" t="s">
        <v>1793</v>
      </c>
    </row>
    <row r="529" customFormat="false" ht="15" hidden="false" customHeight="true" outlineLevel="0" collapsed="false">
      <c r="A529" s="30" t="s">
        <v>701</v>
      </c>
      <c r="B529" s="31" t="s">
        <v>280</v>
      </c>
      <c r="C529" s="30" t="s">
        <v>437</v>
      </c>
      <c r="D529" s="31" t="s">
        <v>1793</v>
      </c>
    </row>
    <row r="530" customFormat="false" ht="15" hidden="false" customHeight="true" outlineLevel="0" collapsed="false">
      <c r="A530" s="30" t="s">
        <v>702</v>
      </c>
      <c r="B530" s="31" t="s">
        <v>66</v>
      </c>
      <c r="C530" s="30" t="s">
        <v>437</v>
      </c>
      <c r="D530" s="31" t="s">
        <v>1793</v>
      </c>
    </row>
    <row r="531" customFormat="false" ht="15" hidden="false" customHeight="true" outlineLevel="0" collapsed="false">
      <c r="A531" s="30" t="s">
        <v>703</v>
      </c>
      <c r="B531" s="31" t="s">
        <v>280</v>
      </c>
      <c r="C531" s="30" t="s">
        <v>437</v>
      </c>
      <c r="D531" s="31" t="s">
        <v>1793</v>
      </c>
    </row>
    <row r="532" customFormat="false" ht="15" hidden="false" customHeight="true" outlineLevel="0" collapsed="false">
      <c r="A532" s="30" t="s">
        <v>704</v>
      </c>
      <c r="B532" s="31" t="s">
        <v>66</v>
      </c>
      <c r="C532" s="30" t="s">
        <v>437</v>
      </c>
      <c r="D532" s="31" t="s">
        <v>1793</v>
      </c>
    </row>
    <row r="533" customFormat="false" ht="15" hidden="false" customHeight="true" outlineLevel="0" collapsed="false">
      <c r="A533" s="30" t="s">
        <v>705</v>
      </c>
      <c r="B533" s="31" t="s">
        <v>280</v>
      </c>
      <c r="C533" s="30" t="s">
        <v>437</v>
      </c>
      <c r="D533" s="31" t="s">
        <v>1793</v>
      </c>
    </row>
    <row r="534" customFormat="false" ht="15" hidden="false" customHeight="true" outlineLevel="0" collapsed="false">
      <c r="A534" s="30" t="s">
        <v>706</v>
      </c>
      <c r="B534" s="31" t="s">
        <v>250</v>
      </c>
      <c r="C534" s="30" t="s">
        <v>437</v>
      </c>
      <c r="D534" s="31" t="s">
        <v>1793</v>
      </c>
    </row>
    <row r="535" customFormat="false" ht="15" hidden="false" customHeight="true" outlineLevel="0" collapsed="false">
      <c r="A535" s="30" t="s">
        <v>707</v>
      </c>
      <c r="B535" s="31" t="s">
        <v>66</v>
      </c>
      <c r="C535" s="30" t="s">
        <v>437</v>
      </c>
      <c r="D535" s="31" t="s">
        <v>1793</v>
      </c>
    </row>
    <row r="536" customFormat="false" ht="15" hidden="false" customHeight="true" outlineLevel="0" collapsed="false">
      <c r="A536" s="30" t="s">
        <v>708</v>
      </c>
      <c r="B536" s="31" t="s">
        <v>280</v>
      </c>
      <c r="C536" s="30" t="s">
        <v>437</v>
      </c>
      <c r="D536" s="31" t="s">
        <v>1793</v>
      </c>
    </row>
    <row r="537" customFormat="false" ht="15" hidden="false" customHeight="true" outlineLevel="0" collapsed="false">
      <c r="A537" s="30" t="s">
        <v>709</v>
      </c>
      <c r="B537" s="31" t="s">
        <v>602</v>
      </c>
      <c r="C537" s="30" t="s">
        <v>437</v>
      </c>
      <c r="D537" s="31" t="s">
        <v>1793</v>
      </c>
    </row>
    <row r="538" customFormat="false" ht="15" hidden="false" customHeight="true" outlineLevel="0" collapsed="false">
      <c r="A538" s="30" t="s">
        <v>710</v>
      </c>
      <c r="B538" s="31" t="s">
        <v>66</v>
      </c>
      <c r="C538" s="30" t="s">
        <v>437</v>
      </c>
      <c r="D538" s="31" t="s">
        <v>1793</v>
      </c>
    </row>
    <row r="539" customFormat="false" ht="15" hidden="false" customHeight="true" outlineLevel="0" collapsed="false">
      <c r="A539" s="30" t="s">
        <v>711</v>
      </c>
      <c r="B539" s="31" t="s">
        <v>280</v>
      </c>
      <c r="C539" s="30" t="s">
        <v>437</v>
      </c>
      <c r="D539" s="31" t="s">
        <v>1793</v>
      </c>
    </row>
    <row r="540" customFormat="false" ht="15" hidden="false" customHeight="true" outlineLevel="0" collapsed="false">
      <c r="A540" s="30" t="s">
        <v>712</v>
      </c>
      <c r="B540" s="31" t="s">
        <v>66</v>
      </c>
      <c r="C540" s="30" t="s">
        <v>437</v>
      </c>
      <c r="D540" s="31" t="s">
        <v>1793</v>
      </c>
    </row>
    <row r="541" customFormat="false" ht="15" hidden="false" customHeight="true" outlineLevel="0" collapsed="false">
      <c r="A541" s="30" t="s">
        <v>713</v>
      </c>
      <c r="B541" s="31" t="s">
        <v>250</v>
      </c>
      <c r="C541" s="30" t="s">
        <v>437</v>
      </c>
      <c r="D541" s="31" t="s">
        <v>1793</v>
      </c>
    </row>
    <row r="542" customFormat="false" ht="15" hidden="false" customHeight="true" outlineLevel="0" collapsed="false">
      <c r="A542" s="30" t="s">
        <v>714</v>
      </c>
      <c r="B542" s="31" t="s">
        <v>66</v>
      </c>
      <c r="C542" s="30" t="s">
        <v>437</v>
      </c>
      <c r="D542" s="31" t="s">
        <v>1793</v>
      </c>
    </row>
    <row r="543" customFormat="false" ht="15" hidden="false" customHeight="true" outlineLevel="0" collapsed="false">
      <c r="A543" s="30" t="s">
        <v>715</v>
      </c>
      <c r="B543" s="31" t="s">
        <v>250</v>
      </c>
      <c r="C543" s="30" t="s">
        <v>437</v>
      </c>
      <c r="D543" s="31" t="s">
        <v>1793</v>
      </c>
    </row>
    <row r="544" customFormat="false" ht="15" hidden="false" customHeight="true" outlineLevel="0" collapsed="false">
      <c r="A544" s="30" t="s">
        <v>716</v>
      </c>
      <c r="B544" s="31" t="s">
        <v>66</v>
      </c>
      <c r="C544" s="30" t="s">
        <v>437</v>
      </c>
      <c r="D544" s="31" t="s">
        <v>1793</v>
      </c>
    </row>
    <row r="545" customFormat="false" ht="15" hidden="false" customHeight="true" outlineLevel="0" collapsed="false">
      <c r="A545" s="30" t="s">
        <v>717</v>
      </c>
      <c r="B545" s="31" t="s">
        <v>66</v>
      </c>
      <c r="C545" s="30" t="s">
        <v>437</v>
      </c>
      <c r="D545" s="31" t="s">
        <v>1793</v>
      </c>
    </row>
    <row r="546" customFormat="false" ht="15" hidden="false" customHeight="true" outlineLevel="0" collapsed="false">
      <c r="A546" s="30" t="s">
        <v>718</v>
      </c>
      <c r="B546" s="31" t="s">
        <v>66</v>
      </c>
      <c r="C546" s="30" t="s">
        <v>437</v>
      </c>
      <c r="D546" s="31" t="s">
        <v>1793</v>
      </c>
    </row>
    <row r="547" customFormat="false" ht="15" hidden="false" customHeight="true" outlineLevel="0" collapsed="false">
      <c r="A547" s="30" t="s">
        <v>719</v>
      </c>
      <c r="B547" s="31" t="s">
        <v>720</v>
      </c>
      <c r="C547" s="30" t="s">
        <v>437</v>
      </c>
      <c r="D547" s="31" t="s">
        <v>1793</v>
      </c>
    </row>
    <row r="548" customFormat="false" ht="15" hidden="false" customHeight="true" outlineLevel="0" collapsed="false">
      <c r="A548" s="30" t="s">
        <v>721</v>
      </c>
      <c r="B548" s="31" t="s">
        <v>722</v>
      </c>
      <c r="C548" s="30" t="s">
        <v>437</v>
      </c>
      <c r="D548" s="31" t="s">
        <v>1793</v>
      </c>
    </row>
    <row r="549" customFormat="false" ht="15" hidden="false" customHeight="true" outlineLevel="0" collapsed="false">
      <c r="A549" s="30" t="s">
        <v>723</v>
      </c>
      <c r="B549" s="31" t="s">
        <v>724</v>
      </c>
      <c r="C549" s="30" t="s">
        <v>437</v>
      </c>
      <c r="D549" s="31" t="s">
        <v>1793</v>
      </c>
    </row>
    <row r="550" customFormat="false" ht="15" hidden="false" customHeight="true" outlineLevel="0" collapsed="false">
      <c r="A550" s="30" t="s">
        <v>725</v>
      </c>
      <c r="B550" s="31" t="s">
        <v>726</v>
      </c>
      <c r="C550" s="30" t="s">
        <v>437</v>
      </c>
      <c r="D550" s="31" t="s">
        <v>1793</v>
      </c>
    </row>
    <row r="551" customFormat="false" ht="15" hidden="false" customHeight="true" outlineLevel="0" collapsed="false">
      <c r="A551" s="30" t="s">
        <v>727</v>
      </c>
      <c r="B551" s="31" t="s">
        <v>728</v>
      </c>
      <c r="C551" s="30" t="s">
        <v>437</v>
      </c>
      <c r="D551" s="31" t="s">
        <v>1793</v>
      </c>
    </row>
    <row r="552" customFormat="false" ht="15" hidden="false" customHeight="true" outlineLevel="0" collapsed="false">
      <c r="A552" s="30" t="s">
        <v>729</v>
      </c>
      <c r="B552" s="31" t="s">
        <v>730</v>
      </c>
      <c r="C552" s="30" t="s">
        <v>437</v>
      </c>
      <c r="D552" s="31" t="s">
        <v>1793</v>
      </c>
    </row>
    <row r="553" customFormat="false" ht="15" hidden="false" customHeight="true" outlineLevel="0" collapsed="false">
      <c r="A553" s="30" t="s">
        <v>731</v>
      </c>
      <c r="B553" s="31" t="s">
        <v>732</v>
      </c>
      <c r="C553" s="30" t="s">
        <v>437</v>
      </c>
      <c r="D553" s="31" t="s">
        <v>1793</v>
      </c>
    </row>
    <row r="554" customFormat="false" ht="15" hidden="false" customHeight="true" outlineLevel="0" collapsed="false">
      <c r="A554" s="30" t="s">
        <v>733</v>
      </c>
      <c r="B554" s="31" t="s">
        <v>734</v>
      </c>
      <c r="C554" s="30" t="s">
        <v>437</v>
      </c>
      <c r="D554" s="31" t="s">
        <v>1793</v>
      </c>
    </row>
    <row r="555" customFormat="false" ht="15" hidden="false" customHeight="true" outlineLevel="0" collapsed="false">
      <c r="A555" s="30" t="s">
        <v>735</v>
      </c>
      <c r="B555" s="31" t="s">
        <v>736</v>
      </c>
      <c r="C555" s="30" t="s">
        <v>437</v>
      </c>
      <c r="D555" s="31" t="s">
        <v>1793</v>
      </c>
    </row>
    <row r="556" customFormat="false" ht="15" hidden="false" customHeight="true" outlineLevel="0" collapsed="false">
      <c r="A556" s="30" t="s">
        <v>737</v>
      </c>
      <c r="B556" s="31" t="s">
        <v>738</v>
      </c>
      <c r="C556" s="30" t="s">
        <v>437</v>
      </c>
      <c r="D556" s="31" t="s">
        <v>1793</v>
      </c>
    </row>
    <row r="557" customFormat="false" ht="15" hidden="false" customHeight="true" outlineLevel="0" collapsed="false">
      <c r="A557" s="30" t="s">
        <v>739</v>
      </c>
      <c r="B557" s="31" t="s">
        <v>740</v>
      </c>
      <c r="C557" s="30" t="s">
        <v>437</v>
      </c>
      <c r="D557" s="31" t="s">
        <v>1793</v>
      </c>
    </row>
    <row r="558" customFormat="false" ht="15" hidden="false" customHeight="true" outlineLevel="0" collapsed="false">
      <c r="A558" s="30" t="s">
        <v>741</v>
      </c>
      <c r="B558" s="31" t="s">
        <v>742</v>
      </c>
      <c r="C558" s="30" t="s">
        <v>437</v>
      </c>
      <c r="D558" s="31" t="s">
        <v>1793</v>
      </c>
    </row>
    <row r="559" customFormat="false" ht="15" hidden="false" customHeight="true" outlineLevel="0" collapsed="false">
      <c r="A559" s="30" t="s">
        <v>743</v>
      </c>
      <c r="B559" s="31" t="s">
        <v>736</v>
      </c>
      <c r="C559" s="30" t="s">
        <v>437</v>
      </c>
      <c r="D559" s="31" t="s">
        <v>1793</v>
      </c>
    </row>
    <row r="560" customFormat="false" ht="15" hidden="false" customHeight="true" outlineLevel="0" collapsed="false">
      <c r="A560" s="30" t="s">
        <v>744</v>
      </c>
      <c r="B560" s="31" t="s">
        <v>66</v>
      </c>
      <c r="C560" s="30" t="s">
        <v>437</v>
      </c>
      <c r="D560" s="31" t="s">
        <v>1793</v>
      </c>
    </row>
    <row r="561" customFormat="false" ht="15" hidden="false" customHeight="true" outlineLevel="0" collapsed="false">
      <c r="A561" s="30" t="s">
        <v>745</v>
      </c>
      <c r="B561" s="31" t="s">
        <v>280</v>
      </c>
      <c r="C561" s="30" t="s">
        <v>437</v>
      </c>
      <c r="D561" s="31" t="s">
        <v>1793</v>
      </c>
    </row>
    <row r="562" customFormat="false" ht="15" hidden="false" customHeight="true" outlineLevel="0" collapsed="false">
      <c r="A562" s="30" t="s">
        <v>746</v>
      </c>
      <c r="B562" s="31" t="s">
        <v>250</v>
      </c>
      <c r="C562" s="30" t="s">
        <v>437</v>
      </c>
      <c r="D562" s="31" t="s">
        <v>1793</v>
      </c>
    </row>
    <row r="563" customFormat="false" ht="15" hidden="false" customHeight="true" outlineLevel="0" collapsed="false">
      <c r="A563" s="30" t="s">
        <v>747</v>
      </c>
      <c r="B563" s="31" t="s">
        <v>66</v>
      </c>
      <c r="C563" s="30" t="s">
        <v>437</v>
      </c>
      <c r="D563" s="31" t="s">
        <v>1793</v>
      </c>
    </row>
    <row r="564" customFormat="false" ht="15" hidden="false" customHeight="true" outlineLevel="0" collapsed="false">
      <c r="A564" s="30" t="s">
        <v>748</v>
      </c>
      <c r="B564" s="31" t="s">
        <v>280</v>
      </c>
      <c r="C564" s="30" t="s">
        <v>437</v>
      </c>
      <c r="D564" s="31" t="s">
        <v>1793</v>
      </c>
    </row>
    <row r="565" customFormat="false" ht="15" hidden="false" customHeight="true" outlineLevel="0" collapsed="false">
      <c r="A565" s="30" t="s">
        <v>749</v>
      </c>
      <c r="B565" s="31" t="s">
        <v>250</v>
      </c>
      <c r="C565" s="30" t="s">
        <v>437</v>
      </c>
      <c r="D565" s="31" t="s">
        <v>1793</v>
      </c>
    </row>
    <row r="566" customFormat="false" ht="15" hidden="false" customHeight="true" outlineLevel="0" collapsed="false">
      <c r="A566" s="30" t="s">
        <v>750</v>
      </c>
      <c r="B566" s="31" t="s">
        <v>66</v>
      </c>
      <c r="C566" s="30" t="s">
        <v>437</v>
      </c>
      <c r="D566" s="31" t="s">
        <v>1793</v>
      </c>
    </row>
    <row r="567" customFormat="false" ht="15" hidden="false" customHeight="true" outlineLevel="0" collapsed="false">
      <c r="A567" s="30" t="s">
        <v>751</v>
      </c>
      <c r="B567" s="31" t="s">
        <v>280</v>
      </c>
      <c r="C567" s="30" t="s">
        <v>437</v>
      </c>
      <c r="D567" s="31" t="s">
        <v>1793</v>
      </c>
    </row>
    <row r="568" customFormat="false" ht="15" hidden="false" customHeight="true" outlineLevel="0" collapsed="false">
      <c r="A568" s="30" t="s">
        <v>752</v>
      </c>
      <c r="B568" s="31" t="s">
        <v>250</v>
      </c>
      <c r="C568" s="30" t="s">
        <v>437</v>
      </c>
      <c r="D568" s="31" t="s">
        <v>1793</v>
      </c>
    </row>
    <row r="569" customFormat="false" ht="15" hidden="false" customHeight="true" outlineLevel="0" collapsed="false">
      <c r="A569" s="30" t="s">
        <v>753</v>
      </c>
      <c r="B569" s="31" t="s">
        <v>66</v>
      </c>
      <c r="C569" s="30" t="s">
        <v>437</v>
      </c>
      <c r="D569" s="31" t="s">
        <v>1793</v>
      </c>
    </row>
    <row r="570" customFormat="false" ht="15" hidden="false" customHeight="true" outlineLevel="0" collapsed="false">
      <c r="A570" s="30" t="s">
        <v>754</v>
      </c>
      <c r="B570" s="31" t="s">
        <v>280</v>
      </c>
      <c r="C570" s="30" t="s">
        <v>437</v>
      </c>
      <c r="D570" s="31" t="s">
        <v>1793</v>
      </c>
    </row>
    <row r="571" customFormat="false" ht="15" hidden="false" customHeight="true" outlineLevel="0" collapsed="false">
      <c r="A571" s="30" t="s">
        <v>755</v>
      </c>
      <c r="B571" s="31" t="s">
        <v>250</v>
      </c>
      <c r="C571" s="30" t="s">
        <v>437</v>
      </c>
      <c r="D571" s="31" t="s">
        <v>1793</v>
      </c>
    </row>
    <row r="572" customFormat="false" ht="15" hidden="false" customHeight="true" outlineLevel="0" collapsed="false">
      <c r="A572" s="30" t="s">
        <v>756</v>
      </c>
      <c r="B572" s="31" t="s">
        <v>66</v>
      </c>
      <c r="C572" s="30" t="s">
        <v>437</v>
      </c>
      <c r="D572" s="31" t="s">
        <v>1793</v>
      </c>
    </row>
    <row r="573" customFormat="false" ht="15" hidden="false" customHeight="true" outlineLevel="0" collapsed="false">
      <c r="A573" s="30" t="s">
        <v>757</v>
      </c>
      <c r="B573" s="31" t="s">
        <v>280</v>
      </c>
      <c r="C573" s="30" t="s">
        <v>437</v>
      </c>
      <c r="D573" s="31" t="s">
        <v>1793</v>
      </c>
    </row>
    <row r="574" customFormat="false" ht="15" hidden="false" customHeight="true" outlineLevel="0" collapsed="false">
      <c r="A574" s="30" t="s">
        <v>758</v>
      </c>
      <c r="B574" s="31" t="s">
        <v>66</v>
      </c>
      <c r="C574" s="30" t="s">
        <v>437</v>
      </c>
      <c r="D574" s="31" t="s">
        <v>1793</v>
      </c>
    </row>
    <row r="575" customFormat="false" ht="15" hidden="false" customHeight="true" outlineLevel="0" collapsed="false">
      <c r="A575" s="30" t="s">
        <v>759</v>
      </c>
      <c r="B575" s="31" t="s">
        <v>280</v>
      </c>
      <c r="C575" s="30" t="s">
        <v>437</v>
      </c>
      <c r="D575" s="31" t="s">
        <v>1793</v>
      </c>
    </row>
    <row r="576" customFormat="false" ht="15" hidden="false" customHeight="true" outlineLevel="0" collapsed="false">
      <c r="A576" s="30" t="s">
        <v>760</v>
      </c>
      <c r="B576" s="31" t="s">
        <v>66</v>
      </c>
      <c r="C576" s="30" t="s">
        <v>437</v>
      </c>
      <c r="D576" s="31" t="s">
        <v>1793</v>
      </c>
    </row>
    <row r="577" customFormat="false" ht="15" hidden="false" customHeight="true" outlineLevel="0" collapsed="false">
      <c r="A577" s="30" t="s">
        <v>761</v>
      </c>
      <c r="B577" s="31" t="s">
        <v>280</v>
      </c>
      <c r="C577" s="30" t="s">
        <v>437</v>
      </c>
      <c r="D577" s="31" t="s">
        <v>1793</v>
      </c>
    </row>
    <row r="578" customFormat="false" ht="15" hidden="false" customHeight="true" outlineLevel="0" collapsed="false">
      <c r="A578" s="30" t="s">
        <v>762</v>
      </c>
      <c r="B578" s="31" t="s">
        <v>763</v>
      </c>
      <c r="C578" s="30" t="s">
        <v>437</v>
      </c>
      <c r="D578" s="31" t="s">
        <v>1793</v>
      </c>
    </row>
    <row r="579" customFormat="false" ht="15" hidden="false" customHeight="true" outlineLevel="0" collapsed="false">
      <c r="A579" s="30" t="s">
        <v>764</v>
      </c>
      <c r="B579" s="31" t="s">
        <v>372</v>
      </c>
      <c r="C579" s="30" t="s">
        <v>437</v>
      </c>
      <c r="D579" s="31" t="s">
        <v>1793</v>
      </c>
    </row>
    <row r="580" customFormat="false" ht="15" hidden="false" customHeight="true" outlineLevel="0" collapsed="false">
      <c r="A580" s="30" t="s">
        <v>765</v>
      </c>
      <c r="B580" s="31" t="s">
        <v>374</v>
      </c>
      <c r="C580" s="30" t="s">
        <v>437</v>
      </c>
      <c r="D580" s="31" t="s">
        <v>1793</v>
      </c>
    </row>
    <row r="581" customFormat="false" ht="15" hidden="false" customHeight="true" outlineLevel="0" collapsed="false">
      <c r="A581" s="30" t="s">
        <v>766</v>
      </c>
      <c r="B581" s="31" t="s">
        <v>381</v>
      </c>
      <c r="C581" s="30" t="s">
        <v>437</v>
      </c>
      <c r="D581" s="31" t="s">
        <v>1793</v>
      </c>
    </row>
    <row r="582" customFormat="false" ht="15" hidden="false" customHeight="true" outlineLevel="0" collapsed="false">
      <c r="A582" s="30" t="s">
        <v>767</v>
      </c>
      <c r="B582" s="31" t="s">
        <v>383</v>
      </c>
      <c r="C582" s="30" t="s">
        <v>437</v>
      </c>
      <c r="D582" s="31" t="s">
        <v>1793</v>
      </c>
    </row>
    <row r="583" customFormat="false" ht="15" hidden="false" customHeight="true" outlineLevel="0" collapsed="false">
      <c r="A583" s="30" t="s">
        <v>768</v>
      </c>
      <c r="B583" s="31" t="s">
        <v>387</v>
      </c>
      <c r="C583" s="30" t="s">
        <v>437</v>
      </c>
      <c r="D583" s="31" t="s">
        <v>1793</v>
      </c>
    </row>
    <row r="584" customFormat="false" ht="15" hidden="false" customHeight="true" outlineLevel="0" collapsed="false">
      <c r="A584" s="30" t="s">
        <v>769</v>
      </c>
      <c r="B584" s="31" t="s">
        <v>763</v>
      </c>
      <c r="C584" s="30" t="s">
        <v>437</v>
      </c>
      <c r="D584" s="31" t="s">
        <v>1793</v>
      </c>
    </row>
    <row r="585" customFormat="false" ht="15" hidden="false" customHeight="true" outlineLevel="0" collapsed="false">
      <c r="A585" s="30" t="s">
        <v>770</v>
      </c>
      <c r="B585" s="31" t="s">
        <v>374</v>
      </c>
      <c r="C585" s="30" t="s">
        <v>437</v>
      </c>
      <c r="D585" s="31" t="s">
        <v>1793</v>
      </c>
    </row>
    <row r="586" customFormat="false" ht="15" hidden="false" customHeight="true" outlineLevel="0" collapsed="false">
      <c r="A586" s="30" t="s">
        <v>771</v>
      </c>
      <c r="B586" s="31" t="s">
        <v>772</v>
      </c>
      <c r="C586" s="30" t="s">
        <v>437</v>
      </c>
      <c r="D586" s="31" t="s">
        <v>1793</v>
      </c>
    </row>
    <row r="587" customFormat="false" ht="15" hidden="false" customHeight="true" outlineLevel="0" collapsed="false">
      <c r="A587" s="30" t="s">
        <v>773</v>
      </c>
      <c r="B587" s="31" t="s">
        <v>774</v>
      </c>
      <c r="C587" s="30" t="s">
        <v>437</v>
      </c>
      <c r="D587" s="31" t="s">
        <v>1793</v>
      </c>
    </row>
    <row r="588" customFormat="false" ht="15" hidden="false" customHeight="true" outlineLevel="0" collapsed="false">
      <c r="A588" s="30" t="s">
        <v>775</v>
      </c>
      <c r="B588" s="31" t="s">
        <v>381</v>
      </c>
      <c r="C588" s="30" t="s">
        <v>437</v>
      </c>
      <c r="D588" s="31" t="s">
        <v>1793</v>
      </c>
    </row>
    <row r="589" customFormat="false" ht="15" hidden="false" customHeight="true" outlineLevel="0" collapsed="false">
      <c r="A589" s="30" t="s">
        <v>776</v>
      </c>
      <c r="B589" s="31" t="s">
        <v>383</v>
      </c>
      <c r="C589" s="30" t="s">
        <v>437</v>
      </c>
      <c r="D589" s="31" t="s">
        <v>1793</v>
      </c>
    </row>
    <row r="590" customFormat="false" ht="15" hidden="false" customHeight="true" outlineLevel="0" collapsed="false">
      <c r="A590" s="30" t="s">
        <v>777</v>
      </c>
      <c r="B590" s="31" t="s">
        <v>385</v>
      </c>
      <c r="C590" s="30" t="s">
        <v>437</v>
      </c>
      <c r="D590" s="31" t="s">
        <v>1793</v>
      </c>
    </row>
    <row r="591" customFormat="false" ht="15" hidden="false" customHeight="true" outlineLevel="0" collapsed="false">
      <c r="A591" s="30" t="s">
        <v>778</v>
      </c>
      <c r="B591" s="31" t="s">
        <v>387</v>
      </c>
      <c r="C591" s="30" t="s">
        <v>437</v>
      </c>
      <c r="D591" s="31" t="s">
        <v>1793</v>
      </c>
    </row>
    <row r="592" customFormat="false" ht="15" hidden="false" customHeight="true" outlineLevel="0" collapsed="false">
      <c r="A592" s="30" t="s">
        <v>779</v>
      </c>
      <c r="B592" s="31" t="s">
        <v>780</v>
      </c>
      <c r="C592" s="30" t="s">
        <v>437</v>
      </c>
      <c r="D592" s="31" t="s">
        <v>1793</v>
      </c>
    </row>
    <row r="593" customFormat="false" ht="15" hidden="false" customHeight="true" outlineLevel="0" collapsed="false">
      <c r="A593" s="30" t="s">
        <v>781</v>
      </c>
      <c r="B593" s="31" t="s">
        <v>782</v>
      </c>
      <c r="C593" s="30" t="s">
        <v>437</v>
      </c>
      <c r="D593" s="31" t="s">
        <v>1793</v>
      </c>
    </row>
    <row r="594" customFormat="false" ht="15" hidden="false" customHeight="true" outlineLevel="0" collapsed="false">
      <c r="A594" s="30" t="s">
        <v>783</v>
      </c>
      <c r="B594" s="31" t="s">
        <v>763</v>
      </c>
      <c r="C594" s="30" t="s">
        <v>437</v>
      </c>
      <c r="D594" s="31" t="s">
        <v>1793</v>
      </c>
    </row>
    <row r="595" customFormat="false" ht="15" hidden="false" customHeight="true" outlineLevel="0" collapsed="false">
      <c r="A595" s="30" t="s">
        <v>784</v>
      </c>
      <c r="B595" s="31" t="s">
        <v>374</v>
      </c>
      <c r="C595" s="30" t="s">
        <v>437</v>
      </c>
      <c r="D595" s="31" t="s">
        <v>1793</v>
      </c>
    </row>
    <row r="596" customFormat="false" ht="15" hidden="false" customHeight="true" outlineLevel="0" collapsed="false">
      <c r="A596" s="30" t="s">
        <v>785</v>
      </c>
      <c r="B596" s="31" t="s">
        <v>772</v>
      </c>
      <c r="C596" s="30" t="s">
        <v>437</v>
      </c>
      <c r="D596" s="31" t="s">
        <v>1793</v>
      </c>
    </row>
    <row r="597" customFormat="false" ht="15" hidden="false" customHeight="true" outlineLevel="0" collapsed="false">
      <c r="A597" s="30" t="s">
        <v>786</v>
      </c>
      <c r="B597" s="31" t="s">
        <v>774</v>
      </c>
      <c r="C597" s="30" t="s">
        <v>437</v>
      </c>
      <c r="D597" s="31" t="s">
        <v>1793</v>
      </c>
    </row>
    <row r="598" customFormat="false" ht="15" hidden="false" customHeight="true" outlineLevel="0" collapsed="false">
      <c r="A598" s="30" t="s">
        <v>787</v>
      </c>
      <c r="B598" s="31" t="s">
        <v>381</v>
      </c>
      <c r="C598" s="30" t="s">
        <v>437</v>
      </c>
      <c r="D598" s="31" t="s">
        <v>1793</v>
      </c>
    </row>
    <row r="599" customFormat="false" ht="15" hidden="false" customHeight="true" outlineLevel="0" collapsed="false">
      <c r="A599" s="30" t="s">
        <v>788</v>
      </c>
      <c r="B599" s="31" t="s">
        <v>383</v>
      </c>
      <c r="C599" s="30" t="s">
        <v>437</v>
      </c>
      <c r="D599" s="31" t="s">
        <v>1793</v>
      </c>
    </row>
    <row r="600" customFormat="false" ht="15" hidden="false" customHeight="true" outlineLevel="0" collapsed="false">
      <c r="A600" s="30" t="s">
        <v>789</v>
      </c>
      <c r="B600" s="31" t="s">
        <v>385</v>
      </c>
      <c r="C600" s="30" t="s">
        <v>437</v>
      </c>
      <c r="D600" s="31" t="s">
        <v>1793</v>
      </c>
    </row>
    <row r="601" customFormat="false" ht="15" hidden="false" customHeight="true" outlineLevel="0" collapsed="false">
      <c r="A601" s="30" t="s">
        <v>790</v>
      </c>
      <c r="B601" s="31" t="s">
        <v>387</v>
      </c>
      <c r="C601" s="30" t="s">
        <v>437</v>
      </c>
      <c r="D601" s="31" t="s">
        <v>1793</v>
      </c>
    </row>
    <row r="602" customFormat="false" ht="15" hidden="false" customHeight="true" outlineLevel="0" collapsed="false">
      <c r="A602" s="30" t="s">
        <v>791</v>
      </c>
      <c r="B602" s="31" t="s">
        <v>389</v>
      </c>
      <c r="C602" s="30" t="s">
        <v>437</v>
      </c>
      <c r="D602" s="31" t="s">
        <v>1793</v>
      </c>
    </row>
    <row r="603" customFormat="false" ht="15" hidden="false" customHeight="true" outlineLevel="0" collapsed="false">
      <c r="A603" s="30" t="s">
        <v>792</v>
      </c>
      <c r="B603" s="31" t="s">
        <v>763</v>
      </c>
      <c r="C603" s="30" t="s">
        <v>437</v>
      </c>
      <c r="D603" s="31" t="s">
        <v>1793</v>
      </c>
    </row>
    <row r="604" customFormat="false" ht="15" hidden="false" customHeight="true" outlineLevel="0" collapsed="false">
      <c r="A604" s="30" t="s">
        <v>793</v>
      </c>
      <c r="B604" s="31" t="s">
        <v>374</v>
      </c>
      <c r="C604" s="30" t="s">
        <v>437</v>
      </c>
      <c r="D604" s="31" t="s">
        <v>1793</v>
      </c>
    </row>
    <row r="605" customFormat="false" ht="15" hidden="false" customHeight="true" outlineLevel="0" collapsed="false">
      <c r="A605" s="30" t="s">
        <v>794</v>
      </c>
      <c r="B605" s="31" t="s">
        <v>381</v>
      </c>
      <c r="C605" s="30" t="s">
        <v>437</v>
      </c>
      <c r="D605" s="31" t="s">
        <v>1793</v>
      </c>
    </row>
    <row r="606" customFormat="false" ht="15" hidden="false" customHeight="true" outlineLevel="0" collapsed="false">
      <c r="A606" s="30" t="s">
        <v>795</v>
      </c>
      <c r="B606" s="31" t="s">
        <v>763</v>
      </c>
      <c r="C606" s="30" t="s">
        <v>437</v>
      </c>
      <c r="D606" s="31" t="s">
        <v>1793</v>
      </c>
    </row>
    <row r="607" customFormat="false" ht="15" hidden="false" customHeight="true" outlineLevel="0" collapsed="false">
      <c r="A607" s="30" t="s">
        <v>796</v>
      </c>
      <c r="B607" s="31" t="s">
        <v>391</v>
      </c>
      <c r="C607" s="30" t="s">
        <v>437</v>
      </c>
      <c r="D607" s="31" t="s">
        <v>1793</v>
      </c>
    </row>
    <row r="608" customFormat="false" ht="15" hidden="false" customHeight="true" outlineLevel="0" collapsed="false">
      <c r="A608" s="30" t="s">
        <v>797</v>
      </c>
      <c r="B608" s="31" t="s">
        <v>393</v>
      </c>
      <c r="C608" s="30" t="s">
        <v>437</v>
      </c>
      <c r="D608" s="31" t="s">
        <v>1793</v>
      </c>
    </row>
    <row r="609" customFormat="false" ht="15" hidden="false" customHeight="true" outlineLevel="0" collapsed="false">
      <c r="A609" s="30" t="s">
        <v>798</v>
      </c>
      <c r="B609" s="31" t="s">
        <v>395</v>
      </c>
      <c r="C609" s="30" t="s">
        <v>437</v>
      </c>
      <c r="D609" s="31" t="s">
        <v>1793</v>
      </c>
    </row>
    <row r="610" customFormat="false" ht="15" hidden="false" customHeight="true" outlineLevel="0" collapsed="false">
      <c r="A610" s="30" t="s">
        <v>799</v>
      </c>
      <c r="B610" s="31" t="s">
        <v>397</v>
      </c>
      <c r="C610" s="30" t="s">
        <v>437</v>
      </c>
      <c r="D610" s="31" t="s">
        <v>1793</v>
      </c>
    </row>
    <row r="611" customFormat="false" ht="15" hidden="false" customHeight="true" outlineLevel="0" collapsed="false">
      <c r="A611" s="30" t="s">
        <v>800</v>
      </c>
      <c r="B611" s="31" t="s">
        <v>399</v>
      </c>
      <c r="C611" s="30" t="s">
        <v>437</v>
      </c>
      <c r="D611" s="31" t="s">
        <v>1793</v>
      </c>
    </row>
    <row r="612" customFormat="false" ht="15" hidden="false" customHeight="true" outlineLevel="0" collapsed="false">
      <c r="A612" s="30" t="s">
        <v>801</v>
      </c>
      <c r="B612" s="31" t="s">
        <v>401</v>
      </c>
      <c r="C612" s="30" t="s">
        <v>437</v>
      </c>
      <c r="D612" s="31" t="s">
        <v>1793</v>
      </c>
    </row>
    <row r="613" customFormat="false" ht="15" hidden="false" customHeight="true" outlineLevel="0" collapsed="false">
      <c r="A613" s="30" t="s">
        <v>802</v>
      </c>
      <c r="B613" s="31" t="s">
        <v>391</v>
      </c>
      <c r="C613" s="30" t="s">
        <v>437</v>
      </c>
      <c r="D613" s="31" t="s">
        <v>1793</v>
      </c>
    </row>
    <row r="614" customFormat="false" ht="15" hidden="false" customHeight="true" outlineLevel="0" collapsed="false">
      <c r="A614" s="30" t="s">
        <v>803</v>
      </c>
      <c r="B614" s="31" t="s">
        <v>393</v>
      </c>
      <c r="C614" s="30" t="s">
        <v>437</v>
      </c>
      <c r="D614" s="31" t="s">
        <v>1793</v>
      </c>
    </row>
    <row r="615" customFormat="false" ht="15" hidden="false" customHeight="true" outlineLevel="0" collapsed="false">
      <c r="A615" s="30" t="s">
        <v>804</v>
      </c>
      <c r="B615" s="31" t="s">
        <v>395</v>
      </c>
      <c r="C615" s="30" t="s">
        <v>437</v>
      </c>
      <c r="D615" s="31" t="s">
        <v>1793</v>
      </c>
    </row>
    <row r="616" customFormat="false" ht="15" hidden="false" customHeight="true" outlineLevel="0" collapsed="false">
      <c r="A616" s="30" t="s">
        <v>805</v>
      </c>
      <c r="B616" s="31" t="s">
        <v>397</v>
      </c>
      <c r="C616" s="30" t="s">
        <v>437</v>
      </c>
      <c r="D616" s="31" t="s">
        <v>1793</v>
      </c>
    </row>
    <row r="617" customFormat="false" ht="15" hidden="false" customHeight="true" outlineLevel="0" collapsed="false">
      <c r="A617" s="30" t="s">
        <v>806</v>
      </c>
      <c r="B617" s="31" t="s">
        <v>399</v>
      </c>
      <c r="C617" s="30" t="s">
        <v>437</v>
      </c>
      <c r="D617" s="31" t="s">
        <v>1793</v>
      </c>
    </row>
    <row r="618" customFormat="false" ht="15" hidden="false" customHeight="true" outlineLevel="0" collapsed="false">
      <c r="A618" s="30" t="s">
        <v>807</v>
      </c>
      <c r="B618" s="31" t="s">
        <v>401</v>
      </c>
      <c r="C618" s="30" t="s">
        <v>437</v>
      </c>
      <c r="D618" s="31" t="s">
        <v>1793</v>
      </c>
    </row>
    <row r="619" customFormat="false" ht="15" hidden="false" customHeight="true" outlineLevel="0" collapsed="false">
      <c r="A619" s="30" t="s">
        <v>808</v>
      </c>
      <c r="B619" s="31" t="s">
        <v>809</v>
      </c>
      <c r="C619" s="30" t="s">
        <v>437</v>
      </c>
      <c r="D619" s="31" t="s">
        <v>1793</v>
      </c>
    </row>
    <row r="620" customFormat="false" ht="15" hidden="false" customHeight="true" outlineLevel="0" collapsed="false">
      <c r="A620" s="30" t="s">
        <v>810</v>
      </c>
      <c r="B620" s="31" t="s">
        <v>811</v>
      </c>
      <c r="C620" s="30" t="s">
        <v>437</v>
      </c>
      <c r="D620" s="31" t="s">
        <v>1793</v>
      </c>
    </row>
    <row r="621" customFormat="false" ht="15" hidden="false" customHeight="true" outlineLevel="0" collapsed="false">
      <c r="A621" s="30" t="s">
        <v>812</v>
      </c>
      <c r="B621" s="31" t="s">
        <v>813</v>
      </c>
      <c r="C621" s="30" t="s">
        <v>437</v>
      </c>
      <c r="D621" s="31" t="s">
        <v>1793</v>
      </c>
    </row>
    <row r="622" customFormat="false" ht="15" hidden="false" customHeight="true" outlineLevel="0" collapsed="false">
      <c r="A622" s="30" t="s">
        <v>814</v>
      </c>
      <c r="B622" s="31" t="s">
        <v>403</v>
      </c>
      <c r="C622" s="30" t="s">
        <v>437</v>
      </c>
      <c r="D622" s="31" t="s">
        <v>1793</v>
      </c>
    </row>
    <row r="623" customFormat="false" ht="15" hidden="false" customHeight="true" outlineLevel="0" collapsed="false">
      <c r="A623" s="30" t="s">
        <v>815</v>
      </c>
      <c r="B623" s="31" t="s">
        <v>816</v>
      </c>
      <c r="C623" s="30" t="s">
        <v>817</v>
      </c>
      <c r="D623" s="31" t="s">
        <v>1779</v>
      </c>
    </row>
    <row r="624" customFormat="false" ht="15" hidden="false" customHeight="true" outlineLevel="0" collapsed="false">
      <c r="A624" s="30" t="s">
        <v>818</v>
      </c>
      <c r="B624" s="31" t="s">
        <v>819</v>
      </c>
      <c r="C624" s="30" t="s">
        <v>817</v>
      </c>
      <c r="D624" s="31" t="s">
        <v>1779</v>
      </c>
    </row>
    <row r="625" customFormat="false" ht="15" hidden="false" customHeight="true" outlineLevel="0" collapsed="false">
      <c r="A625" s="30" t="s">
        <v>820</v>
      </c>
      <c r="B625" s="31" t="s">
        <v>821</v>
      </c>
      <c r="C625" s="30" t="s">
        <v>817</v>
      </c>
      <c r="D625" s="31" t="s">
        <v>1779</v>
      </c>
    </row>
    <row r="626" customFormat="false" ht="15" hidden="false" customHeight="true" outlineLevel="0" collapsed="false">
      <c r="A626" s="30" t="s">
        <v>822</v>
      </c>
      <c r="B626" s="31" t="s">
        <v>823</v>
      </c>
      <c r="C626" s="30" t="s">
        <v>817</v>
      </c>
      <c r="D626" s="31" t="s">
        <v>1779</v>
      </c>
    </row>
    <row r="627" customFormat="false" ht="15" hidden="false" customHeight="true" outlineLevel="0" collapsed="false">
      <c r="A627" s="30" t="s">
        <v>824</v>
      </c>
      <c r="B627" s="31" t="s">
        <v>825</v>
      </c>
      <c r="C627" s="30" t="s">
        <v>817</v>
      </c>
      <c r="D627" s="31" t="s">
        <v>1779</v>
      </c>
    </row>
    <row r="628" customFormat="false" ht="15" hidden="false" customHeight="true" outlineLevel="0" collapsed="false">
      <c r="A628" s="30" t="s">
        <v>826</v>
      </c>
      <c r="B628" s="31" t="s">
        <v>827</v>
      </c>
      <c r="C628" s="30" t="s">
        <v>817</v>
      </c>
      <c r="D628" s="31" t="s">
        <v>1779</v>
      </c>
    </row>
    <row r="629" customFormat="false" ht="15" hidden="false" customHeight="true" outlineLevel="0" collapsed="false">
      <c r="A629" s="30" t="s">
        <v>828</v>
      </c>
      <c r="B629" s="31" t="s">
        <v>829</v>
      </c>
      <c r="C629" s="30" t="s">
        <v>817</v>
      </c>
      <c r="D629" s="31" t="s">
        <v>1779</v>
      </c>
    </row>
    <row r="630" customFormat="false" ht="15" hidden="false" customHeight="true" outlineLevel="0" collapsed="false">
      <c r="A630" s="30" t="s">
        <v>830</v>
      </c>
      <c r="B630" s="31" t="s">
        <v>831</v>
      </c>
      <c r="C630" s="30" t="s">
        <v>817</v>
      </c>
      <c r="D630" s="31" t="s">
        <v>1779</v>
      </c>
    </row>
    <row r="631" customFormat="false" ht="15" hidden="false" customHeight="true" outlineLevel="0" collapsed="false">
      <c r="A631" s="30" t="s">
        <v>832</v>
      </c>
      <c r="B631" s="31" t="s">
        <v>833</v>
      </c>
      <c r="C631" s="30" t="s">
        <v>817</v>
      </c>
      <c r="D631" s="31" t="s">
        <v>1779</v>
      </c>
    </row>
    <row r="632" customFormat="false" ht="15" hidden="false" customHeight="true" outlineLevel="0" collapsed="false">
      <c r="A632" s="30" t="s">
        <v>834</v>
      </c>
      <c r="B632" s="31" t="s">
        <v>835</v>
      </c>
      <c r="C632" s="30" t="s">
        <v>817</v>
      </c>
      <c r="D632" s="31" t="s">
        <v>1779</v>
      </c>
    </row>
    <row r="633" customFormat="false" ht="15" hidden="false" customHeight="true" outlineLevel="0" collapsed="false">
      <c r="A633" s="30" t="s">
        <v>836</v>
      </c>
      <c r="B633" s="31" t="s">
        <v>837</v>
      </c>
      <c r="C633" s="30" t="s">
        <v>817</v>
      </c>
      <c r="D633" s="31" t="s">
        <v>1779</v>
      </c>
    </row>
    <row r="634" customFormat="false" ht="15" hidden="false" customHeight="true" outlineLevel="0" collapsed="false">
      <c r="A634" s="30" t="s">
        <v>838</v>
      </c>
      <c r="B634" s="31" t="s">
        <v>839</v>
      </c>
      <c r="C634" s="30" t="s">
        <v>817</v>
      </c>
      <c r="D634" s="31" t="s">
        <v>1779</v>
      </c>
    </row>
    <row r="635" customFormat="false" ht="15" hidden="false" customHeight="true" outlineLevel="0" collapsed="false">
      <c r="A635" s="30" t="s">
        <v>840</v>
      </c>
      <c r="B635" s="31" t="s">
        <v>841</v>
      </c>
      <c r="C635" s="30" t="s">
        <v>817</v>
      </c>
      <c r="D635" s="31" t="s">
        <v>1779</v>
      </c>
    </row>
    <row r="636" customFormat="false" ht="15" hidden="false" customHeight="true" outlineLevel="0" collapsed="false">
      <c r="A636" s="30" t="s">
        <v>842</v>
      </c>
      <c r="B636" s="31" t="s">
        <v>843</v>
      </c>
      <c r="C636" s="30" t="s">
        <v>817</v>
      </c>
      <c r="D636" s="31" t="s">
        <v>1779</v>
      </c>
    </row>
    <row r="637" customFormat="false" ht="15" hidden="false" customHeight="true" outlineLevel="0" collapsed="false">
      <c r="A637" s="30" t="s">
        <v>844</v>
      </c>
      <c r="B637" s="31" t="s">
        <v>845</v>
      </c>
      <c r="C637" s="30" t="s">
        <v>817</v>
      </c>
      <c r="D637" s="31" t="s">
        <v>1779</v>
      </c>
    </row>
    <row r="638" customFormat="false" ht="15" hidden="false" customHeight="true" outlineLevel="0" collapsed="false">
      <c r="A638" s="30" t="s">
        <v>846</v>
      </c>
      <c r="B638" s="31" t="s">
        <v>847</v>
      </c>
      <c r="C638" s="30" t="s">
        <v>817</v>
      </c>
      <c r="D638" s="31" t="s">
        <v>1779</v>
      </c>
    </row>
    <row r="639" customFormat="false" ht="15" hidden="false" customHeight="true" outlineLevel="0" collapsed="false">
      <c r="A639" s="30" t="s">
        <v>848</v>
      </c>
      <c r="B639" s="31" t="s">
        <v>849</v>
      </c>
      <c r="C639" s="30" t="s">
        <v>817</v>
      </c>
      <c r="D639" s="31" t="s">
        <v>1779</v>
      </c>
    </row>
    <row r="640" customFormat="false" ht="15" hidden="false" customHeight="true" outlineLevel="0" collapsed="false">
      <c r="A640" s="30" t="s">
        <v>850</v>
      </c>
      <c r="B640" s="31" t="s">
        <v>851</v>
      </c>
      <c r="C640" s="30" t="s">
        <v>817</v>
      </c>
      <c r="D640" s="31" t="s">
        <v>1779</v>
      </c>
    </row>
    <row r="641" customFormat="false" ht="15" hidden="false" customHeight="true" outlineLevel="0" collapsed="false">
      <c r="A641" s="30" t="s">
        <v>852</v>
      </c>
      <c r="B641" s="31" t="s">
        <v>140</v>
      </c>
      <c r="C641" s="30" t="s">
        <v>817</v>
      </c>
      <c r="D641" s="31" t="s">
        <v>1779</v>
      </c>
    </row>
    <row r="642" customFormat="false" ht="15" hidden="false" customHeight="true" outlineLevel="0" collapsed="false">
      <c r="A642" s="30" t="s">
        <v>853</v>
      </c>
      <c r="B642" s="31" t="s">
        <v>854</v>
      </c>
      <c r="C642" s="30" t="s">
        <v>817</v>
      </c>
      <c r="D642" s="31" t="s">
        <v>1779</v>
      </c>
    </row>
    <row r="643" customFormat="false" ht="15" hidden="false" customHeight="true" outlineLevel="0" collapsed="false">
      <c r="A643" s="30" t="s">
        <v>855</v>
      </c>
      <c r="B643" s="31" t="s">
        <v>856</v>
      </c>
      <c r="C643" s="30" t="s">
        <v>817</v>
      </c>
      <c r="D643" s="31" t="s">
        <v>1779</v>
      </c>
    </row>
    <row r="644" customFormat="false" ht="15" hidden="false" customHeight="true" outlineLevel="0" collapsed="false">
      <c r="A644" s="30" t="s">
        <v>857</v>
      </c>
      <c r="B644" s="31" t="s">
        <v>858</v>
      </c>
      <c r="C644" s="30" t="s">
        <v>817</v>
      </c>
      <c r="D644" s="31" t="s">
        <v>1779</v>
      </c>
    </row>
    <row r="645" customFormat="false" ht="15" hidden="false" customHeight="true" outlineLevel="0" collapsed="false">
      <c r="A645" s="30" t="s">
        <v>859</v>
      </c>
      <c r="B645" s="31" t="s">
        <v>860</v>
      </c>
      <c r="C645" s="30" t="s">
        <v>817</v>
      </c>
      <c r="D645" s="31" t="s">
        <v>1779</v>
      </c>
    </row>
    <row r="646" customFormat="false" ht="15" hidden="false" customHeight="true" outlineLevel="0" collapsed="false">
      <c r="A646" s="30" t="s">
        <v>861</v>
      </c>
      <c r="B646" s="31" t="s">
        <v>862</v>
      </c>
      <c r="C646" s="30" t="s">
        <v>817</v>
      </c>
      <c r="D646" s="31" t="s">
        <v>1779</v>
      </c>
    </row>
    <row r="647" customFormat="false" ht="15" hidden="false" customHeight="true" outlineLevel="0" collapsed="false">
      <c r="A647" s="30" t="s">
        <v>863</v>
      </c>
      <c r="B647" s="31" t="s">
        <v>864</v>
      </c>
      <c r="C647" s="30" t="s">
        <v>817</v>
      </c>
      <c r="D647" s="31" t="s">
        <v>1779</v>
      </c>
    </row>
    <row r="648" customFormat="false" ht="15" hidden="false" customHeight="true" outlineLevel="0" collapsed="false">
      <c r="A648" s="30" t="s">
        <v>865</v>
      </c>
      <c r="B648" s="31" t="s">
        <v>866</v>
      </c>
      <c r="C648" s="30" t="s">
        <v>817</v>
      </c>
      <c r="D648" s="31" t="s">
        <v>1779</v>
      </c>
    </row>
    <row r="649" customFormat="false" ht="15" hidden="false" customHeight="true" outlineLevel="0" collapsed="false">
      <c r="A649" s="30" t="s">
        <v>867</v>
      </c>
      <c r="B649" s="31" t="s">
        <v>868</v>
      </c>
      <c r="C649" s="30" t="s">
        <v>817</v>
      </c>
      <c r="D649" s="31" t="s">
        <v>1779</v>
      </c>
    </row>
    <row r="650" customFormat="false" ht="15" hidden="false" customHeight="true" outlineLevel="0" collapsed="false">
      <c r="A650" s="30" t="s">
        <v>869</v>
      </c>
      <c r="B650" s="31" t="s">
        <v>870</v>
      </c>
      <c r="C650" s="30" t="s">
        <v>817</v>
      </c>
      <c r="D650" s="31" t="s">
        <v>1779</v>
      </c>
    </row>
    <row r="651" customFormat="false" ht="15" hidden="false" customHeight="true" outlineLevel="0" collapsed="false">
      <c r="A651" s="30" t="s">
        <v>871</v>
      </c>
      <c r="B651" s="31" t="s">
        <v>872</v>
      </c>
      <c r="C651" s="30" t="s">
        <v>817</v>
      </c>
      <c r="D651" s="31" t="s">
        <v>1779</v>
      </c>
    </row>
    <row r="652" customFormat="false" ht="15" hidden="false" customHeight="true" outlineLevel="0" collapsed="false">
      <c r="A652" s="30" t="s">
        <v>873</v>
      </c>
      <c r="B652" s="31" t="s">
        <v>874</v>
      </c>
      <c r="C652" s="30" t="s">
        <v>817</v>
      </c>
      <c r="D652" s="31" t="s">
        <v>1779</v>
      </c>
    </row>
    <row r="653" customFormat="false" ht="15" hidden="false" customHeight="true" outlineLevel="0" collapsed="false">
      <c r="A653" s="30" t="s">
        <v>875</v>
      </c>
      <c r="B653" s="31" t="s">
        <v>876</v>
      </c>
      <c r="C653" s="30" t="s">
        <v>817</v>
      </c>
      <c r="D653" s="31" t="s">
        <v>1779</v>
      </c>
    </row>
    <row r="654" customFormat="false" ht="15" hidden="false" customHeight="true" outlineLevel="0" collapsed="false">
      <c r="A654" s="30" t="s">
        <v>877</v>
      </c>
      <c r="B654" s="31" t="s">
        <v>878</v>
      </c>
      <c r="C654" s="30" t="s">
        <v>817</v>
      </c>
      <c r="D654" s="31" t="s">
        <v>1779</v>
      </c>
    </row>
    <row r="655" customFormat="false" ht="15" hidden="false" customHeight="true" outlineLevel="0" collapsed="false">
      <c r="A655" s="30" t="s">
        <v>879</v>
      </c>
      <c r="B655" s="31" t="s">
        <v>880</v>
      </c>
      <c r="C655" s="30" t="s">
        <v>817</v>
      </c>
      <c r="D655" s="31" t="s">
        <v>1779</v>
      </c>
    </row>
    <row r="656" customFormat="false" ht="15" hidden="false" customHeight="true" outlineLevel="0" collapsed="false">
      <c r="A656" s="30" t="s">
        <v>881</v>
      </c>
      <c r="B656" s="31" t="s">
        <v>882</v>
      </c>
      <c r="C656" s="30" t="s">
        <v>817</v>
      </c>
      <c r="D656" s="31" t="s">
        <v>1779</v>
      </c>
    </row>
    <row r="657" customFormat="false" ht="15" hidden="false" customHeight="true" outlineLevel="0" collapsed="false">
      <c r="A657" s="30" t="s">
        <v>883</v>
      </c>
      <c r="B657" s="31" t="s">
        <v>884</v>
      </c>
      <c r="C657" s="30" t="s">
        <v>817</v>
      </c>
      <c r="D657" s="31" t="s">
        <v>1779</v>
      </c>
    </row>
    <row r="658" customFormat="false" ht="15" hidden="false" customHeight="true" outlineLevel="0" collapsed="false">
      <c r="A658" s="30" t="s">
        <v>885</v>
      </c>
      <c r="B658" s="31" t="s">
        <v>886</v>
      </c>
      <c r="C658" s="30" t="s">
        <v>817</v>
      </c>
      <c r="D658" s="31" t="s">
        <v>1779</v>
      </c>
    </row>
    <row r="659" customFormat="false" ht="15" hidden="false" customHeight="true" outlineLevel="0" collapsed="false">
      <c r="A659" s="30" t="s">
        <v>887</v>
      </c>
      <c r="B659" s="31" t="s">
        <v>888</v>
      </c>
      <c r="C659" s="30" t="s">
        <v>817</v>
      </c>
      <c r="D659" s="31" t="s">
        <v>1779</v>
      </c>
    </row>
    <row r="660" customFormat="false" ht="15" hidden="false" customHeight="true" outlineLevel="0" collapsed="false">
      <c r="A660" s="30" t="s">
        <v>889</v>
      </c>
      <c r="B660" s="31" t="s">
        <v>890</v>
      </c>
      <c r="C660" s="30" t="s">
        <v>817</v>
      </c>
      <c r="D660" s="31" t="s">
        <v>1779</v>
      </c>
    </row>
    <row r="661" customFormat="false" ht="15" hidden="false" customHeight="true" outlineLevel="0" collapsed="false">
      <c r="A661" s="30" t="s">
        <v>891</v>
      </c>
      <c r="B661" s="31" t="s">
        <v>892</v>
      </c>
      <c r="C661" s="30" t="s">
        <v>817</v>
      </c>
      <c r="D661" s="31" t="s">
        <v>1779</v>
      </c>
    </row>
    <row r="662" customFormat="false" ht="15" hidden="false" customHeight="true" outlineLevel="0" collapsed="false">
      <c r="A662" s="30" t="s">
        <v>893</v>
      </c>
      <c r="B662" s="31" t="s">
        <v>894</v>
      </c>
      <c r="C662" s="30" t="s">
        <v>817</v>
      </c>
      <c r="D662" s="31" t="s">
        <v>1779</v>
      </c>
    </row>
    <row r="663" customFormat="false" ht="15" hidden="false" customHeight="true" outlineLevel="0" collapsed="false">
      <c r="A663" s="30" t="s">
        <v>895</v>
      </c>
      <c r="B663" s="31" t="s">
        <v>896</v>
      </c>
      <c r="C663" s="30" t="s">
        <v>817</v>
      </c>
      <c r="D663" s="31" t="s">
        <v>1779</v>
      </c>
    </row>
    <row r="664" customFormat="false" ht="15" hidden="false" customHeight="true" outlineLevel="0" collapsed="false">
      <c r="A664" s="30" t="s">
        <v>897</v>
      </c>
      <c r="B664" s="31" t="s">
        <v>898</v>
      </c>
      <c r="C664" s="30" t="s">
        <v>817</v>
      </c>
      <c r="D664" s="31" t="s">
        <v>1779</v>
      </c>
    </row>
    <row r="665" customFormat="false" ht="15" hidden="false" customHeight="true" outlineLevel="0" collapsed="false">
      <c r="A665" s="30" t="s">
        <v>899</v>
      </c>
      <c r="B665" s="31" t="s">
        <v>900</v>
      </c>
      <c r="C665" s="30" t="s">
        <v>817</v>
      </c>
      <c r="D665" s="31" t="s">
        <v>1779</v>
      </c>
    </row>
    <row r="666" customFormat="false" ht="15" hidden="false" customHeight="true" outlineLevel="0" collapsed="false">
      <c r="A666" s="30" t="s">
        <v>901</v>
      </c>
      <c r="B666" s="31" t="s">
        <v>902</v>
      </c>
      <c r="C666" s="30" t="s">
        <v>817</v>
      </c>
      <c r="D666" s="31" t="s">
        <v>1779</v>
      </c>
    </row>
    <row r="667" customFormat="false" ht="15" hidden="false" customHeight="true" outlineLevel="0" collapsed="false">
      <c r="A667" s="30" t="s">
        <v>903</v>
      </c>
      <c r="B667" s="31" t="s">
        <v>904</v>
      </c>
      <c r="C667" s="30" t="s">
        <v>817</v>
      </c>
      <c r="D667" s="31" t="s">
        <v>1779</v>
      </c>
    </row>
    <row r="668" customFormat="false" ht="15" hidden="false" customHeight="true" outlineLevel="0" collapsed="false">
      <c r="A668" s="30" t="s">
        <v>905</v>
      </c>
      <c r="B668" s="31" t="s">
        <v>906</v>
      </c>
      <c r="C668" s="30" t="s">
        <v>817</v>
      </c>
      <c r="D668" s="31" t="s">
        <v>1779</v>
      </c>
    </row>
    <row r="669" customFormat="false" ht="15" hidden="false" customHeight="true" outlineLevel="0" collapsed="false">
      <c r="A669" s="30" t="s">
        <v>907</v>
      </c>
      <c r="B669" s="31" t="s">
        <v>908</v>
      </c>
      <c r="C669" s="30" t="s">
        <v>817</v>
      </c>
      <c r="D669" s="31" t="s">
        <v>1779</v>
      </c>
    </row>
    <row r="670" customFormat="false" ht="15" hidden="false" customHeight="true" outlineLevel="0" collapsed="false">
      <c r="A670" s="30" t="s">
        <v>909</v>
      </c>
      <c r="B670" s="31" t="s">
        <v>910</v>
      </c>
      <c r="C670" s="30" t="s">
        <v>817</v>
      </c>
      <c r="D670" s="31" t="s">
        <v>1779</v>
      </c>
    </row>
    <row r="671" customFormat="false" ht="15" hidden="false" customHeight="true" outlineLevel="0" collapsed="false">
      <c r="A671" s="30" t="s">
        <v>911</v>
      </c>
      <c r="B671" s="31" t="s">
        <v>912</v>
      </c>
      <c r="C671" s="30" t="s">
        <v>817</v>
      </c>
      <c r="D671" s="31" t="s">
        <v>1779</v>
      </c>
    </row>
    <row r="672" customFormat="false" ht="15" hidden="false" customHeight="true" outlineLevel="0" collapsed="false">
      <c r="A672" s="30" t="s">
        <v>913</v>
      </c>
      <c r="B672" s="31" t="s">
        <v>914</v>
      </c>
      <c r="C672" s="30" t="s">
        <v>817</v>
      </c>
      <c r="D672" s="31" t="s">
        <v>1779</v>
      </c>
    </row>
    <row r="673" customFormat="false" ht="15" hidden="false" customHeight="true" outlineLevel="0" collapsed="false">
      <c r="A673" s="30" t="s">
        <v>915</v>
      </c>
      <c r="B673" s="31" t="s">
        <v>916</v>
      </c>
      <c r="C673" s="30" t="s">
        <v>817</v>
      </c>
      <c r="D673" s="31" t="s">
        <v>1779</v>
      </c>
    </row>
    <row r="674" customFormat="false" ht="15" hidden="false" customHeight="true" outlineLevel="0" collapsed="false">
      <c r="A674" s="30" t="s">
        <v>917</v>
      </c>
      <c r="B674" s="31" t="s">
        <v>918</v>
      </c>
      <c r="C674" s="30" t="s">
        <v>817</v>
      </c>
      <c r="D674" s="31" t="s">
        <v>1779</v>
      </c>
    </row>
    <row r="675" customFormat="false" ht="15" hidden="false" customHeight="true" outlineLevel="0" collapsed="false">
      <c r="A675" s="30" t="s">
        <v>919</v>
      </c>
      <c r="B675" s="31" t="s">
        <v>920</v>
      </c>
      <c r="C675" s="30" t="s">
        <v>817</v>
      </c>
      <c r="D675" s="31" t="s">
        <v>1779</v>
      </c>
    </row>
    <row r="676" customFormat="false" ht="15" hidden="false" customHeight="true" outlineLevel="0" collapsed="false">
      <c r="A676" s="30" t="s">
        <v>921</v>
      </c>
      <c r="B676" s="31" t="s">
        <v>84</v>
      </c>
      <c r="C676" s="30" t="s">
        <v>817</v>
      </c>
      <c r="D676" s="31" t="s">
        <v>1779</v>
      </c>
    </row>
    <row r="677" customFormat="false" ht="15" hidden="false" customHeight="true" outlineLevel="0" collapsed="false">
      <c r="A677" s="30" t="s">
        <v>922</v>
      </c>
      <c r="B677" s="31" t="s">
        <v>923</v>
      </c>
      <c r="C677" s="30" t="s">
        <v>817</v>
      </c>
      <c r="D677" s="31" t="s">
        <v>1779</v>
      </c>
    </row>
    <row r="678" customFormat="false" ht="15" hidden="false" customHeight="true" outlineLevel="0" collapsed="false">
      <c r="A678" s="30" t="s">
        <v>924</v>
      </c>
      <c r="B678" s="31" t="s">
        <v>925</v>
      </c>
      <c r="C678" s="30" t="s">
        <v>817</v>
      </c>
      <c r="D678" s="31" t="s">
        <v>1779</v>
      </c>
    </row>
    <row r="679" customFormat="false" ht="15" hidden="false" customHeight="true" outlineLevel="0" collapsed="false">
      <c r="A679" s="30" t="s">
        <v>926</v>
      </c>
      <c r="B679" s="31" t="s">
        <v>927</v>
      </c>
      <c r="C679" s="30" t="s">
        <v>817</v>
      </c>
      <c r="D679" s="31" t="s">
        <v>1779</v>
      </c>
    </row>
    <row r="680" customFormat="false" ht="15" hidden="false" customHeight="true" outlineLevel="0" collapsed="false">
      <c r="A680" s="30" t="s">
        <v>928</v>
      </c>
      <c r="B680" s="31" t="s">
        <v>929</v>
      </c>
      <c r="C680" s="30" t="s">
        <v>817</v>
      </c>
      <c r="D680" s="31" t="s">
        <v>1779</v>
      </c>
    </row>
    <row r="681" customFormat="false" ht="15" hidden="false" customHeight="true" outlineLevel="0" collapsed="false">
      <c r="A681" s="30" t="s">
        <v>930</v>
      </c>
      <c r="B681" s="31" t="s">
        <v>84</v>
      </c>
      <c r="C681" s="30" t="s">
        <v>817</v>
      </c>
      <c r="D681" s="31" t="s">
        <v>1779</v>
      </c>
    </row>
    <row r="682" customFormat="false" ht="15" hidden="false" customHeight="true" outlineLevel="0" collapsed="false">
      <c r="A682" s="30" t="s">
        <v>931</v>
      </c>
      <c r="B682" s="31" t="s">
        <v>923</v>
      </c>
      <c r="C682" s="30" t="s">
        <v>817</v>
      </c>
      <c r="D682" s="31" t="s">
        <v>1779</v>
      </c>
    </row>
    <row r="683" customFormat="false" ht="15" hidden="false" customHeight="true" outlineLevel="0" collapsed="false">
      <c r="A683" s="30" t="s">
        <v>932</v>
      </c>
      <c r="B683" s="31" t="s">
        <v>933</v>
      </c>
      <c r="C683" s="30" t="s">
        <v>817</v>
      </c>
      <c r="D683" s="31" t="s">
        <v>1779</v>
      </c>
    </row>
    <row r="684" customFormat="false" ht="15" hidden="false" customHeight="true" outlineLevel="0" collapsed="false">
      <c r="A684" s="30" t="s">
        <v>934</v>
      </c>
      <c r="B684" s="31" t="s">
        <v>927</v>
      </c>
      <c r="C684" s="30" t="s">
        <v>817</v>
      </c>
      <c r="D684" s="31" t="s">
        <v>1779</v>
      </c>
    </row>
    <row r="685" customFormat="false" ht="15" hidden="false" customHeight="true" outlineLevel="0" collapsed="false">
      <c r="A685" s="30" t="s">
        <v>935</v>
      </c>
      <c r="B685" s="31" t="s">
        <v>929</v>
      </c>
      <c r="C685" s="30" t="s">
        <v>817</v>
      </c>
      <c r="D685" s="31" t="s">
        <v>1779</v>
      </c>
    </row>
    <row r="686" customFormat="false" ht="15" hidden="false" customHeight="true" outlineLevel="0" collapsed="false">
      <c r="A686" s="30" t="s">
        <v>936</v>
      </c>
      <c r="B686" s="31" t="s">
        <v>107</v>
      </c>
      <c r="C686" s="30" t="s">
        <v>817</v>
      </c>
      <c r="D686" s="31" t="s">
        <v>1779</v>
      </c>
    </row>
    <row r="687" customFormat="false" ht="15" hidden="false" customHeight="true" outlineLevel="0" collapsed="false">
      <c r="A687" s="30" t="s">
        <v>937</v>
      </c>
      <c r="B687" s="31" t="s">
        <v>142</v>
      </c>
      <c r="C687" s="30" t="s">
        <v>817</v>
      </c>
      <c r="D687" s="31" t="s">
        <v>1779</v>
      </c>
    </row>
    <row r="688" customFormat="false" ht="15" hidden="false" customHeight="true" outlineLevel="0" collapsed="false">
      <c r="A688" s="30" t="s">
        <v>938</v>
      </c>
      <c r="B688" s="31" t="s">
        <v>939</v>
      </c>
      <c r="C688" s="30" t="s">
        <v>817</v>
      </c>
      <c r="D688" s="31" t="s">
        <v>1779</v>
      </c>
    </row>
    <row r="689" customFormat="false" ht="15" hidden="false" customHeight="true" outlineLevel="0" collapsed="false">
      <c r="A689" s="30" t="s">
        <v>940</v>
      </c>
      <c r="B689" s="31" t="s">
        <v>941</v>
      </c>
      <c r="C689" s="30" t="s">
        <v>817</v>
      </c>
      <c r="D689" s="31" t="s">
        <v>1779</v>
      </c>
    </row>
    <row r="690" customFormat="false" ht="15" hidden="false" customHeight="true" outlineLevel="0" collapsed="false">
      <c r="A690" s="30" t="s">
        <v>942</v>
      </c>
      <c r="B690" s="31" t="s">
        <v>939</v>
      </c>
      <c r="C690" s="30" t="s">
        <v>817</v>
      </c>
      <c r="D690" s="31" t="s">
        <v>1779</v>
      </c>
    </row>
    <row r="691" customFormat="false" ht="15" hidden="false" customHeight="true" outlineLevel="0" collapsed="false">
      <c r="A691" s="30" t="s">
        <v>943</v>
      </c>
      <c r="B691" s="31" t="s">
        <v>944</v>
      </c>
      <c r="C691" s="30" t="s">
        <v>817</v>
      </c>
      <c r="D691" s="31" t="s">
        <v>1779</v>
      </c>
    </row>
    <row r="692" customFormat="false" ht="15" hidden="false" customHeight="true" outlineLevel="0" collapsed="false">
      <c r="A692" s="30" t="s">
        <v>945</v>
      </c>
      <c r="B692" s="31" t="s">
        <v>946</v>
      </c>
      <c r="C692" s="30" t="s">
        <v>817</v>
      </c>
      <c r="D692" s="31" t="s">
        <v>1779</v>
      </c>
    </row>
    <row r="693" customFormat="false" ht="15" hidden="false" customHeight="true" outlineLevel="0" collapsed="false">
      <c r="A693" s="30" t="s">
        <v>947</v>
      </c>
      <c r="B693" s="31" t="s">
        <v>948</v>
      </c>
      <c r="C693" s="30" t="s">
        <v>817</v>
      </c>
      <c r="D693" s="31" t="s">
        <v>1779</v>
      </c>
    </row>
    <row r="694" customFormat="false" ht="15" hidden="false" customHeight="true" outlineLevel="0" collapsed="false">
      <c r="A694" s="30" t="s">
        <v>949</v>
      </c>
      <c r="B694" s="31" t="s">
        <v>950</v>
      </c>
      <c r="C694" s="30" t="s">
        <v>817</v>
      </c>
      <c r="D694" s="31" t="s">
        <v>1779</v>
      </c>
    </row>
    <row r="695" customFormat="false" ht="15" hidden="false" customHeight="true" outlineLevel="0" collapsed="false">
      <c r="A695" s="30" t="s">
        <v>951</v>
      </c>
      <c r="B695" s="31" t="s">
        <v>952</v>
      </c>
      <c r="C695" s="30" t="s">
        <v>817</v>
      </c>
      <c r="D695" s="31" t="s">
        <v>1779</v>
      </c>
    </row>
    <row r="696" customFormat="false" ht="15" hidden="false" customHeight="true" outlineLevel="0" collapsed="false">
      <c r="A696" s="30" t="s">
        <v>953</v>
      </c>
      <c r="B696" s="31" t="s">
        <v>954</v>
      </c>
      <c r="C696" s="30" t="s">
        <v>817</v>
      </c>
      <c r="D696" s="31" t="s">
        <v>1779</v>
      </c>
    </row>
    <row r="697" customFormat="false" ht="15" hidden="false" customHeight="true" outlineLevel="0" collapsed="false">
      <c r="A697" s="30" t="s">
        <v>955</v>
      </c>
      <c r="B697" s="31" t="s">
        <v>956</v>
      </c>
      <c r="C697" s="30" t="s">
        <v>817</v>
      </c>
      <c r="D697" s="31" t="s">
        <v>1779</v>
      </c>
    </row>
    <row r="698" customFormat="false" ht="15" hidden="false" customHeight="true" outlineLevel="0" collapsed="false">
      <c r="A698" s="30" t="s">
        <v>957</v>
      </c>
      <c r="B698" s="31" t="s">
        <v>958</v>
      </c>
      <c r="C698" s="30" t="s">
        <v>817</v>
      </c>
      <c r="D698" s="31" t="s">
        <v>1779</v>
      </c>
    </row>
    <row r="699" customFormat="false" ht="15" hidden="false" customHeight="true" outlineLevel="0" collapsed="false">
      <c r="A699" s="30" t="s">
        <v>959</v>
      </c>
      <c r="B699" s="31" t="s">
        <v>954</v>
      </c>
      <c r="C699" s="30" t="s">
        <v>817</v>
      </c>
      <c r="D699" s="31" t="s">
        <v>1779</v>
      </c>
    </row>
    <row r="700" customFormat="false" ht="15" hidden="false" customHeight="true" outlineLevel="0" collapsed="false">
      <c r="A700" s="30" t="s">
        <v>960</v>
      </c>
      <c r="B700" s="31" t="s">
        <v>961</v>
      </c>
      <c r="C700" s="30" t="s">
        <v>817</v>
      </c>
      <c r="D700" s="31" t="s">
        <v>1779</v>
      </c>
    </row>
    <row r="701" customFormat="false" ht="15" hidden="false" customHeight="true" outlineLevel="0" collapsed="false">
      <c r="A701" s="30" t="s">
        <v>962</v>
      </c>
      <c r="B701" s="31" t="s">
        <v>963</v>
      </c>
      <c r="C701" s="30" t="s">
        <v>817</v>
      </c>
      <c r="D701" s="31" t="s">
        <v>1779</v>
      </c>
    </row>
    <row r="702" customFormat="false" ht="15" hidden="false" customHeight="true" outlineLevel="0" collapsed="false">
      <c r="A702" s="30" t="s">
        <v>964</v>
      </c>
      <c r="B702" s="31" t="s">
        <v>965</v>
      </c>
      <c r="C702" s="30" t="s">
        <v>817</v>
      </c>
      <c r="D702" s="31" t="s">
        <v>1779</v>
      </c>
    </row>
    <row r="703" customFormat="false" ht="15" hidden="false" customHeight="true" outlineLevel="0" collapsed="false">
      <c r="A703" s="30" t="s">
        <v>966</v>
      </c>
      <c r="B703" s="31" t="s">
        <v>967</v>
      </c>
      <c r="C703" s="30" t="s">
        <v>817</v>
      </c>
      <c r="D703" s="31" t="s">
        <v>1779</v>
      </c>
    </row>
    <row r="704" customFormat="false" ht="15" hidden="false" customHeight="true" outlineLevel="0" collapsed="false">
      <c r="A704" s="30" t="s">
        <v>968</v>
      </c>
      <c r="B704" s="31" t="s">
        <v>944</v>
      </c>
      <c r="C704" s="30" t="s">
        <v>817</v>
      </c>
      <c r="D704" s="31" t="s">
        <v>1779</v>
      </c>
    </row>
    <row r="705" customFormat="false" ht="15" hidden="false" customHeight="true" outlineLevel="0" collapsed="false">
      <c r="A705" s="30" t="s">
        <v>969</v>
      </c>
      <c r="B705" s="31" t="s">
        <v>946</v>
      </c>
      <c r="C705" s="30" t="s">
        <v>817</v>
      </c>
      <c r="D705" s="31" t="s">
        <v>1779</v>
      </c>
    </row>
    <row r="706" customFormat="false" ht="15" hidden="false" customHeight="true" outlineLevel="0" collapsed="false">
      <c r="A706" s="30" t="s">
        <v>970</v>
      </c>
      <c r="B706" s="31" t="s">
        <v>948</v>
      </c>
      <c r="C706" s="30" t="s">
        <v>817</v>
      </c>
      <c r="D706" s="31" t="s">
        <v>1779</v>
      </c>
    </row>
    <row r="707" customFormat="false" ht="15" hidden="false" customHeight="true" outlineLevel="0" collapsed="false">
      <c r="A707" s="30" t="s">
        <v>971</v>
      </c>
      <c r="B707" s="31" t="s">
        <v>950</v>
      </c>
      <c r="C707" s="30" t="s">
        <v>817</v>
      </c>
      <c r="D707" s="31" t="s">
        <v>1779</v>
      </c>
    </row>
    <row r="708" customFormat="false" ht="15" hidden="false" customHeight="true" outlineLevel="0" collapsed="false">
      <c r="A708" s="30" t="s">
        <v>972</v>
      </c>
      <c r="B708" s="31" t="s">
        <v>952</v>
      </c>
      <c r="C708" s="30" t="s">
        <v>817</v>
      </c>
      <c r="D708" s="31" t="s">
        <v>1779</v>
      </c>
    </row>
    <row r="709" customFormat="false" ht="15" hidden="false" customHeight="true" outlineLevel="0" collapsed="false">
      <c r="A709" s="30" t="s">
        <v>973</v>
      </c>
      <c r="B709" s="31" t="s">
        <v>954</v>
      </c>
      <c r="C709" s="30" t="s">
        <v>817</v>
      </c>
      <c r="D709" s="31" t="s">
        <v>1779</v>
      </c>
    </row>
    <row r="710" customFormat="false" ht="15" hidden="false" customHeight="true" outlineLevel="0" collapsed="false">
      <c r="A710" s="30" t="s">
        <v>974</v>
      </c>
      <c r="B710" s="31" t="s">
        <v>956</v>
      </c>
      <c r="C710" s="30" t="s">
        <v>817</v>
      </c>
      <c r="D710" s="31" t="s">
        <v>1779</v>
      </c>
    </row>
    <row r="711" customFormat="false" ht="15" hidden="false" customHeight="true" outlineLevel="0" collapsed="false">
      <c r="A711" s="30" t="s">
        <v>975</v>
      </c>
      <c r="B711" s="31" t="s">
        <v>958</v>
      </c>
      <c r="C711" s="30" t="s">
        <v>817</v>
      </c>
      <c r="D711" s="31" t="s">
        <v>1779</v>
      </c>
    </row>
    <row r="712" customFormat="false" ht="15" hidden="false" customHeight="true" outlineLevel="0" collapsed="false">
      <c r="A712" s="30" t="s">
        <v>976</v>
      </c>
      <c r="B712" s="31" t="s">
        <v>954</v>
      </c>
      <c r="C712" s="30" t="s">
        <v>817</v>
      </c>
      <c r="D712" s="31" t="s">
        <v>1779</v>
      </c>
    </row>
    <row r="713" customFormat="false" ht="15" hidden="false" customHeight="true" outlineLevel="0" collapsed="false">
      <c r="A713" s="30" t="s">
        <v>977</v>
      </c>
      <c r="B713" s="31" t="s">
        <v>961</v>
      </c>
      <c r="C713" s="30" t="s">
        <v>817</v>
      </c>
      <c r="D713" s="31" t="s">
        <v>1779</v>
      </c>
    </row>
    <row r="714" customFormat="false" ht="15" hidden="false" customHeight="true" outlineLevel="0" collapsed="false">
      <c r="A714" s="30" t="s">
        <v>978</v>
      </c>
      <c r="B714" s="31" t="s">
        <v>963</v>
      </c>
      <c r="C714" s="30" t="s">
        <v>817</v>
      </c>
      <c r="D714" s="31" t="s">
        <v>1779</v>
      </c>
    </row>
    <row r="715" customFormat="false" ht="15" hidden="false" customHeight="true" outlineLevel="0" collapsed="false">
      <c r="A715" s="30" t="s">
        <v>979</v>
      </c>
      <c r="B715" s="31" t="s">
        <v>965</v>
      </c>
      <c r="C715" s="30" t="s">
        <v>817</v>
      </c>
      <c r="D715" s="31" t="s">
        <v>1779</v>
      </c>
    </row>
    <row r="716" customFormat="false" ht="15" hidden="false" customHeight="true" outlineLevel="0" collapsed="false">
      <c r="A716" s="30" t="s">
        <v>980</v>
      </c>
      <c r="B716" s="31" t="s">
        <v>967</v>
      </c>
      <c r="C716" s="30" t="s">
        <v>817</v>
      </c>
      <c r="D716" s="31" t="s">
        <v>1779</v>
      </c>
    </row>
    <row r="717" customFormat="false" ht="15" hidden="false" customHeight="true" outlineLevel="0" collapsed="false">
      <c r="A717" s="30" t="s">
        <v>981</v>
      </c>
      <c r="B717" s="31" t="s">
        <v>982</v>
      </c>
      <c r="C717" s="30" t="s">
        <v>817</v>
      </c>
      <c r="D717" s="31" t="s">
        <v>1779</v>
      </c>
    </row>
    <row r="718" customFormat="false" ht="15" hidden="false" customHeight="true" outlineLevel="0" collapsed="false">
      <c r="A718" s="30" t="s">
        <v>983</v>
      </c>
      <c r="B718" s="31" t="s">
        <v>984</v>
      </c>
      <c r="C718" s="30" t="s">
        <v>817</v>
      </c>
      <c r="D718" s="31" t="s">
        <v>1779</v>
      </c>
    </row>
    <row r="719" customFormat="false" ht="15" hidden="false" customHeight="true" outlineLevel="0" collapsed="false">
      <c r="A719" s="30" t="s">
        <v>985</v>
      </c>
      <c r="B719" s="31" t="s">
        <v>986</v>
      </c>
      <c r="C719" s="30" t="s">
        <v>817</v>
      </c>
      <c r="D719" s="31" t="s">
        <v>1779</v>
      </c>
    </row>
    <row r="720" customFormat="false" ht="15" hidden="false" customHeight="true" outlineLevel="0" collapsed="false">
      <c r="A720" s="30" t="s">
        <v>987</v>
      </c>
      <c r="B720" s="31" t="s">
        <v>988</v>
      </c>
      <c r="C720" s="30" t="s">
        <v>817</v>
      </c>
      <c r="D720" s="31" t="s">
        <v>1779</v>
      </c>
    </row>
    <row r="721" customFormat="false" ht="15" hidden="false" customHeight="true" outlineLevel="0" collapsed="false">
      <c r="A721" s="30" t="s">
        <v>989</v>
      </c>
      <c r="B721" s="31" t="s">
        <v>990</v>
      </c>
      <c r="C721" s="30" t="s">
        <v>817</v>
      </c>
      <c r="D721" s="31" t="s">
        <v>1779</v>
      </c>
    </row>
    <row r="722" customFormat="false" ht="15" hidden="false" customHeight="true" outlineLevel="0" collapsed="false">
      <c r="A722" s="30" t="s">
        <v>991</v>
      </c>
      <c r="B722" s="31" t="s">
        <v>992</v>
      </c>
      <c r="C722" s="30" t="s">
        <v>817</v>
      </c>
      <c r="D722" s="31" t="s">
        <v>1779</v>
      </c>
    </row>
    <row r="723" customFormat="false" ht="15" hidden="false" customHeight="true" outlineLevel="0" collapsed="false">
      <c r="A723" s="30" t="s">
        <v>993</v>
      </c>
      <c r="B723" s="31" t="s">
        <v>154</v>
      </c>
      <c r="C723" s="30" t="s">
        <v>817</v>
      </c>
      <c r="D723" s="31" t="s">
        <v>1779</v>
      </c>
    </row>
    <row r="724" customFormat="false" ht="15" hidden="false" customHeight="true" outlineLevel="0" collapsed="false">
      <c r="A724" s="30" t="s">
        <v>994</v>
      </c>
      <c r="B724" s="31" t="s">
        <v>995</v>
      </c>
      <c r="C724" s="30" t="s">
        <v>817</v>
      </c>
      <c r="D724" s="31" t="s">
        <v>1779</v>
      </c>
    </row>
    <row r="725" customFormat="false" ht="15" hidden="false" customHeight="true" outlineLevel="0" collapsed="false">
      <c r="A725" s="30" t="s">
        <v>996</v>
      </c>
      <c r="B725" s="31" t="s">
        <v>156</v>
      </c>
      <c r="C725" s="30" t="s">
        <v>817</v>
      </c>
      <c r="D725" s="31" t="s">
        <v>1779</v>
      </c>
    </row>
    <row r="726" customFormat="false" ht="15" hidden="false" customHeight="true" outlineLevel="0" collapsed="false">
      <c r="A726" s="30" t="s">
        <v>997</v>
      </c>
      <c r="B726" s="31" t="s">
        <v>158</v>
      </c>
      <c r="C726" s="30" t="s">
        <v>817</v>
      </c>
      <c r="D726" s="31" t="s">
        <v>1779</v>
      </c>
    </row>
    <row r="727" customFormat="false" ht="15" hidden="false" customHeight="true" outlineLevel="0" collapsed="false">
      <c r="A727" s="30" t="s">
        <v>998</v>
      </c>
      <c r="B727" s="31" t="s">
        <v>160</v>
      </c>
      <c r="C727" s="30" t="s">
        <v>817</v>
      </c>
      <c r="D727" s="31" t="s">
        <v>1779</v>
      </c>
    </row>
    <row r="728" customFormat="false" ht="15" hidden="false" customHeight="true" outlineLevel="0" collapsed="false">
      <c r="A728" s="30" t="s">
        <v>999</v>
      </c>
      <c r="B728" s="31" t="s">
        <v>1000</v>
      </c>
      <c r="C728" s="30" t="s">
        <v>817</v>
      </c>
      <c r="D728" s="31" t="s">
        <v>1779</v>
      </c>
    </row>
    <row r="729" customFormat="false" ht="15" hidden="false" customHeight="true" outlineLevel="0" collapsed="false">
      <c r="A729" s="30" t="s">
        <v>1001</v>
      </c>
      <c r="B729" s="31" t="s">
        <v>1002</v>
      </c>
      <c r="C729" s="30" t="s">
        <v>817</v>
      </c>
      <c r="D729" s="31" t="s">
        <v>1779</v>
      </c>
    </row>
    <row r="730" customFormat="false" ht="15" hidden="false" customHeight="true" outlineLevel="0" collapsed="false">
      <c r="A730" s="30" t="s">
        <v>1003</v>
      </c>
      <c r="B730" s="31" t="s">
        <v>1004</v>
      </c>
      <c r="C730" s="30" t="s">
        <v>817</v>
      </c>
      <c r="D730" s="31" t="s">
        <v>1779</v>
      </c>
    </row>
    <row r="731" customFormat="false" ht="15" hidden="false" customHeight="true" outlineLevel="0" collapsed="false">
      <c r="A731" s="30" t="s">
        <v>1005</v>
      </c>
      <c r="B731" s="31" t="s">
        <v>1006</v>
      </c>
      <c r="C731" s="30" t="s">
        <v>817</v>
      </c>
      <c r="D731" s="31" t="s">
        <v>1779</v>
      </c>
    </row>
    <row r="732" customFormat="false" ht="15" hidden="false" customHeight="true" outlineLevel="0" collapsed="false">
      <c r="A732" s="30" t="s">
        <v>1007</v>
      </c>
      <c r="B732" s="31" t="s">
        <v>939</v>
      </c>
      <c r="C732" s="30" t="s">
        <v>817</v>
      </c>
      <c r="D732" s="31" t="s">
        <v>1779</v>
      </c>
    </row>
    <row r="733" customFormat="false" ht="15" hidden="false" customHeight="true" outlineLevel="0" collapsed="false">
      <c r="A733" s="30" t="s">
        <v>1008</v>
      </c>
      <c r="B733" s="31" t="s">
        <v>107</v>
      </c>
      <c r="C733" s="30" t="s">
        <v>817</v>
      </c>
      <c r="D733" s="31" t="s">
        <v>1779</v>
      </c>
    </row>
    <row r="734" customFormat="false" ht="15" hidden="false" customHeight="true" outlineLevel="0" collapsed="false">
      <c r="A734" s="30" t="s">
        <v>1009</v>
      </c>
      <c r="B734" s="31" t="s">
        <v>285</v>
      </c>
      <c r="C734" s="30" t="s">
        <v>817</v>
      </c>
      <c r="D734" s="31" t="s">
        <v>1779</v>
      </c>
    </row>
    <row r="735" customFormat="false" ht="15" hidden="false" customHeight="true" outlineLevel="0" collapsed="false">
      <c r="A735" s="30" t="s">
        <v>1010</v>
      </c>
      <c r="B735" s="31" t="s">
        <v>102</v>
      </c>
      <c r="C735" s="30" t="s">
        <v>817</v>
      </c>
      <c r="D735" s="31" t="s">
        <v>1779</v>
      </c>
    </row>
    <row r="736" customFormat="false" ht="15" hidden="false" customHeight="true" outlineLevel="0" collapsed="false">
      <c r="A736" s="30" t="s">
        <v>1011</v>
      </c>
      <c r="B736" s="31" t="s">
        <v>140</v>
      </c>
      <c r="C736" s="30" t="s">
        <v>817</v>
      </c>
      <c r="D736" s="31" t="s">
        <v>1779</v>
      </c>
    </row>
    <row r="737" customFormat="false" ht="15" hidden="false" customHeight="true" outlineLevel="0" collapsed="false">
      <c r="A737" s="30" t="s">
        <v>1012</v>
      </c>
      <c r="B737" s="31" t="s">
        <v>142</v>
      </c>
      <c r="C737" s="30" t="s">
        <v>817</v>
      </c>
      <c r="D737" s="31" t="s">
        <v>1779</v>
      </c>
    </row>
    <row r="738" customFormat="false" ht="15" hidden="false" customHeight="true" outlineLevel="0" collapsed="false">
      <c r="A738" s="30" t="s">
        <v>1013</v>
      </c>
      <c r="B738" s="31" t="s">
        <v>1002</v>
      </c>
      <c r="C738" s="30" t="s">
        <v>817</v>
      </c>
      <c r="D738" s="31" t="s">
        <v>1779</v>
      </c>
    </row>
    <row r="739" customFormat="false" ht="15" hidden="false" customHeight="true" outlineLevel="0" collapsed="false">
      <c r="A739" s="30" t="s">
        <v>1014</v>
      </c>
      <c r="B739" s="31" t="s">
        <v>992</v>
      </c>
      <c r="C739" s="30" t="s">
        <v>817</v>
      </c>
      <c r="D739" s="31" t="s">
        <v>1779</v>
      </c>
    </row>
    <row r="740" customFormat="false" ht="15" hidden="false" customHeight="true" outlineLevel="0" collapsed="false">
      <c r="A740" s="30" t="s">
        <v>1015</v>
      </c>
      <c r="B740" s="31" t="s">
        <v>1016</v>
      </c>
      <c r="C740" s="30" t="s">
        <v>817</v>
      </c>
      <c r="D740" s="31" t="s">
        <v>1779</v>
      </c>
    </row>
    <row r="741" customFormat="false" ht="15" hidden="false" customHeight="true" outlineLevel="0" collapsed="false">
      <c r="A741" s="30" t="s">
        <v>1017</v>
      </c>
      <c r="B741" s="31" t="s">
        <v>995</v>
      </c>
      <c r="C741" s="30" t="s">
        <v>817</v>
      </c>
      <c r="D741" s="31" t="s">
        <v>1779</v>
      </c>
    </row>
    <row r="742" customFormat="false" ht="15" hidden="false" customHeight="true" outlineLevel="0" collapsed="false">
      <c r="A742" s="30" t="s">
        <v>1018</v>
      </c>
      <c r="B742" s="31" t="s">
        <v>156</v>
      </c>
      <c r="C742" s="30" t="s">
        <v>817</v>
      </c>
      <c r="D742" s="31" t="s">
        <v>1779</v>
      </c>
    </row>
    <row r="743" customFormat="false" ht="15" hidden="false" customHeight="true" outlineLevel="0" collapsed="false">
      <c r="A743" s="30" t="s">
        <v>1019</v>
      </c>
      <c r="B743" s="31" t="s">
        <v>158</v>
      </c>
      <c r="C743" s="30" t="s">
        <v>817</v>
      </c>
      <c r="D743" s="31" t="s">
        <v>1779</v>
      </c>
    </row>
    <row r="744" customFormat="false" ht="15" hidden="false" customHeight="true" outlineLevel="0" collapsed="false">
      <c r="A744" s="30" t="s">
        <v>1020</v>
      </c>
      <c r="B744" s="31" t="s">
        <v>160</v>
      </c>
      <c r="C744" s="30" t="s">
        <v>817</v>
      </c>
      <c r="D744" s="31" t="s">
        <v>1779</v>
      </c>
    </row>
    <row r="745" customFormat="false" ht="15" hidden="false" customHeight="true" outlineLevel="0" collapsed="false">
      <c r="A745" s="30" t="s">
        <v>1021</v>
      </c>
      <c r="B745" s="31" t="s">
        <v>1022</v>
      </c>
      <c r="C745" s="30" t="s">
        <v>817</v>
      </c>
      <c r="D745" s="31" t="s">
        <v>1779</v>
      </c>
    </row>
    <row r="746" customFormat="false" ht="15" hidden="false" customHeight="true" outlineLevel="0" collapsed="false">
      <c r="A746" s="30" t="s">
        <v>1023</v>
      </c>
      <c r="B746" s="31" t="s">
        <v>1024</v>
      </c>
      <c r="C746" s="30" t="s">
        <v>817</v>
      </c>
      <c r="D746" s="31" t="s">
        <v>1779</v>
      </c>
    </row>
    <row r="747" customFormat="false" ht="15" hidden="false" customHeight="true" outlineLevel="0" collapsed="false">
      <c r="A747" s="30" t="s">
        <v>1025</v>
      </c>
      <c r="B747" s="31" t="s">
        <v>1026</v>
      </c>
      <c r="C747" s="30" t="s">
        <v>817</v>
      </c>
      <c r="D747" s="31" t="s">
        <v>1779</v>
      </c>
    </row>
    <row r="748" customFormat="false" ht="15" hidden="false" customHeight="true" outlineLevel="0" collapsed="false">
      <c r="A748" s="30" t="s">
        <v>1027</v>
      </c>
      <c r="B748" s="31" t="s">
        <v>1028</v>
      </c>
      <c r="C748" s="30" t="s">
        <v>817</v>
      </c>
      <c r="D748" s="31" t="s">
        <v>1779</v>
      </c>
    </row>
    <row r="749" customFormat="false" ht="15" hidden="false" customHeight="true" outlineLevel="0" collapsed="false">
      <c r="A749" s="30" t="s">
        <v>1029</v>
      </c>
      <c r="B749" s="31" t="s">
        <v>1030</v>
      </c>
      <c r="C749" s="30" t="s">
        <v>817</v>
      </c>
      <c r="D749" s="31" t="s">
        <v>1779</v>
      </c>
    </row>
    <row r="750" customFormat="false" ht="15" hidden="false" customHeight="true" outlineLevel="0" collapsed="false">
      <c r="A750" s="30" t="s">
        <v>1031</v>
      </c>
      <c r="B750" s="31" t="s">
        <v>1032</v>
      </c>
      <c r="C750" s="30" t="s">
        <v>817</v>
      </c>
      <c r="D750" s="31" t="s">
        <v>1779</v>
      </c>
    </row>
    <row r="751" customFormat="false" ht="15" hidden="false" customHeight="true" outlineLevel="0" collapsed="false">
      <c r="A751" s="30" t="s">
        <v>1033</v>
      </c>
      <c r="B751" s="31" t="s">
        <v>1034</v>
      </c>
      <c r="C751" s="30" t="s">
        <v>817</v>
      </c>
      <c r="D751" s="31" t="s">
        <v>1779</v>
      </c>
    </row>
    <row r="752" customFormat="false" ht="15" hidden="false" customHeight="true" outlineLevel="0" collapsed="false">
      <c r="A752" s="30" t="s">
        <v>1035</v>
      </c>
      <c r="B752" s="31" t="s">
        <v>1036</v>
      </c>
      <c r="C752" s="30" t="s">
        <v>817</v>
      </c>
      <c r="D752" s="31" t="s">
        <v>1779</v>
      </c>
    </row>
    <row r="753" customFormat="false" ht="15" hidden="false" customHeight="true" outlineLevel="0" collapsed="false">
      <c r="A753" s="30" t="s">
        <v>1037</v>
      </c>
      <c r="B753" s="31" t="s">
        <v>1038</v>
      </c>
      <c r="C753" s="30" t="s">
        <v>817</v>
      </c>
      <c r="D753" s="31" t="s">
        <v>1779</v>
      </c>
    </row>
    <row r="754" customFormat="false" ht="15" hidden="false" customHeight="true" outlineLevel="0" collapsed="false">
      <c r="A754" s="30" t="s">
        <v>1039</v>
      </c>
      <c r="B754" s="31" t="s">
        <v>720</v>
      </c>
      <c r="C754" s="30" t="s">
        <v>817</v>
      </c>
      <c r="D754" s="31" t="s">
        <v>1779</v>
      </c>
    </row>
    <row r="755" customFormat="false" ht="15" hidden="false" customHeight="true" outlineLevel="0" collapsed="false">
      <c r="A755" s="30" t="s">
        <v>1040</v>
      </c>
      <c r="B755" s="31" t="s">
        <v>722</v>
      </c>
      <c r="C755" s="30" t="s">
        <v>817</v>
      </c>
      <c r="D755" s="31" t="s">
        <v>1779</v>
      </c>
    </row>
    <row r="756" customFormat="false" ht="15" hidden="false" customHeight="true" outlineLevel="0" collapsed="false">
      <c r="A756" s="30" t="s">
        <v>1041</v>
      </c>
      <c r="B756" s="31" t="s">
        <v>724</v>
      </c>
      <c r="C756" s="30" t="s">
        <v>817</v>
      </c>
      <c r="D756" s="31" t="s">
        <v>1779</v>
      </c>
    </row>
    <row r="757" customFormat="false" ht="15" hidden="false" customHeight="true" outlineLevel="0" collapsed="false">
      <c r="A757" s="30" t="s">
        <v>1042</v>
      </c>
      <c r="B757" s="31" t="s">
        <v>726</v>
      </c>
      <c r="C757" s="30" t="s">
        <v>817</v>
      </c>
      <c r="D757" s="31" t="s">
        <v>1779</v>
      </c>
    </row>
    <row r="758" customFormat="false" ht="15" hidden="false" customHeight="true" outlineLevel="0" collapsed="false">
      <c r="A758" s="30" t="s">
        <v>1043</v>
      </c>
      <c r="B758" s="31" t="s">
        <v>728</v>
      </c>
      <c r="C758" s="30" t="s">
        <v>817</v>
      </c>
      <c r="D758" s="31" t="s">
        <v>1779</v>
      </c>
    </row>
    <row r="759" customFormat="false" ht="15" hidden="false" customHeight="true" outlineLevel="0" collapsed="false">
      <c r="A759" s="30" t="s">
        <v>1044</v>
      </c>
      <c r="B759" s="31" t="s">
        <v>730</v>
      </c>
      <c r="C759" s="30" t="s">
        <v>817</v>
      </c>
      <c r="D759" s="31" t="s">
        <v>1779</v>
      </c>
    </row>
    <row r="760" customFormat="false" ht="15" hidden="false" customHeight="true" outlineLevel="0" collapsed="false">
      <c r="A760" s="30" t="s">
        <v>1045</v>
      </c>
      <c r="B760" s="31" t="s">
        <v>1046</v>
      </c>
      <c r="C760" s="30" t="s">
        <v>817</v>
      </c>
      <c r="D760" s="31" t="s">
        <v>1779</v>
      </c>
    </row>
    <row r="761" customFormat="false" ht="15" hidden="false" customHeight="true" outlineLevel="0" collapsed="false">
      <c r="A761" s="30" t="s">
        <v>1047</v>
      </c>
      <c r="B761" s="31" t="s">
        <v>1048</v>
      </c>
      <c r="C761" s="30" t="s">
        <v>817</v>
      </c>
      <c r="D761" s="31" t="s">
        <v>1779</v>
      </c>
    </row>
    <row r="762" customFormat="false" ht="15" hidden="false" customHeight="true" outlineLevel="0" collapsed="false">
      <c r="A762" s="30" t="s">
        <v>1049</v>
      </c>
      <c r="B762" s="31" t="s">
        <v>1050</v>
      </c>
      <c r="C762" s="30" t="s">
        <v>817</v>
      </c>
      <c r="D762" s="31" t="s">
        <v>1779</v>
      </c>
    </row>
    <row r="763" customFormat="false" ht="15" hidden="false" customHeight="true" outlineLevel="0" collapsed="false">
      <c r="A763" s="30" t="s">
        <v>1051</v>
      </c>
      <c r="B763" s="31" t="s">
        <v>1052</v>
      </c>
      <c r="C763" s="30" t="s">
        <v>817</v>
      </c>
      <c r="D763" s="31" t="s">
        <v>1779</v>
      </c>
    </row>
    <row r="764" customFormat="false" ht="15" hidden="false" customHeight="true" outlineLevel="0" collapsed="false">
      <c r="A764" s="30" t="s">
        <v>22</v>
      </c>
      <c r="B764" s="31" t="s">
        <v>1053</v>
      </c>
      <c r="C764" s="30" t="s">
        <v>1054</v>
      </c>
      <c r="D764" s="31" t="s">
        <v>1794</v>
      </c>
    </row>
    <row r="765" customFormat="false" ht="15" hidden="false" customHeight="true" outlineLevel="0" collapsed="false">
      <c r="A765" s="30" t="s">
        <v>1055</v>
      </c>
      <c r="B765" s="31" t="s">
        <v>1056</v>
      </c>
      <c r="C765" s="30" t="s">
        <v>1054</v>
      </c>
      <c r="D765" s="31" t="s">
        <v>1794</v>
      </c>
    </row>
    <row r="766" customFormat="false" ht="15" hidden="false" customHeight="true" outlineLevel="0" collapsed="false">
      <c r="A766" s="30" t="s">
        <v>1057</v>
      </c>
      <c r="B766" s="31" t="s">
        <v>1058</v>
      </c>
      <c r="C766" s="30" t="s">
        <v>1054</v>
      </c>
      <c r="D766" s="31" t="s">
        <v>1794</v>
      </c>
    </row>
    <row r="767" customFormat="false" ht="15" hidden="false" customHeight="true" outlineLevel="0" collapsed="false">
      <c r="A767" s="30" t="s">
        <v>1059</v>
      </c>
      <c r="B767" s="31" t="s">
        <v>1060</v>
      </c>
      <c r="C767" s="30" t="s">
        <v>1054</v>
      </c>
      <c r="D767" s="31" t="s">
        <v>1794</v>
      </c>
    </row>
    <row r="768" customFormat="false" ht="15" hidden="false" customHeight="true" outlineLevel="0" collapsed="false">
      <c r="A768" s="30" t="s">
        <v>1061</v>
      </c>
      <c r="B768" s="31" t="s">
        <v>1062</v>
      </c>
      <c r="C768" s="30" t="s">
        <v>1054</v>
      </c>
      <c r="D768" s="31" t="s">
        <v>1794</v>
      </c>
    </row>
    <row r="769" customFormat="false" ht="15" hidden="false" customHeight="true" outlineLevel="0" collapsed="false">
      <c r="A769" s="30" t="s">
        <v>1063</v>
      </c>
      <c r="B769" s="31" t="s">
        <v>1064</v>
      </c>
      <c r="C769" s="30" t="s">
        <v>1054</v>
      </c>
      <c r="D769" s="31" t="s">
        <v>1794</v>
      </c>
    </row>
    <row r="770" customFormat="false" ht="15" hidden="false" customHeight="true" outlineLevel="0" collapsed="false">
      <c r="A770" s="30" t="s">
        <v>1065</v>
      </c>
      <c r="B770" s="31" t="s">
        <v>1066</v>
      </c>
      <c r="C770" s="30" t="s">
        <v>1054</v>
      </c>
      <c r="D770" s="31" t="s">
        <v>1794</v>
      </c>
    </row>
    <row r="771" customFormat="false" ht="15" hidden="false" customHeight="true" outlineLevel="0" collapsed="false">
      <c r="A771" s="30" t="s">
        <v>1067</v>
      </c>
      <c r="B771" s="31" t="s">
        <v>1068</v>
      </c>
      <c r="C771" s="30" t="s">
        <v>1054</v>
      </c>
      <c r="D771" s="31" t="s">
        <v>1794</v>
      </c>
    </row>
    <row r="772" customFormat="false" ht="15" hidden="false" customHeight="true" outlineLevel="0" collapsed="false">
      <c r="A772" s="30" t="s">
        <v>1069</v>
      </c>
      <c r="B772" s="31" t="s">
        <v>1070</v>
      </c>
      <c r="C772" s="30" t="s">
        <v>1054</v>
      </c>
      <c r="D772" s="31" t="s">
        <v>1794</v>
      </c>
    </row>
    <row r="773" customFormat="false" ht="15" hidden="false" customHeight="true" outlineLevel="0" collapsed="false">
      <c r="A773" s="30" t="s">
        <v>1071</v>
      </c>
      <c r="B773" s="31" t="s">
        <v>1072</v>
      </c>
      <c r="C773" s="30" t="s">
        <v>1054</v>
      </c>
      <c r="D773" s="31" t="s">
        <v>1794</v>
      </c>
    </row>
    <row r="774" customFormat="false" ht="15" hidden="false" customHeight="true" outlineLevel="0" collapsed="false">
      <c r="A774" s="30" t="s">
        <v>1073</v>
      </c>
      <c r="B774" s="31" t="s">
        <v>1074</v>
      </c>
      <c r="C774" s="30" t="s">
        <v>1054</v>
      </c>
      <c r="D774" s="31" t="s">
        <v>1794</v>
      </c>
    </row>
    <row r="775" customFormat="false" ht="15" hidden="false" customHeight="true" outlineLevel="0" collapsed="false">
      <c r="A775" s="30" t="s">
        <v>1075</v>
      </c>
      <c r="B775" s="31" t="s">
        <v>1076</v>
      </c>
      <c r="C775" s="30" t="s">
        <v>1054</v>
      </c>
      <c r="D775" s="31" t="s">
        <v>1794</v>
      </c>
    </row>
    <row r="776" customFormat="false" ht="15" hidden="false" customHeight="true" outlineLevel="0" collapsed="false">
      <c r="A776" s="30" t="s">
        <v>1077</v>
      </c>
      <c r="B776" s="31" t="s">
        <v>1078</v>
      </c>
      <c r="C776" s="30" t="s">
        <v>1054</v>
      </c>
      <c r="D776" s="31" t="s">
        <v>1794</v>
      </c>
    </row>
    <row r="777" customFormat="false" ht="15" hidden="false" customHeight="true" outlineLevel="0" collapsed="false">
      <c r="A777" s="30" t="s">
        <v>1079</v>
      </c>
      <c r="B777" s="31" t="s">
        <v>1080</v>
      </c>
      <c r="C777" s="30" t="s">
        <v>1054</v>
      </c>
      <c r="D777" s="31" t="s">
        <v>1794</v>
      </c>
    </row>
    <row r="778" customFormat="false" ht="15" hidden="false" customHeight="true" outlineLevel="0" collapsed="false">
      <c r="A778" s="30" t="s">
        <v>1081</v>
      </c>
      <c r="B778" s="31" t="s">
        <v>1082</v>
      </c>
      <c r="C778" s="30" t="s">
        <v>1054</v>
      </c>
      <c r="D778" s="31" t="s">
        <v>1794</v>
      </c>
    </row>
    <row r="779" customFormat="false" ht="15" hidden="false" customHeight="true" outlineLevel="0" collapsed="false">
      <c r="A779" s="30" t="s">
        <v>1083</v>
      </c>
      <c r="B779" s="31" t="s">
        <v>1080</v>
      </c>
      <c r="C779" s="30" t="s">
        <v>1054</v>
      </c>
      <c r="D779" s="31" t="s">
        <v>1794</v>
      </c>
    </row>
    <row r="780" customFormat="false" ht="15" hidden="false" customHeight="true" outlineLevel="0" collapsed="false">
      <c r="A780" s="30" t="s">
        <v>1084</v>
      </c>
      <c r="B780" s="31" t="s">
        <v>1082</v>
      </c>
      <c r="C780" s="30" t="s">
        <v>1054</v>
      </c>
      <c r="D780" s="31" t="s">
        <v>1794</v>
      </c>
    </row>
    <row r="781" customFormat="false" ht="15" hidden="false" customHeight="true" outlineLevel="0" collapsed="false">
      <c r="A781" s="30" t="s">
        <v>1085</v>
      </c>
      <c r="B781" s="31" t="s">
        <v>1080</v>
      </c>
      <c r="C781" s="30" t="s">
        <v>1054</v>
      </c>
      <c r="D781" s="31" t="s">
        <v>1794</v>
      </c>
    </row>
    <row r="782" customFormat="false" ht="15" hidden="false" customHeight="true" outlineLevel="0" collapsed="false">
      <c r="A782" s="30" t="s">
        <v>1086</v>
      </c>
      <c r="B782" s="31" t="s">
        <v>1082</v>
      </c>
      <c r="C782" s="30" t="s">
        <v>1054</v>
      </c>
      <c r="D782" s="31" t="s">
        <v>1794</v>
      </c>
    </row>
    <row r="783" customFormat="false" ht="15" hidden="false" customHeight="true" outlineLevel="0" collapsed="false">
      <c r="A783" s="30" t="s">
        <v>1087</v>
      </c>
      <c r="B783" s="31" t="s">
        <v>1088</v>
      </c>
      <c r="C783" s="30" t="s">
        <v>1054</v>
      </c>
      <c r="D783" s="31" t="s">
        <v>1794</v>
      </c>
    </row>
    <row r="784" customFormat="false" ht="15" hidden="false" customHeight="true" outlineLevel="0" collapsed="false">
      <c r="A784" s="30" t="s">
        <v>1089</v>
      </c>
      <c r="B784" s="31" t="s">
        <v>1090</v>
      </c>
      <c r="C784" s="30" t="s">
        <v>1054</v>
      </c>
      <c r="D784" s="31" t="s">
        <v>1794</v>
      </c>
    </row>
    <row r="785" customFormat="false" ht="15" hidden="false" customHeight="true" outlineLevel="0" collapsed="false">
      <c r="A785" s="30" t="s">
        <v>1091</v>
      </c>
      <c r="B785" s="31" t="s">
        <v>1088</v>
      </c>
      <c r="C785" s="30" t="s">
        <v>1054</v>
      </c>
      <c r="D785" s="31" t="s">
        <v>1794</v>
      </c>
    </row>
    <row r="786" customFormat="false" ht="15" hidden="false" customHeight="true" outlineLevel="0" collapsed="false">
      <c r="A786" s="30" t="s">
        <v>1092</v>
      </c>
      <c r="B786" s="31" t="s">
        <v>1090</v>
      </c>
      <c r="C786" s="30" t="s">
        <v>1054</v>
      </c>
      <c r="D786" s="31" t="s">
        <v>1794</v>
      </c>
    </row>
    <row r="787" customFormat="false" ht="15" hidden="false" customHeight="true" outlineLevel="0" collapsed="false">
      <c r="A787" s="30" t="s">
        <v>1093</v>
      </c>
      <c r="B787" s="31" t="s">
        <v>158</v>
      </c>
      <c r="C787" s="30" t="s">
        <v>1054</v>
      </c>
      <c r="D787" s="31" t="s">
        <v>1794</v>
      </c>
    </row>
    <row r="788" customFormat="false" ht="15" hidden="false" customHeight="true" outlineLevel="0" collapsed="false">
      <c r="A788" s="30" t="s">
        <v>1094</v>
      </c>
      <c r="B788" s="31" t="s">
        <v>1095</v>
      </c>
      <c r="C788" s="30" t="s">
        <v>1054</v>
      </c>
      <c r="D788" s="31" t="s">
        <v>1794</v>
      </c>
    </row>
    <row r="789" customFormat="false" ht="15" hidden="false" customHeight="true" outlineLevel="0" collapsed="false">
      <c r="A789" s="30" t="s">
        <v>1096</v>
      </c>
      <c r="B789" s="31" t="s">
        <v>1097</v>
      </c>
      <c r="C789" s="30" t="s">
        <v>1054</v>
      </c>
      <c r="D789" s="31" t="s">
        <v>1794</v>
      </c>
    </row>
    <row r="790" customFormat="false" ht="15" hidden="false" customHeight="true" outlineLevel="0" collapsed="false">
      <c r="A790" s="30" t="s">
        <v>1098</v>
      </c>
      <c r="B790" s="31" t="s">
        <v>1099</v>
      </c>
      <c r="C790" s="30" t="s">
        <v>1054</v>
      </c>
      <c r="D790" s="31" t="s">
        <v>1794</v>
      </c>
    </row>
    <row r="791" customFormat="false" ht="15" hidden="false" customHeight="true" outlineLevel="0" collapsed="false">
      <c r="A791" s="30" t="s">
        <v>1100</v>
      </c>
      <c r="B791" s="31" t="s">
        <v>1101</v>
      </c>
      <c r="C791" s="30" t="s">
        <v>1054</v>
      </c>
      <c r="D791" s="31" t="s">
        <v>1794</v>
      </c>
    </row>
    <row r="792" customFormat="false" ht="15" hidden="false" customHeight="true" outlineLevel="0" collapsed="false">
      <c r="A792" s="30" t="s">
        <v>1102</v>
      </c>
      <c r="B792" s="31" t="s">
        <v>1103</v>
      </c>
      <c r="C792" s="30" t="s">
        <v>1054</v>
      </c>
      <c r="D792" s="31" t="s">
        <v>1794</v>
      </c>
    </row>
    <row r="793" customFormat="false" ht="15" hidden="false" customHeight="true" outlineLevel="0" collapsed="false">
      <c r="A793" s="30" t="s">
        <v>1104</v>
      </c>
      <c r="B793" s="31" t="s">
        <v>1105</v>
      </c>
      <c r="C793" s="30" t="s">
        <v>1054</v>
      </c>
      <c r="D793" s="31" t="s">
        <v>1794</v>
      </c>
    </row>
    <row r="794" customFormat="false" ht="15" hidden="false" customHeight="true" outlineLevel="0" collapsed="false">
      <c r="A794" s="30" t="s">
        <v>1106</v>
      </c>
      <c r="B794" s="31" t="s">
        <v>1107</v>
      </c>
      <c r="C794" s="30" t="s">
        <v>1054</v>
      </c>
      <c r="D794" s="31" t="s">
        <v>1794</v>
      </c>
    </row>
    <row r="795" customFormat="false" ht="15" hidden="false" customHeight="true" outlineLevel="0" collapsed="false">
      <c r="A795" s="30" t="s">
        <v>1108</v>
      </c>
      <c r="B795" s="31" t="s">
        <v>1109</v>
      </c>
      <c r="C795" s="30" t="s">
        <v>1054</v>
      </c>
      <c r="D795" s="31" t="s">
        <v>1794</v>
      </c>
    </row>
    <row r="796" customFormat="false" ht="15" hidden="false" customHeight="true" outlineLevel="0" collapsed="false">
      <c r="A796" s="30" t="s">
        <v>1110</v>
      </c>
      <c r="B796" s="31" t="s">
        <v>1111</v>
      </c>
      <c r="C796" s="30" t="s">
        <v>1054</v>
      </c>
      <c r="D796" s="31" t="s">
        <v>1794</v>
      </c>
    </row>
    <row r="797" customFormat="false" ht="15" hidden="false" customHeight="true" outlineLevel="0" collapsed="false">
      <c r="A797" s="30" t="s">
        <v>1112</v>
      </c>
      <c r="B797" s="31" t="s">
        <v>1113</v>
      </c>
      <c r="C797" s="30" t="s">
        <v>1054</v>
      </c>
      <c r="D797" s="31" t="s">
        <v>1794</v>
      </c>
    </row>
    <row r="798" customFormat="false" ht="15" hidden="false" customHeight="true" outlineLevel="0" collapsed="false">
      <c r="A798" s="30" t="s">
        <v>1114</v>
      </c>
      <c r="B798" s="31" t="s">
        <v>1115</v>
      </c>
      <c r="C798" s="30" t="s">
        <v>1054</v>
      </c>
      <c r="D798" s="31" t="s">
        <v>1794</v>
      </c>
    </row>
    <row r="799" customFormat="false" ht="15" hidden="false" customHeight="true" outlineLevel="0" collapsed="false">
      <c r="A799" s="30" t="s">
        <v>1116</v>
      </c>
      <c r="B799" s="31" t="s">
        <v>1117</v>
      </c>
      <c r="C799" s="30" t="s">
        <v>1054</v>
      </c>
      <c r="D799" s="31" t="s">
        <v>1794</v>
      </c>
    </row>
    <row r="800" customFormat="false" ht="15" hidden="false" customHeight="true" outlineLevel="0" collapsed="false">
      <c r="A800" s="30" t="s">
        <v>1118</v>
      </c>
      <c r="B800" s="31" t="s">
        <v>1119</v>
      </c>
      <c r="C800" s="30" t="s">
        <v>1054</v>
      </c>
      <c r="D800" s="31" t="s">
        <v>1794</v>
      </c>
    </row>
    <row r="801" customFormat="false" ht="15" hidden="false" customHeight="true" outlineLevel="0" collapsed="false">
      <c r="A801" s="30" t="s">
        <v>1120</v>
      </c>
      <c r="B801" s="31" t="s">
        <v>407</v>
      </c>
      <c r="C801" s="30" t="s">
        <v>1121</v>
      </c>
      <c r="D801" s="31" t="s">
        <v>1795</v>
      </c>
    </row>
    <row r="802" customFormat="false" ht="15" hidden="false" customHeight="true" outlineLevel="0" collapsed="false">
      <c r="A802" s="30" t="s">
        <v>1122</v>
      </c>
      <c r="B802" s="31" t="s">
        <v>409</v>
      </c>
      <c r="C802" s="30" t="s">
        <v>1121</v>
      </c>
      <c r="D802" s="31" t="s">
        <v>1795</v>
      </c>
    </row>
    <row r="803" customFormat="false" ht="15" hidden="false" customHeight="true" outlineLevel="0" collapsed="false">
      <c r="A803" s="30" t="s">
        <v>1123</v>
      </c>
      <c r="B803" s="31" t="s">
        <v>263</v>
      </c>
      <c r="C803" s="30" t="s">
        <v>1121</v>
      </c>
      <c r="D803" s="31" t="s">
        <v>1795</v>
      </c>
    </row>
    <row r="804" customFormat="false" ht="15" hidden="false" customHeight="true" outlineLevel="0" collapsed="false">
      <c r="A804" s="30" t="s">
        <v>1124</v>
      </c>
      <c r="B804" s="31" t="s">
        <v>427</v>
      </c>
      <c r="C804" s="30" t="s">
        <v>1121</v>
      </c>
      <c r="D804" s="31" t="s">
        <v>1795</v>
      </c>
    </row>
    <row r="805" customFormat="false" ht="15" hidden="false" customHeight="true" outlineLevel="0" collapsed="false">
      <c r="A805" s="30" t="s">
        <v>1125</v>
      </c>
      <c r="B805" s="31" t="s">
        <v>273</v>
      </c>
      <c r="C805" s="30" t="s">
        <v>1121</v>
      </c>
      <c r="D805" s="31" t="s">
        <v>1795</v>
      </c>
    </row>
    <row r="806" customFormat="false" ht="15" hidden="false" customHeight="true" outlineLevel="0" collapsed="false">
      <c r="A806" s="30" t="s">
        <v>1126</v>
      </c>
      <c r="B806" s="31" t="s">
        <v>275</v>
      </c>
      <c r="C806" s="30" t="s">
        <v>1121</v>
      </c>
      <c r="D806" s="31" t="s">
        <v>1795</v>
      </c>
    </row>
    <row r="807" customFormat="false" ht="15" hidden="false" customHeight="true" outlineLevel="0" collapsed="false">
      <c r="A807" s="30" t="s">
        <v>1127</v>
      </c>
      <c r="B807" s="31" t="s">
        <v>277</v>
      </c>
      <c r="C807" s="30" t="s">
        <v>1121</v>
      </c>
      <c r="D807" s="31" t="s">
        <v>1795</v>
      </c>
    </row>
    <row r="808" customFormat="false" ht="15" hidden="false" customHeight="true" outlineLevel="0" collapsed="false">
      <c r="A808" s="30" t="s">
        <v>1128</v>
      </c>
      <c r="B808" s="31" t="s">
        <v>1129</v>
      </c>
      <c r="C808" s="30" t="s">
        <v>1121</v>
      </c>
      <c r="D808" s="31" t="s">
        <v>1795</v>
      </c>
    </row>
    <row r="809" customFormat="false" ht="15" hidden="false" customHeight="true" outlineLevel="0" collapsed="false">
      <c r="A809" s="30" t="s">
        <v>1130</v>
      </c>
      <c r="B809" s="31" t="s">
        <v>205</v>
      </c>
      <c r="C809" s="30" t="s">
        <v>1121</v>
      </c>
      <c r="D809" s="31" t="s">
        <v>1795</v>
      </c>
    </row>
    <row r="810" customFormat="false" ht="15" hidden="false" customHeight="true" outlineLevel="0" collapsed="false">
      <c r="A810" s="30" t="s">
        <v>1131</v>
      </c>
      <c r="B810" s="31" t="s">
        <v>1132</v>
      </c>
      <c r="C810" s="30" t="s">
        <v>1121</v>
      </c>
      <c r="D810" s="31" t="s">
        <v>1795</v>
      </c>
    </row>
    <row r="811" customFormat="false" ht="15" hidden="false" customHeight="true" outlineLevel="0" collapsed="false">
      <c r="A811" s="30" t="s">
        <v>1133</v>
      </c>
      <c r="B811" s="31" t="s">
        <v>1134</v>
      </c>
      <c r="C811" s="30" t="s">
        <v>1121</v>
      </c>
      <c r="D811" s="31" t="s">
        <v>1795</v>
      </c>
    </row>
    <row r="812" customFormat="false" ht="15" hidden="false" customHeight="true" outlineLevel="0" collapsed="false">
      <c r="A812" s="30" t="s">
        <v>1135</v>
      </c>
      <c r="B812" s="31" t="s">
        <v>1136</v>
      </c>
      <c r="C812" s="30" t="s">
        <v>1121</v>
      </c>
      <c r="D812" s="31" t="s">
        <v>1795</v>
      </c>
    </row>
    <row r="813" customFormat="false" ht="15" hidden="false" customHeight="true" outlineLevel="0" collapsed="false">
      <c r="A813" s="30" t="s">
        <v>1137</v>
      </c>
      <c r="B813" s="31" t="s">
        <v>1129</v>
      </c>
      <c r="C813" s="30" t="s">
        <v>1121</v>
      </c>
      <c r="D813" s="31" t="s">
        <v>1795</v>
      </c>
    </row>
    <row r="814" customFormat="false" ht="15" hidden="false" customHeight="true" outlineLevel="0" collapsed="false">
      <c r="A814" s="30" t="s">
        <v>1138</v>
      </c>
      <c r="B814" s="31" t="s">
        <v>205</v>
      </c>
      <c r="C814" s="30" t="s">
        <v>1121</v>
      </c>
      <c r="D814" s="31" t="s">
        <v>1795</v>
      </c>
    </row>
    <row r="815" customFormat="false" ht="15" hidden="false" customHeight="true" outlineLevel="0" collapsed="false">
      <c r="A815" s="30" t="s">
        <v>1139</v>
      </c>
      <c r="B815" s="31" t="s">
        <v>1132</v>
      </c>
      <c r="C815" s="30" t="s">
        <v>1121</v>
      </c>
      <c r="D815" s="31" t="s">
        <v>1795</v>
      </c>
    </row>
    <row r="816" customFormat="false" ht="15" hidden="false" customHeight="true" outlineLevel="0" collapsed="false">
      <c r="A816" s="30" t="s">
        <v>1140</v>
      </c>
      <c r="B816" s="31" t="s">
        <v>1134</v>
      </c>
      <c r="C816" s="30" t="s">
        <v>1121</v>
      </c>
      <c r="D816" s="31" t="s">
        <v>1795</v>
      </c>
    </row>
    <row r="817" customFormat="false" ht="15" hidden="false" customHeight="true" outlineLevel="0" collapsed="false">
      <c r="A817" s="30" t="s">
        <v>1141</v>
      </c>
      <c r="B817" s="31" t="s">
        <v>1136</v>
      </c>
      <c r="C817" s="30" t="s">
        <v>1121</v>
      </c>
      <c r="D817" s="31" t="s">
        <v>1795</v>
      </c>
    </row>
    <row r="818" customFormat="false" ht="15" hidden="false" customHeight="true" outlineLevel="0" collapsed="false">
      <c r="A818" s="30" t="s">
        <v>1142</v>
      </c>
      <c r="B818" s="31" t="s">
        <v>1129</v>
      </c>
      <c r="C818" s="30" t="s">
        <v>1121</v>
      </c>
      <c r="D818" s="31" t="s">
        <v>1795</v>
      </c>
    </row>
    <row r="819" customFormat="false" ht="15" hidden="false" customHeight="true" outlineLevel="0" collapsed="false">
      <c r="A819" s="30" t="s">
        <v>1143</v>
      </c>
      <c r="B819" s="31" t="s">
        <v>205</v>
      </c>
      <c r="C819" s="30" t="s">
        <v>1121</v>
      </c>
      <c r="D819" s="31" t="s">
        <v>1795</v>
      </c>
    </row>
    <row r="820" customFormat="false" ht="15" hidden="false" customHeight="true" outlineLevel="0" collapsed="false">
      <c r="A820" s="30" t="s">
        <v>1144</v>
      </c>
      <c r="B820" s="31" t="s">
        <v>1132</v>
      </c>
      <c r="C820" s="30" t="s">
        <v>1121</v>
      </c>
      <c r="D820" s="31" t="s">
        <v>1795</v>
      </c>
    </row>
    <row r="821" customFormat="false" ht="15" hidden="false" customHeight="true" outlineLevel="0" collapsed="false">
      <c r="A821" s="30" t="s">
        <v>1145</v>
      </c>
      <c r="B821" s="31" t="s">
        <v>1134</v>
      </c>
      <c r="C821" s="30" t="s">
        <v>1121</v>
      </c>
      <c r="D821" s="31" t="s">
        <v>1795</v>
      </c>
    </row>
    <row r="822" customFormat="false" ht="15" hidden="false" customHeight="true" outlineLevel="0" collapsed="false">
      <c r="A822" s="30" t="s">
        <v>1146</v>
      </c>
      <c r="B822" s="31" t="s">
        <v>1136</v>
      </c>
      <c r="C822" s="30" t="s">
        <v>1121</v>
      </c>
      <c r="D822" s="31" t="s">
        <v>1795</v>
      </c>
    </row>
    <row r="823" customFormat="false" ht="15" hidden="false" customHeight="true" outlineLevel="0" collapsed="false">
      <c r="A823" s="30" t="s">
        <v>1147</v>
      </c>
      <c r="B823" s="31" t="s">
        <v>1129</v>
      </c>
      <c r="C823" s="30" t="s">
        <v>1121</v>
      </c>
      <c r="D823" s="31" t="s">
        <v>1795</v>
      </c>
    </row>
    <row r="824" customFormat="false" ht="15" hidden="false" customHeight="true" outlineLevel="0" collapsed="false">
      <c r="A824" s="30" t="s">
        <v>1148</v>
      </c>
      <c r="B824" s="31" t="s">
        <v>205</v>
      </c>
      <c r="C824" s="30" t="s">
        <v>1121</v>
      </c>
      <c r="D824" s="31" t="s">
        <v>1795</v>
      </c>
    </row>
    <row r="825" customFormat="false" ht="15" hidden="false" customHeight="true" outlineLevel="0" collapsed="false">
      <c r="A825" s="30" t="s">
        <v>1149</v>
      </c>
      <c r="B825" s="31" t="s">
        <v>1132</v>
      </c>
      <c r="C825" s="30" t="s">
        <v>1121</v>
      </c>
      <c r="D825" s="31" t="s">
        <v>1795</v>
      </c>
    </row>
    <row r="826" customFormat="false" ht="15" hidden="false" customHeight="true" outlineLevel="0" collapsed="false">
      <c r="A826" s="30" t="s">
        <v>1150</v>
      </c>
      <c r="B826" s="31" t="s">
        <v>1134</v>
      </c>
      <c r="C826" s="30" t="s">
        <v>1121</v>
      </c>
      <c r="D826" s="31" t="s">
        <v>1795</v>
      </c>
    </row>
    <row r="827" customFormat="false" ht="15" hidden="false" customHeight="true" outlineLevel="0" collapsed="false">
      <c r="A827" s="30" t="s">
        <v>1151</v>
      </c>
      <c r="B827" s="31" t="s">
        <v>1136</v>
      </c>
      <c r="C827" s="30" t="s">
        <v>1121</v>
      </c>
      <c r="D827" s="31" t="s">
        <v>1795</v>
      </c>
    </row>
    <row r="828" customFormat="false" ht="15" hidden="false" customHeight="true" outlineLevel="0" collapsed="false">
      <c r="A828" s="30" t="s">
        <v>1152</v>
      </c>
      <c r="B828" s="31" t="s">
        <v>407</v>
      </c>
      <c r="C828" s="30" t="s">
        <v>1121</v>
      </c>
      <c r="D828" s="31" t="s">
        <v>1795</v>
      </c>
    </row>
    <row r="829" customFormat="false" ht="15" hidden="false" customHeight="true" outlineLevel="0" collapsed="false">
      <c r="A829" s="30" t="s">
        <v>1153</v>
      </c>
      <c r="B829" s="31" t="s">
        <v>409</v>
      </c>
      <c r="C829" s="30" t="s">
        <v>1121</v>
      </c>
      <c r="D829" s="31" t="s">
        <v>1795</v>
      </c>
    </row>
    <row r="830" customFormat="false" ht="15" hidden="false" customHeight="true" outlineLevel="0" collapsed="false">
      <c r="A830" s="30" t="s">
        <v>1154</v>
      </c>
      <c r="B830" s="31" t="s">
        <v>263</v>
      </c>
      <c r="C830" s="30" t="s">
        <v>1121</v>
      </c>
      <c r="D830" s="31" t="s">
        <v>1795</v>
      </c>
    </row>
    <row r="831" customFormat="false" ht="15" hidden="false" customHeight="true" outlineLevel="0" collapsed="false">
      <c r="A831" s="30" t="s">
        <v>1155</v>
      </c>
      <c r="B831" s="31" t="s">
        <v>427</v>
      </c>
      <c r="C831" s="30" t="s">
        <v>1121</v>
      </c>
      <c r="D831" s="31" t="s">
        <v>1795</v>
      </c>
    </row>
    <row r="832" customFormat="false" ht="15" hidden="false" customHeight="true" outlineLevel="0" collapsed="false">
      <c r="A832" s="30" t="s">
        <v>1156</v>
      </c>
      <c r="B832" s="31" t="s">
        <v>273</v>
      </c>
      <c r="C832" s="30" t="s">
        <v>1121</v>
      </c>
      <c r="D832" s="31" t="s">
        <v>1795</v>
      </c>
    </row>
    <row r="833" customFormat="false" ht="15" hidden="false" customHeight="true" outlineLevel="0" collapsed="false">
      <c r="A833" s="30" t="s">
        <v>1157</v>
      </c>
      <c r="B833" s="31" t="s">
        <v>275</v>
      </c>
      <c r="C833" s="30" t="s">
        <v>1121</v>
      </c>
      <c r="D833" s="31" t="s">
        <v>1795</v>
      </c>
    </row>
    <row r="834" customFormat="false" ht="15" hidden="false" customHeight="true" outlineLevel="0" collapsed="false">
      <c r="A834" s="30" t="s">
        <v>1158</v>
      </c>
      <c r="B834" s="31" t="s">
        <v>277</v>
      </c>
      <c r="C834" s="30" t="s">
        <v>1121</v>
      </c>
      <c r="D834" s="31" t="s">
        <v>1795</v>
      </c>
    </row>
    <row r="835" customFormat="false" ht="15" hidden="false" customHeight="true" outlineLevel="0" collapsed="false">
      <c r="A835" s="30" t="s">
        <v>1159</v>
      </c>
      <c r="B835" s="31" t="s">
        <v>1160</v>
      </c>
      <c r="C835" s="30" t="s">
        <v>1121</v>
      </c>
      <c r="D835" s="31" t="s">
        <v>1795</v>
      </c>
    </row>
    <row r="836" customFormat="false" ht="15" hidden="false" customHeight="true" outlineLevel="0" collapsed="false">
      <c r="A836" s="30" t="s">
        <v>1161</v>
      </c>
      <c r="B836" s="31" t="s">
        <v>1134</v>
      </c>
      <c r="C836" s="30" t="s">
        <v>1121</v>
      </c>
      <c r="D836" s="31" t="s">
        <v>1795</v>
      </c>
    </row>
    <row r="837" customFormat="false" ht="15" hidden="false" customHeight="true" outlineLevel="0" collapsed="false">
      <c r="A837" s="30" t="s">
        <v>1162</v>
      </c>
      <c r="B837" s="31" t="s">
        <v>1163</v>
      </c>
      <c r="C837" s="30" t="s">
        <v>1121</v>
      </c>
      <c r="D837" s="31" t="s">
        <v>1795</v>
      </c>
    </row>
    <row r="838" customFormat="false" ht="15" hidden="false" customHeight="true" outlineLevel="0" collapsed="false">
      <c r="A838" s="30" t="s">
        <v>1164</v>
      </c>
      <c r="B838" s="31" t="s">
        <v>1165</v>
      </c>
      <c r="C838" s="30" t="s">
        <v>1121</v>
      </c>
      <c r="D838" s="31" t="s">
        <v>1795</v>
      </c>
    </row>
    <row r="839" customFormat="false" ht="15" hidden="false" customHeight="true" outlineLevel="0" collapsed="false">
      <c r="A839" s="30" t="s">
        <v>1166</v>
      </c>
      <c r="B839" s="31" t="s">
        <v>1167</v>
      </c>
      <c r="C839" s="30" t="s">
        <v>1121</v>
      </c>
      <c r="D839" s="31" t="s">
        <v>1795</v>
      </c>
    </row>
    <row r="840" customFormat="false" ht="15" hidden="false" customHeight="true" outlineLevel="0" collapsed="false">
      <c r="A840" s="30" t="s">
        <v>1168</v>
      </c>
      <c r="B840" s="31" t="s">
        <v>1169</v>
      </c>
      <c r="C840" s="30" t="s">
        <v>1121</v>
      </c>
      <c r="D840" s="31" t="s">
        <v>1795</v>
      </c>
    </row>
    <row r="841" customFormat="false" ht="15" hidden="false" customHeight="true" outlineLevel="0" collapsed="false">
      <c r="A841" s="30" t="s">
        <v>1170</v>
      </c>
      <c r="B841" s="31" t="s">
        <v>1171</v>
      </c>
      <c r="C841" s="30" t="s">
        <v>1121</v>
      </c>
      <c r="D841" s="31" t="s">
        <v>1795</v>
      </c>
    </row>
    <row r="842" customFormat="false" ht="15" hidden="false" customHeight="true" outlineLevel="0" collapsed="false">
      <c r="A842" s="30" t="s">
        <v>1172</v>
      </c>
      <c r="B842" s="31" t="s">
        <v>1173</v>
      </c>
      <c r="C842" s="30" t="s">
        <v>1121</v>
      </c>
      <c r="D842" s="31" t="s">
        <v>1795</v>
      </c>
    </row>
    <row r="843" customFormat="false" ht="15" hidden="false" customHeight="true" outlineLevel="0" collapsed="false">
      <c r="A843" s="30" t="s">
        <v>1174</v>
      </c>
      <c r="B843" s="31" t="s">
        <v>1175</v>
      </c>
      <c r="C843" s="30" t="s">
        <v>1121</v>
      </c>
      <c r="D843" s="31" t="s">
        <v>1795</v>
      </c>
    </row>
    <row r="844" customFormat="false" ht="15" hidden="false" customHeight="true" outlineLevel="0" collapsed="false">
      <c r="A844" s="30" t="s">
        <v>1176</v>
      </c>
      <c r="B844" s="31" t="s">
        <v>1177</v>
      </c>
      <c r="C844" s="30" t="s">
        <v>1121</v>
      </c>
      <c r="D844" s="31" t="s">
        <v>1795</v>
      </c>
    </row>
    <row r="845" customFormat="false" ht="15" hidden="false" customHeight="true" outlineLevel="0" collapsed="false">
      <c r="A845" s="30" t="s">
        <v>1178</v>
      </c>
      <c r="B845" s="31" t="s">
        <v>1179</v>
      </c>
      <c r="C845" s="30" t="s">
        <v>1121</v>
      </c>
      <c r="D845" s="31" t="s">
        <v>1795</v>
      </c>
    </row>
    <row r="846" customFormat="false" ht="15" hidden="false" customHeight="true" outlineLevel="0" collapsed="false">
      <c r="A846" s="30" t="s">
        <v>1180</v>
      </c>
      <c r="B846" s="31" t="s">
        <v>1181</v>
      </c>
      <c r="C846" s="30" t="s">
        <v>1121</v>
      </c>
      <c r="D846" s="31" t="s">
        <v>1795</v>
      </c>
    </row>
    <row r="847" customFormat="false" ht="15" hidden="false" customHeight="true" outlineLevel="0" collapsed="false">
      <c r="A847" s="30" t="s">
        <v>1182</v>
      </c>
      <c r="B847" s="31" t="s">
        <v>1183</v>
      </c>
      <c r="C847" s="30" t="s">
        <v>1121</v>
      </c>
      <c r="D847" s="31" t="s">
        <v>1795</v>
      </c>
    </row>
    <row r="848" customFormat="false" ht="15" hidden="false" customHeight="true" outlineLevel="0" collapsed="false">
      <c r="A848" s="30" t="s">
        <v>1184</v>
      </c>
      <c r="B848" s="31" t="s">
        <v>1185</v>
      </c>
      <c r="C848" s="30" t="s">
        <v>1121</v>
      </c>
      <c r="D848" s="31" t="s">
        <v>1795</v>
      </c>
    </row>
    <row r="849" customFormat="false" ht="15" hidden="false" customHeight="true" outlineLevel="0" collapsed="false">
      <c r="A849" s="30" t="s">
        <v>1186</v>
      </c>
      <c r="B849" s="31" t="s">
        <v>1187</v>
      </c>
      <c r="C849" s="30" t="s">
        <v>1121</v>
      </c>
      <c r="D849" s="31" t="s">
        <v>1795</v>
      </c>
    </row>
    <row r="850" customFormat="false" ht="15" hidden="false" customHeight="true" outlineLevel="0" collapsed="false">
      <c r="A850" s="30" t="s">
        <v>1188</v>
      </c>
      <c r="B850" s="31" t="s">
        <v>1189</v>
      </c>
      <c r="C850" s="30" t="s">
        <v>1121</v>
      </c>
      <c r="D850" s="31" t="s">
        <v>1795</v>
      </c>
    </row>
    <row r="851" customFormat="false" ht="15" hidden="false" customHeight="true" outlineLevel="0" collapsed="false">
      <c r="A851" s="30" t="s">
        <v>1190</v>
      </c>
      <c r="B851" s="31" t="s">
        <v>1191</v>
      </c>
      <c r="C851" s="30" t="s">
        <v>1121</v>
      </c>
      <c r="D851" s="31" t="s">
        <v>1795</v>
      </c>
    </row>
    <row r="852" customFormat="false" ht="15" hidden="false" customHeight="true" outlineLevel="0" collapsed="false">
      <c r="A852" s="30" t="s">
        <v>1192</v>
      </c>
      <c r="B852" s="31" t="s">
        <v>1193</v>
      </c>
      <c r="C852" s="30" t="s">
        <v>1121</v>
      </c>
      <c r="D852" s="31" t="s">
        <v>1795</v>
      </c>
    </row>
    <row r="853" customFormat="false" ht="15" hidden="false" customHeight="true" outlineLevel="0" collapsed="false">
      <c r="A853" s="30" t="s">
        <v>1194</v>
      </c>
      <c r="B853" s="31" t="s">
        <v>916</v>
      </c>
      <c r="C853" s="30" t="s">
        <v>1121</v>
      </c>
      <c r="D853" s="31" t="s">
        <v>1795</v>
      </c>
    </row>
    <row r="854" customFormat="false" ht="15" hidden="false" customHeight="true" outlineLevel="0" collapsed="false">
      <c r="A854" s="30" t="s">
        <v>1195</v>
      </c>
      <c r="B854" s="31" t="s">
        <v>1196</v>
      </c>
      <c r="C854" s="30" t="s">
        <v>1121</v>
      </c>
      <c r="D854" s="31" t="s">
        <v>1795</v>
      </c>
    </row>
    <row r="855" customFormat="false" ht="15" hidden="false" customHeight="true" outlineLevel="0" collapsed="false">
      <c r="A855" s="30" t="s">
        <v>1197</v>
      </c>
      <c r="B855" s="31" t="s">
        <v>1198</v>
      </c>
      <c r="C855" s="30" t="s">
        <v>1121</v>
      </c>
      <c r="D855" s="31" t="s">
        <v>1795</v>
      </c>
    </row>
    <row r="856" customFormat="false" ht="15" hidden="false" customHeight="true" outlineLevel="0" collapsed="false">
      <c r="A856" s="30" t="s">
        <v>1199</v>
      </c>
      <c r="B856" s="31" t="s">
        <v>1200</v>
      </c>
      <c r="C856" s="30" t="s">
        <v>1121</v>
      </c>
      <c r="D856" s="31" t="s">
        <v>1795</v>
      </c>
    </row>
    <row r="857" customFormat="false" ht="15" hidden="false" customHeight="true" outlineLevel="0" collapsed="false">
      <c r="A857" s="30" t="s">
        <v>1201</v>
      </c>
      <c r="B857" s="31" t="s">
        <v>1202</v>
      </c>
      <c r="C857" s="30" t="s">
        <v>1121</v>
      </c>
      <c r="D857" s="31" t="s">
        <v>1795</v>
      </c>
    </row>
    <row r="858" customFormat="false" ht="15" hidden="false" customHeight="true" outlineLevel="0" collapsed="false">
      <c r="A858" s="30" t="s">
        <v>1203</v>
      </c>
      <c r="B858" s="31" t="s">
        <v>1204</v>
      </c>
      <c r="C858" s="30" t="s">
        <v>1121</v>
      </c>
      <c r="D858" s="31" t="s">
        <v>1795</v>
      </c>
    </row>
    <row r="859" customFormat="false" ht="15" hidden="false" customHeight="true" outlineLevel="0" collapsed="false">
      <c r="A859" s="30" t="s">
        <v>1205</v>
      </c>
      <c r="B859" s="31" t="s">
        <v>1206</v>
      </c>
      <c r="C859" s="30" t="s">
        <v>1121</v>
      </c>
      <c r="D859" s="31" t="s">
        <v>1795</v>
      </c>
    </row>
    <row r="860" customFormat="false" ht="15" hidden="false" customHeight="true" outlineLevel="0" collapsed="false">
      <c r="A860" s="30" t="s">
        <v>1207</v>
      </c>
      <c r="B860" s="31" t="s">
        <v>1208</v>
      </c>
      <c r="C860" s="30" t="s">
        <v>1121</v>
      </c>
      <c r="D860" s="31" t="s">
        <v>1795</v>
      </c>
    </row>
    <row r="861" customFormat="false" ht="15" hidden="false" customHeight="true" outlineLevel="0" collapsed="false">
      <c r="A861" s="30" t="s">
        <v>1209</v>
      </c>
      <c r="B861" s="31" t="s">
        <v>1210</v>
      </c>
      <c r="C861" s="30" t="s">
        <v>1121</v>
      </c>
      <c r="D861" s="31" t="s">
        <v>1795</v>
      </c>
    </row>
    <row r="862" customFormat="false" ht="15" hidden="false" customHeight="true" outlineLevel="0" collapsed="false">
      <c r="A862" s="30" t="s">
        <v>1211</v>
      </c>
      <c r="B862" s="31" t="s">
        <v>1212</v>
      </c>
      <c r="C862" s="30" t="s">
        <v>1121</v>
      </c>
      <c r="D862" s="31" t="s">
        <v>1795</v>
      </c>
    </row>
    <row r="863" customFormat="false" ht="15" hidden="false" customHeight="true" outlineLevel="0" collapsed="false">
      <c r="A863" s="30" t="s">
        <v>1213</v>
      </c>
      <c r="B863" s="31" t="s">
        <v>1214</v>
      </c>
      <c r="C863" s="30" t="s">
        <v>1121</v>
      </c>
      <c r="D863" s="31" t="s">
        <v>1795</v>
      </c>
    </row>
    <row r="864" customFormat="false" ht="15" hidden="false" customHeight="true" outlineLevel="0" collapsed="false">
      <c r="A864" s="30" t="s">
        <v>1215</v>
      </c>
      <c r="B864" s="31" t="s">
        <v>1216</v>
      </c>
      <c r="C864" s="30" t="s">
        <v>1121</v>
      </c>
      <c r="D864" s="31" t="s">
        <v>1795</v>
      </c>
    </row>
    <row r="865" customFormat="false" ht="15" hidden="false" customHeight="true" outlineLevel="0" collapsed="false">
      <c r="A865" s="30" t="s">
        <v>1217</v>
      </c>
      <c r="B865" s="31" t="s">
        <v>1218</v>
      </c>
      <c r="C865" s="30" t="s">
        <v>1121</v>
      </c>
      <c r="D865" s="31" t="s">
        <v>1795</v>
      </c>
    </row>
    <row r="866" customFormat="false" ht="15" hidden="false" customHeight="true" outlineLevel="0" collapsed="false">
      <c r="A866" s="30" t="s">
        <v>1219</v>
      </c>
      <c r="B866" s="31" t="s">
        <v>1220</v>
      </c>
      <c r="C866" s="30" t="s">
        <v>1121</v>
      </c>
      <c r="D866" s="31" t="s">
        <v>1795</v>
      </c>
    </row>
    <row r="867" customFormat="false" ht="15" hidden="false" customHeight="true" outlineLevel="0" collapsed="false">
      <c r="A867" s="30" t="s">
        <v>1221</v>
      </c>
      <c r="B867" s="31" t="s">
        <v>1222</v>
      </c>
      <c r="C867" s="30" t="s">
        <v>1121</v>
      </c>
      <c r="D867" s="31" t="s">
        <v>1795</v>
      </c>
    </row>
    <row r="868" customFormat="false" ht="15" hidden="false" customHeight="true" outlineLevel="0" collapsed="false">
      <c r="A868" s="30" t="s">
        <v>1223</v>
      </c>
      <c r="B868" s="31" t="s">
        <v>1224</v>
      </c>
      <c r="C868" s="30" t="s">
        <v>1121</v>
      </c>
      <c r="D868" s="31" t="s">
        <v>1795</v>
      </c>
    </row>
    <row r="869" customFormat="false" ht="15" hidden="false" customHeight="true" outlineLevel="0" collapsed="false">
      <c r="A869" s="30" t="s">
        <v>1225</v>
      </c>
      <c r="B869" s="31" t="s">
        <v>1226</v>
      </c>
      <c r="C869" s="30" t="s">
        <v>1121</v>
      </c>
      <c r="D869" s="31" t="s">
        <v>1795</v>
      </c>
    </row>
    <row r="870" customFormat="false" ht="15" hidden="false" customHeight="true" outlineLevel="0" collapsed="false">
      <c r="A870" s="30" t="s">
        <v>1227</v>
      </c>
      <c r="B870" s="31" t="s">
        <v>736</v>
      </c>
      <c r="C870" s="30" t="s">
        <v>1121</v>
      </c>
      <c r="D870" s="31" t="s">
        <v>1795</v>
      </c>
    </row>
    <row r="871" customFormat="false" ht="15" hidden="false" customHeight="true" outlineLevel="0" collapsed="false">
      <c r="A871" s="30" t="s">
        <v>1228</v>
      </c>
      <c r="B871" s="31" t="s">
        <v>1229</v>
      </c>
      <c r="C871" s="30" t="s">
        <v>1121</v>
      </c>
      <c r="D871" s="31" t="s">
        <v>1795</v>
      </c>
    </row>
    <row r="872" customFormat="false" ht="15" hidden="false" customHeight="true" outlineLevel="0" collapsed="false">
      <c r="A872" s="30" t="s">
        <v>1230</v>
      </c>
      <c r="B872" s="31" t="s">
        <v>1231</v>
      </c>
      <c r="C872" s="30" t="s">
        <v>1121</v>
      </c>
      <c r="D872" s="31" t="s">
        <v>1795</v>
      </c>
    </row>
    <row r="873" customFormat="false" ht="15" hidden="false" customHeight="true" outlineLevel="0" collapsed="false">
      <c r="A873" s="30" t="s">
        <v>1232</v>
      </c>
      <c r="B873" s="31" t="s">
        <v>1233</v>
      </c>
      <c r="C873" s="30" t="s">
        <v>1121</v>
      </c>
      <c r="D873" s="31" t="s">
        <v>1795</v>
      </c>
    </row>
    <row r="874" customFormat="false" ht="15" hidden="false" customHeight="true" outlineLevel="0" collapsed="false">
      <c r="A874" s="30" t="s">
        <v>1234</v>
      </c>
      <c r="B874" s="31" t="s">
        <v>1235</v>
      </c>
      <c r="C874" s="30" t="s">
        <v>1121</v>
      </c>
      <c r="D874" s="31" t="s">
        <v>1795</v>
      </c>
    </row>
    <row r="875" customFormat="false" ht="15" hidden="false" customHeight="true" outlineLevel="0" collapsed="false">
      <c r="A875" s="30" t="s">
        <v>1236</v>
      </c>
      <c r="B875" s="31" t="s">
        <v>156</v>
      </c>
      <c r="C875" s="30" t="s">
        <v>1121</v>
      </c>
      <c r="D875" s="31" t="s">
        <v>1795</v>
      </c>
    </row>
    <row r="876" customFormat="false" ht="15" hidden="false" customHeight="true" outlineLevel="0" collapsed="false">
      <c r="A876" s="30" t="s">
        <v>1237</v>
      </c>
      <c r="B876" s="31" t="s">
        <v>158</v>
      </c>
      <c r="C876" s="30" t="s">
        <v>1121</v>
      </c>
      <c r="D876" s="31" t="s">
        <v>1795</v>
      </c>
    </row>
    <row r="877" customFormat="false" ht="15" hidden="false" customHeight="true" outlineLevel="0" collapsed="false">
      <c r="A877" s="30" t="s">
        <v>1238</v>
      </c>
      <c r="B877" s="31" t="s">
        <v>160</v>
      </c>
      <c r="C877" s="30" t="s">
        <v>1121</v>
      </c>
      <c r="D877" s="31" t="s">
        <v>1795</v>
      </c>
    </row>
    <row r="878" customFormat="false" ht="15" hidden="false" customHeight="true" outlineLevel="0" collapsed="false">
      <c r="A878" s="30" t="s">
        <v>1239</v>
      </c>
      <c r="B878" s="31" t="s">
        <v>372</v>
      </c>
      <c r="C878" s="30" t="s">
        <v>1121</v>
      </c>
      <c r="D878" s="31" t="s">
        <v>1795</v>
      </c>
    </row>
    <row r="879" customFormat="false" ht="15" hidden="false" customHeight="true" outlineLevel="0" collapsed="false">
      <c r="A879" s="30" t="s">
        <v>1240</v>
      </c>
      <c r="B879" s="31" t="s">
        <v>374</v>
      </c>
      <c r="C879" s="30" t="s">
        <v>1121</v>
      </c>
      <c r="D879" s="31" t="s">
        <v>1795</v>
      </c>
    </row>
    <row r="880" customFormat="false" ht="15" hidden="false" customHeight="true" outlineLevel="0" collapsed="false">
      <c r="A880" s="30" t="s">
        <v>1241</v>
      </c>
      <c r="B880" s="31" t="s">
        <v>381</v>
      </c>
      <c r="C880" s="30" t="s">
        <v>1121</v>
      </c>
      <c r="D880" s="31" t="s">
        <v>1795</v>
      </c>
    </row>
    <row r="881" customFormat="false" ht="15" hidden="false" customHeight="true" outlineLevel="0" collapsed="false">
      <c r="A881" s="30" t="s">
        <v>1242</v>
      </c>
      <c r="B881" s="31" t="s">
        <v>569</v>
      </c>
      <c r="C881" s="30" t="s">
        <v>1121</v>
      </c>
      <c r="D881" s="31" t="s">
        <v>1795</v>
      </c>
    </row>
    <row r="882" customFormat="false" ht="15" hidden="false" customHeight="true" outlineLevel="0" collapsed="false">
      <c r="A882" s="30" t="s">
        <v>1243</v>
      </c>
      <c r="B882" s="31" t="s">
        <v>385</v>
      </c>
      <c r="C882" s="30" t="s">
        <v>1121</v>
      </c>
      <c r="D882" s="31" t="s">
        <v>1795</v>
      </c>
    </row>
    <row r="883" customFormat="false" ht="15" hidden="false" customHeight="true" outlineLevel="0" collapsed="false">
      <c r="A883" s="30" t="s">
        <v>1244</v>
      </c>
      <c r="B883" s="31" t="s">
        <v>387</v>
      </c>
      <c r="C883" s="30" t="s">
        <v>1121</v>
      </c>
      <c r="D883" s="31" t="s">
        <v>1795</v>
      </c>
    </row>
    <row r="884" customFormat="false" ht="15" hidden="false" customHeight="true" outlineLevel="0" collapsed="false">
      <c r="A884" s="30" t="s">
        <v>1245</v>
      </c>
      <c r="B884" s="31" t="s">
        <v>1246</v>
      </c>
      <c r="C884" s="30" t="s">
        <v>1121</v>
      </c>
      <c r="D884" s="31" t="s">
        <v>1795</v>
      </c>
    </row>
    <row r="885" customFormat="false" ht="15" hidden="false" customHeight="true" outlineLevel="0" collapsed="false">
      <c r="A885" s="30" t="s">
        <v>1247</v>
      </c>
      <c r="B885" s="31" t="s">
        <v>1248</v>
      </c>
      <c r="C885" s="30" t="s">
        <v>1121</v>
      </c>
      <c r="D885" s="31" t="s">
        <v>1795</v>
      </c>
    </row>
    <row r="886" customFormat="false" ht="15" hidden="false" customHeight="true" outlineLevel="0" collapsed="false">
      <c r="A886" s="30" t="s">
        <v>1249</v>
      </c>
      <c r="B886" s="31" t="s">
        <v>1250</v>
      </c>
      <c r="C886" s="30" t="s">
        <v>1121</v>
      </c>
      <c r="D886" s="31" t="s">
        <v>1795</v>
      </c>
    </row>
    <row r="887" customFormat="false" ht="15" hidden="false" customHeight="true" outlineLevel="0" collapsed="false">
      <c r="A887" s="30" t="s">
        <v>1251</v>
      </c>
      <c r="B887" s="31" t="s">
        <v>1252</v>
      </c>
      <c r="C887" s="30" t="s">
        <v>1121</v>
      </c>
      <c r="D887" s="31" t="s">
        <v>1795</v>
      </c>
    </row>
    <row r="888" customFormat="false" ht="15" hidden="false" customHeight="true" outlineLevel="0" collapsed="false">
      <c r="A888" s="30" t="s">
        <v>1253</v>
      </c>
      <c r="B888" s="31" t="s">
        <v>1254</v>
      </c>
      <c r="C888" s="30" t="s">
        <v>1121</v>
      </c>
      <c r="D888" s="31" t="s">
        <v>1795</v>
      </c>
    </row>
    <row r="889" customFormat="false" ht="15" hidden="false" customHeight="true" outlineLevel="0" collapsed="false">
      <c r="A889" s="30" t="s">
        <v>1255</v>
      </c>
      <c r="B889" s="31" t="s">
        <v>1256</v>
      </c>
      <c r="C889" s="30" t="s">
        <v>1121</v>
      </c>
      <c r="D889" s="31" t="s">
        <v>1795</v>
      </c>
    </row>
    <row r="890" customFormat="false" ht="15" hidden="false" customHeight="true" outlineLevel="0" collapsed="false">
      <c r="A890" s="30" t="s">
        <v>1257</v>
      </c>
      <c r="B890" s="31" t="s">
        <v>1258</v>
      </c>
      <c r="C890" s="30" t="s">
        <v>1121</v>
      </c>
      <c r="D890" s="31" t="s">
        <v>1795</v>
      </c>
    </row>
    <row r="891" customFormat="false" ht="15" hidden="false" customHeight="true" outlineLevel="0" collapsed="false">
      <c r="A891" s="30" t="s">
        <v>1259</v>
      </c>
      <c r="B891" s="31" t="s">
        <v>1260</v>
      </c>
      <c r="C891" s="30" t="s">
        <v>1121</v>
      </c>
      <c r="D891" s="31" t="s">
        <v>1795</v>
      </c>
    </row>
    <row r="892" customFormat="false" ht="15" hidden="false" customHeight="true" outlineLevel="0" collapsed="false">
      <c r="A892" s="30" t="s">
        <v>1261</v>
      </c>
      <c r="B892" s="31" t="s">
        <v>1262</v>
      </c>
      <c r="C892" s="30" t="s">
        <v>1121</v>
      </c>
      <c r="D892" s="31" t="s">
        <v>1795</v>
      </c>
    </row>
    <row r="893" customFormat="false" ht="15" hidden="false" customHeight="true" outlineLevel="0" collapsed="false">
      <c r="A893" s="30" t="s">
        <v>1263</v>
      </c>
      <c r="B893" s="31" t="s">
        <v>1264</v>
      </c>
      <c r="C893" s="30" t="s">
        <v>1121</v>
      </c>
      <c r="D893" s="31" t="s">
        <v>1795</v>
      </c>
    </row>
    <row r="894" customFormat="false" ht="15" hidden="false" customHeight="true" outlineLevel="0" collapsed="false">
      <c r="A894" s="30" t="s">
        <v>1265</v>
      </c>
      <c r="B894" s="31" t="s">
        <v>1266</v>
      </c>
      <c r="C894" s="30" t="s">
        <v>1121</v>
      </c>
      <c r="D894" s="31" t="s">
        <v>1795</v>
      </c>
    </row>
    <row r="895" customFormat="false" ht="15" hidden="false" customHeight="true" outlineLevel="0" collapsed="false">
      <c r="A895" s="30" t="s">
        <v>1267</v>
      </c>
      <c r="B895" s="31" t="s">
        <v>1268</v>
      </c>
      <c r="C895" s="30" t="s">
        <v>1121</v>
      </c>
      <c r="D895" s="31" t="s">
        <v>1795</v>
      </c>
    </row>
    <row r="896" customFormat="false" ht="15" hidden="false" customHeight="true" outlineLevel="0" collapsed="false">
      <c r="A896" s="30" t="s">
        <v>1269</v>
      </c>
      <c r="B896" s="31" t="s">
        <v>1270</v>
      </c>
      <c r="C896" s="30" t="s">
        <v>1121</v>
      </c>
      <c r="D896" s="31" t="s">
        <v>1795</v>
      </c>
    </row>
    <row r="897" customFormat="false" ht="15" hidden="false" customHeight="true" outlineLevel="0" collapsed="false">
      <c r="A897" s="30" t="s">
        <v>1271</v>
      </c>
      <c r="B897" s="31" t="s">
        <v>1272</v>
      </c>
      <c r="C897" s="30" t="s">
        <v>1121</v>
      </c>
      <c r="D897" s="31" t="s">
        <v>1795</v>
      </c>
    </row>
    <row r="898" customFormat="false" ht="15" hidden="false" customHeight="true" outlineLevel="0" collapsed="false">
      <c r="A898" s="30" t="s">
        <v>1273</v>
      </c>
      <c r="B898" s="31" t="s">
        <v>847</v>
      </c>
      <c r="C898" s="30" t="s">
        <v>1121</v>
      </c>
      <c r="D898" s="31" t="s">
        <v>1795</v>
      </c>
    </row>
    <row r="899" customFormat="false" ht="15" hidden="false" customHeight="true" outlineLevel="0" collapsed="false">
      <c r="A899" s="30" t="s">
        <v>1274</v>
      </c>
      <c r="B899" s="31" t="s">
        <v>856</v>
      </c>
      <c r="C899" s="30" t="s">
        <v>1121</v>
      </c>
      <c r="D899" s="31" t="s">
        <v>1795</v>
      </c>
    </row>
    <row r="900" customFormat="false" ht="15" hidden="false" customHeight="true" outlineLevel="0" collapsed="false">
      <c r="A900" s="30" t="s">
        <v>1275</v>
      </c>
      <c r="B900" s="31" t="s">
        <v>1276</v>
      </c>
      <c r="C900" s="30" t="s">
        <v>1121</v>
      </c>
      <c r="D900" s="31" t="s">
        <v>1795</v>
      </c>
    </row>
    <row r="901" customFormat="false" ht="15" hidden="false" customHeight="true" outlineLevel="0" collapsed="false">
      <c r="A901" s="30" t="s">
        <v>1277</v>
      </c>
      <c r="B901" s="31" t="s">
        <v>1278</v>
      </c>
      <c r="C901" s="30" t="s">
        <v>1121</v>
      </c>
      <c r="D901" s="31" t="s">
        <v>1795</v>
      </c>
    </row>
    <row r="902" customFormat="false" ht="15" hidden="false" customHeight="true" outlineLevel="0" collapsed="false">
      <c r="A902" s="30" t="s">
        <v>1279</v>
      </c>
      <c r="B902" s="31" t="s">
        <v>1280</v>
      </c>
      <c r="C902" s="30" t="s">
        <v>1121</v>
      </c>
      <c r="D902" s="31" t="s">
        <v>1795</v>
      </c>
    </row>
    <row r="903" customFormat="false" ht="15" hidden="false" customHeight="true" outlineLevel="0" collapsed="false">
      <c r="A903" s="30" t="s">
        <v>1281</v>
      </c>
      <c r="B903" s="31" t="s">
        <v>736</v>
      </c>
      <c r="C903" s="30" t="s">
        <v>1121</v>
      </c>
      <c r="D903" s="31" t="s">
        <v>1795</v>
      </c>
    </row>
    <row r="904" customFormat="false" ht="15" hidden="false" customHeight="true" outlineLevel="0" collapsed="false">
      <c r="A904" s="30" t="s">
        <v>1282</v>
      </c>
      <c r="B904" s="31" t="s">
        <v>1283</v>
      </c>
      <c r="C904" s="30" t="s">
        <v>1121</v>
      </c>
      <c r="D904" s="31" t="s">
        <v>1795</v>
      </c>
    </row>
    <row r="905" customFormat="false" ht="15" hidden="false" customHeight="true" outlineLevel="0" collapsed="false">
      <c r="A905" s="30" t="s">
        <v>1284</v>
      </c>
      <c r="B905" s="31" t="s">
        <v>882</v>
      </c>
      <c r="C905" s="30" t="s">
        <v>1121</v>
      </c>
      <c r="D905" s="31" t="s">
        <v>1795</v>
      </c>
    </row>
    <row r="906" customFormat="false" ht="15" hidden="false" customHeight="true" outlineLevel="0" collapsed="false">
      <c r="A906" s="30" t="s">
        <v>1285</v>
      </c>
      <c r="B906" s="31" t="s">
        <v>1286</v>
      </c>
      <c r="C906" s="30" t="s">
        <v>1121</v>
      </c>
      <c r="D906" s="31" t="s">
        <v>1795</v>
      </c>
    </row>
    <row r="907" customFormat="false" ht="15" hidden="false" customHeight="true" outlineLevel="0" collapsed="false">
      <c r="A907" s="30" t="s">
        <v>1287</v>
      </c>
      <c r="B907" s="31" t="s">
        <v>874</v>
      </c>
      <c r="C907" s="30" t="s">
        <v>1121</v>
      </c>
      <c r="D907" s="31" t="s">
        <v>1795</v>
      </c>
    </row>
    <row r="908" customFormat="false" ht="15" hidden="false" customHeight="true" outlineLevel="0" collapsed="false">
      <c r="A908" s="30" t="s">
        <v>1288</v>
      </c>
      <c r="B908" s="31" t="s">
        <v>1289</v>
      </c>
      <c r="C908" s="30" t="s">
        <v>1121</v>
      </c>
      <c r="D908" s="31" t="s">
        <v>1795</v>
      </c>
    </row>
    <row r="909" customFormat="false" ht="15" hidden="false" customHeight="true" outlineLevel="0" collapsed="false">
      <c r="A909" s="30" t="s">
        <v>1290</v>
      </c>
      <c r="B909" s="31" t="s">
        <v>736</v>
      </c>
      <c r="C909" s="30" t="s">
        <v>1121</v>
      </c>
      <c r="D909" s="31" t="s">
        <v>1795</v>
      </c>
    </row>
    <row r="910" customFormat="false" ht="15" hidden="false" customHeight="true" outlineLevel="0" collapsed="false">
      <c r="A910" s="30" t="s">
        <v>1291</v>
      </c>
      <c r="B910" s="31" t="s">
        <v>868</v>
      </c>
      <c r="C910" s="30" t="s">
        <v>1121</v>
      </c>
      <c r="D910" s="31" t="s">
        <v>1795</v>
      </c>
    </row>
    <row r="911" customFormat="false" ht="15" hidden="false" customHeight="true" outlineLevel="0" collapsed="false">
      <c r="A911" s="30" t="s">
        <v>1292</v>
      </c>
      <c r="B911" s="31" t="s">
        <v>736</v>
      </c>
      <c r="C911" s="30" t="s">
        <v>1121</v>
      </c>
      <c r="D911" s="31" t="s">
        <v>1795</v>
      </c>
    </row>
    <row r="912" customFormat="false" ht="15" hidden="false" customHeight="true" outlineLevel="0" collapsed="false">
      <c r="A912" s="30" t="s">
        <v>1293</v>
      </c>
      <c r="B912" s="31" t="s">
        <v>138</v>
      </c>
      <c r="C912" s="30" t="s">
        <v>1121</v>
      </c>
      <c r="D912" s="31" t="s">
        <v>1795</v>
      </c>
    </row>
    <row r="913" customFormat="false" ht="15" hidden="false" customHeight="true" outlineLevel="0" collapsed="false">
      <c r="A913" s="30" t="s">
        <v>1294</v>
      </c>
      <c r="B913" s="31" t="s">
        <v>1295</v>
      </c>
      <c r="C913" s="30" t="s">
        <v>1121</v>
      </c>
      <c r="D913" s="31" t="s">
        <v>1795</v>
      </c>
    </row>
    <row r="914" customFormat="false" ht="15" hidden="false" customHeight="true" outlineLevel="0" collapsed="false">
      <c r="A914" s="30" t="s">
        <v>1296</v>
      </c>
      <c r="B914" s="31" t="s">
        <v>1297</v>
      </c>
      <c r="C914" s="30" t="s">
        <v>1121</v>
      </c>
      <c r="D914" s="31" t="s">
        <v>1795</v>
      </c>
    </row>
    <row r="915" customFormat="false" ht="15" hidden="false" customHeight="true" outlineLevel="0" collapsed="false">
      <c r="A915" s="30" t="s">
        <v>1298</v>
      </c>
      <c r="B915" s="31" t="s">
        <v>1299</v>
      </c>
      <c r="C915" s="30" t="s">
        <v>1121</v>
      </c>
      <c r="D915" s="31" t="s">
        <v>1795</v>
      </c>
    </row>
    <row r="916" customFormat="false" ht="15" hidden="false" customHeight="true" outlineLevel="0" collapsed="false">
      <c r="A916" s="30" t="s">
        <v>1300</v>
      </c>
      <c r="B916" s="31" t="s">
        <v>205</v>
      </c>
      <c r="C916" s="30" t="s">
        <v>1121</v>
      </c>
      <c r="D916" s="31" t="s">
        <v>1795</v>
      </c>
    </row>
    <row r="917" customFormat="false" ht="15" hidden="false" customHeight="true" outlineLevel="0" collapsed="false">
      <c r="A917" s="30" t="s">
        <v>1301</v>
      </c>
      <c r="B917" s="31" t="s">
        <v>140</v>
      </c>
      <c r="C917" s="30" t="s">
        <v>1121</v>
      </c>
      <c r="D917" s="31" t="s">
        <v>1795</v>
      </c>
    </row>
    <row r="918" customFormat="false" ht="15" hidden="false" customHeight="true" outlineLevel="0" collapsed="false">
      <c r="A918" s="30" t="s">
        <v>1302</v>
      </c>
      <c r="B918" s="31" t="s">
        <v>1303</v>
      </c>
      <c r="C918" s="30" t="s">
        <v>1121</v>
      </c>
      <c r="D918" s="31" t="s">
        <v>1795</v>
      </c>
    </row>
    <row r="919" customFormat="false" ht="15" hidden="false" customHeight="true" outlineLevel="0" collapsed="false">
      <c r="A919" s="30" t="s">
        <v>1304</v>
      </c>
      <c r="B919" s="31" t="s">
        <v>1305</v>
      </c>
      <c r="C919" s="30" t="s">
        <v>1121</v>
      </c>
      <c r="D919" s="31" t="s">
        <v>1795</v>
      </c>
    </row>
    <row r="920" customFormat="false" ht="15" hidden="false" customHeight="true" outlineLevel="0" collapsed="false">
      <c r="A920" s="30" t="s">
        <v>1306</v>
      </c>
      <c r="B920" s="31" t="s">
        <v>992</v>
      </c>
      <c r="C920" s="30" t="s">
        <v>1121</v>
      </c>
      <c r="D920" s="31" t="s">
        <v>1795</v>
      </c>
    </row>
    <row r="921" customFormat="false" ht="15" hidden="false" customHeight="true" outlineLevel="0" collapsed="false">
      <c r="A921" s="30" t="s">
        <v>1307</v>
      </c>
      <c r="B921" s="31" t="s">
        <v>154</v>
      </c>
      <c r="C921" s="30" t="s">
        <v>1121</v>
      </c>
      <c r="D921" s="31" t="s">
        <v>1795</v>
      </c>
    </row>
    <row r="922" customFormat="false" ht="15" hidden="false" customHeight="true" outlineLevel="0" collapsed="false">
      <c r="A922" s="30" t="s">
        <v>1308</v>
      </c>
      <c r="B922" s="31" t="s">
        <v>1309</v>
      </c>
      <c r="C922" s="30" t="s">
        <v>1121</v>
      </c>
      <c r="D922" s="31" t="s">
        <v>1795</v>
      </c>
    </row>
    <row r="923" customFormat="false" ht="15" hidden="false" customHeight="true" outlineLevel="0" collapsed="false">
      <c r="A923" s="30" t="s">
        <v>1310</v>
      </c>
      <c r="B923" s="31" t="s">
        <v>156</v>
      </c>
      <c r="C923" s="30" t="s">
        <v>1121</v>
      </c>
      <c r="D923" s="31" t="s">
        <v>1795</v>
      </c>
    </row>
    <row r="924" customFormat="false" ht="15" hidden="false" customHeight="true" outlineLevel="0" collapsed="false">
      <c r="A924" s="30" t="s">
        <v>1311</v>
      </c>
      <c r="B924" s="31" t="s">
        <v>158</v>
      </c>
      <c r="C924" s="30" t="s">
        <v>1121</v>
      </c>
      <c r="D924" s="31" t="s">
        <v>1795</v>
      </c>
    </row>
    <row r="925" customFormat="false" ht="15" hidden="false" customHeight="true" outlineLevel="0" collapsed="false">
      <c r="A925" s="30" t="s">
        <v>1312</v>
      </c>
      <c r="B925" s="31" t="s">
        <v>160</v>
      </c>
      <c r="C925" s="30" t="s">
        <v>1121</v>
      </c>
      <c r="D925" s="31" t="s">
        <v>1795</v>
      </c>
    </row>
    <row r="926" customFormat="false" ht="15" hidden="false" customHeight="true" outlineLevel="0" collapsed="false">
      <c r="A926" s="30" t="s">
        <v>1313</v>
      </c>
      <c r="B926" s="31" t="s">
        <v>154</v>
      </c>
      <c r="C926" s="30" t="s">
        <v>1121</v>
      </c>
      <c r="D926" s="31" t="s">
        <v>1795</v>
      </c>
    </row>
    <row r="927" customFormat="false" ht="15" hidden="false" customHeight="true" outlineLevel="0" collapsed="false">
      <c r="A927" s="30" t="s">
        <v>1314</v>
      </c>
      <c r="B927" s="31" t="s">
        <v>1315</v>
      </c>
      <c r="C927" s="30" t="s">
        <v>1121</v>
      </c>
      <c r="D927" s="31" t="s">
        <v>1795</v>
      </c>
    </row>
    <row r="928" customFormat="false" ht="15" hidden="false" customHeight="true" outlineLevel="0" collapsed="false">
      <c r="A928" s="30" t="s">
        <v>1316</v>
      </c>
      <c r="B928" s="31" t="s">
        <v>156</v>
      </c>
      <c r="C928" s="30" t="s">
        <v>1121</v>
      </c>
      <c r="D928" s="31" t="s">
        <v>1795</v>
      </c>
    </row>
    <row r="929" customFormat="false" ht="15" hidden="false" customHeight="true" outlineLevel="0" collapsed="false">
      <c r="A929" s="30" t="s">
        <v>1317</v>
      </c>
      <c r="B929" s="31" t="s">
        <v>158</v>
      </c>
      <c r="C929" s="30" t="s">
        <v>1121</v>
      </c>
      <c r="D929" s="31" t="s">
        <v>1795</v>
      </c>
    </row>
    <row r="930" customFormat="false" ht="15" hidden="false" customHeight="true" outlineLevel="0" collapsed="false">
      <c r="A930" s="30" t="s">
        <v>1318</v>
      </c>
      <c r="B930" s="31" t="s">
        <v>160</v>
      </c>
      <c r="C930" s="30" t="s">
        <v>1121</v>
      </c>
      <c r="D930" s="31" t="s">
        <v>1795</v>
      </c>
    </row>
    <row r="931" customFormat="false" ht="15" hidden="false" customHeight="true" outlineLevel="0" collapsed="false">
      <c r="A931" s="30" t="s">
        <v>1319</v>
      </c>
      <c r="B931" s="31" t="s">
        <v>427</v>
      </c>
      <c r="C931" s="30" t="s">
        <v>1121</v>
      </c>
      <c r="D931" s="31" t="s">
        <v>1795</v>
      </c>
    </row>
    <row r="932" customFormat="false" ht="15" hidden="false" customHeight="true" outlineLevel="0" collapsed="false">
      <c r="A932" s="30" t="s">
        <v>1320</v>
      </c>
      <c r="B932" s="31" t="s">
        <v>1321</v>
      </c>
      <c r="C932" s="30" t="s">
        <v>1121</v>
      </c>
      <c r="D932" s="31" t="s">
        <v>1795</v>
      </c>
    </row>
    <row r="933" customFormat="false" ht="15" hidden="false" customHeight="true" outlineLevel="0" collapsed="false">
      <c r="A933" s="30" t="s">
        <v>1322</v>
      </c>
      <c r="B933" s="31" t="s">
        <v>1323</v>
      </c>
      <c r="C933" s="30" t="s">
        <v>1121</v>
      </c>
      <c r="D933" s="31" t="s">
        <v>1795</v>
      </c>
    </row>
    <row r="934" customFormat="false" ht="15" hidden="false" customHeight="true" outlineLevel="0" collapsed="false">
      <c r="A934" s="30" t="s">
        <v>1324</v>
      </c>
      <c r="B934" s="31" t="s">
        <v>1325</v>
      </c>
      <c r="C934" s="30" t="s">
        <v>1121</v>
      </c>
      <c r="D934" s="31" t="s">
        <v>1795</v>
      </c>
    </row>
    <row r="935" customFormat="false" ht="15" hidden="false" customHeight="true" outlineLevel="0" collapsed="false">
      <c r="A935" s="30" t="s">
        <v>1326</v>
      </c>
      <c r="B935" s="31" t="s">
        <v>407</v>
      </c>
      <c r="C935" s="30" t="s">
        <v>1121</v>
      </c>
      <c r="D935" s="31" t="s">
        <v>1795</v>
      </c>
    </row>
    <row r="936" customFormat="false" ht="15" hidden="false" customHeight="true" outlineLevel="0" collapsed="false">
      <c r="A936" s="30" t="s">
        <v>1327</v>
      </c>
      <c r="B936" s="31" t="s">
        <v>1328</v>
      </c>
      <c r="C936" s="30" t="s">
        <v>1121</v>
      </c>
      <c r="D936" s="31" t="s">
        <v>1795</v>
      </c>
    </row>
    <row r="937" customFormat="false" ht="15" hidden="false" customHeight="true" outlineLevel="0" collapsed="false">
      <c r="A937" s="30" t="s">
        <v>1329</v>
      </c>
      <c r="B937" s="31" t="s">
        <v>154</v>
      </c>
      <c r="C937" s="30" t="s">
        <v>1121</v>
      </c>
      <c r="D937" s="31" t="s">
        <v>1795</v>
      </c>
    </row>
    <row r="938" customFormat="false" ht="15" hidden="false" customHeight="true" outlineLevel="0" collapsed="false">
      <c r="A938" s="30" t="s">
        <v>1330</v>
      </c>
      <c r="B938" s="31" t="s">
        <v>156</v>
      </c>
      <c r="C938" s="30" t="s">
        <v>1121</v>
      </c>
      <c r="D938" s="31" t="s">
        <v>1795</v>
      </c>
    </row>
    <row r="939" customFormat="false" ht="15" hidden="false" customHeight="true" outlineLevel="0" collapsed="false">
      <c r="A939" s="30" t="s">
        <v>1331</v>
      </c>
      <c r="B939" s="31" t="s">
        <v>158</v>
      </c>
      <c r="C939" s="30" t="s">
        <v>1121</v>
      </c>
      <c r="D939" s="31" t="s">
        <v>1795</v>
      </c>
    </row>
    <row r="940" customFormat="false" ht="15" hidden="false" customHeight="true" outlineLevel="0" collapsed="false">
      <c r="A940" s="30" t="s">
        <v>1332</v>
      </c>
      <c r="B940" s="31" t="s">
        <v>160</v>
      </c>
      <c r="C940" s="30" t="s">
        <v>1121</v>
      </c>
      <c r="D940" s="31" t="s">
        <v>1795</v>
      </c>
    </row>
    <row r="941" customFormat="false" ht="15" hidden="false" customHeight="true" outlineLevel="0" collapsed="false">
      <c r="A941" s="30" t="s">
        <v>1333</v>
      </c>
      <c r="B941" s="31" t="s">
        <v>154</v>
      </c>
      <c r="C941" s="30" t="s">
        <v>1121</v>
      </c>
      <c r="D941" s="31" t="s">
        <v>1795</v>
      </c>
    </row>
    <row r="942" customFormat="false" ht="15" hidden="false" customHeight="true" outlineLevel="0" collapsed="false">
      <c r="A942" s="30" t="s">
        <v>1334</v>
      </c>
      <c r="B942" s="31" t="s">
        <v>160</v>
      </c>
      <c r="C942" s="30" t="s">
        <v>1121</v>
      </c>
      <c r="D942" s="31" t="s">
        <v>1795</v>
      </c>
    </row>
    <row r="943" customFormat="false" ht="15" hidden="false" customHeight="true" outlineLevel="0" collapsed="false">
      <c r="A943" s="30" t="s">
        <v>1335</v>
      </c>
      <c r="B943" s="31" t="s">
        <v>1336</v>
      </c>
      <c r="C943" s="30" t="s">
        <v>1121</v>
      </c>
      <c r="D943" s="31" t="s">
        <v>1795</v>
      </c>
    </row>
    <row r="944" customFormat="false" ht="15" hidden="false" customHeight="true" outlineLevel="0" collapsed="false">
      <c r="A944" s="30" t="s">
        <v>1337</v>
      </c>
      <c r="B944" s="31" t="s">
        <v>948</v>
      </c>
      <c r="C944" s="30" t="s">
        <v>1121</v>
      </c>
      <c r="D944" s="31" t="s">
        <v>1795</v>
      </c>
    </row>
    <row r="945" customFormat="false" ht="15" hidden="false" customHeight="true" outlineLevel="0" collapsed="false">
      <c r="A945" s="30" t="s">
        <v>1338</v>
      </c>
      <c r="B945" s="31" t="s">
        <v>1339</v>
      </c>
      <c r="C945" s="30" t="s">
        <v>1121</v>
      </c>
      <c r="D945" s="31" t="s">
        <v>1795</v>
      </c>
    </row>
    <row r="946" customFormat="false" ht="15" hidden="false" customHeight="true" outlineLevel="0" collapsed="false">
      <c r="A946" s="30" t="s">
        <v>1340</v>
      </c>
      <c r="B946" s="31" t="s">
        <v>1341</v>
      </c>
      <c r="C946" s="30" t="s">
        <v>1121</v>
      </c>
      <c r="D946" s="31" t="s">
        <v>1795</v>
      </c>
    </row>
    <row r="947" customFormat="false" ht="15" hidden="false" customHeight="true" outlineLevel="0" collapsed="false">
      <c r="A947" s="30" t="s">
        <v>1342</v>
      </c>
      <c r="B947" s="31" t="s">
        <v>1343</v>
      </c>
      <c r="C947" s="30" t="s">
        <v>1121</v>
      </c>
      <c r="D947" s="31" t="s">
        <v>1795</v>
      </c>
    </row>
    <row r="948" customFormat="false" ht="15" hidden="false" customHeight="true" outlineLevel="0" collapsed="false">
      <c r="A948" s="30" t="s">
        <v>1344</v>
      </c>
      <c r="B948" s="31" t="s">
        <v>944</v>
      </c>
      <c r="C948" s="30" t="s">
        <v>1121</v>
      </c>
      <c r="D948" s="31" t="s">
        <v>1795</v>
      </c>
    </row>
    <row r="949" customFormat="false" ht="15" hidden="false" customHeight="true" outlineLevel="0" collapsed="false">
      <c r="A949" s="30" t="s">
        <v>1345</v>
      </c>
      <c r="B949" s="31" t="s">
        <v>946</v>
      </c>
      <c r="C949" s="30" t="s">
        <v>1121</v>
      </c>
      <c r="D949" s="31" t="s">
        <v>1795</v>
      </c>
    </row>
    <row r="950" customFormat="false" ht="15" hidden="false" customHeight="true" outlineLevel="0" collapsed="false">
      <c r="A950" s="30" t="s">
        <v>1346</v>
      </c>
      <c r="B950" s="31" t="s">
        <v>948</v>
      </c>
      <c r="C950" s="30" t="s">
        <v>1121</v>
      </c>
      <c r="D950" s="31" t="s">
        <v>1795</v>
      </c>
    </row>
    <row r="951" customFormat="false" ht="15" hidden="false" customHeight="true" outlineLevel="0" collapsed="false">
      <c r="A951" s="30" t="s">
        <v>1347</v>
      </c>
      <c r="B951" s="31" t="s">
        <v>1348</v>
      </c>
      <c r="C951" s="30" t="s">
        <v>1121</v>
      </c>
      <c r="D951" s="31" t="s">
        <v>1795</v>
      </c>
    </row>
    <row r="952" customFormat="false" ht="15" hidden="false" customHeight="true" outlineLevel="0" collapsed="false">
      <c r="A952" s="30" t="s">
        <v>1349</v>
      </c>
      <c r="B952" s="31" t="s">
        <v>1341</v>
      </c>
      <c r="C952" s="30" t="s">
        <v>1121</v>
      </c>
      <c r="D952" s="31" t="s">
        <v>1795</v>
      </c>
    </row>
    <row r="953" customFormat="false" ht="15" hidden="false" customHeight="true" outlineLevel="0" collapsed="false">
      <c r="A953" s="30" t="s">
        <v>1350</v>
      </c>
      <c r="B953" s="31" t="s">
        <v>1351</v>
      </c>
      <c r="C953" s="30" t="s">
        <v>1121</v>
      </c>
      <c r="D953" s="31" t="s">
        <v>1795</v>
      </c>
    </row>
    <row r="954" customFormat="false" ht="15" hidden="false" customHeight="true" outlineLevel="0" collapsed="false">
      <c r="A954" s="30" t="s">
        <v>1352</v>
      </c>
      <c r="B954" s="31" t="s">
        <v>1353</v>
      </c>
      <c r="C954" s="30" t="s">
        <v>1121</v>
      </c>
      <c r="D954" s="31" t="s">
        <v>1795</v>
      </c>
    </row>
    <row r="955" customFormat="false" ht="15" hidden="false" customHeight="true" outlineLevel="0" collapsed="false">
      <c r="A955" s="30" t="s">
        <v>1354</v>
      </c>
      <c r="B955" s="31" t="s">
        <v>1355</v>
      </c>
      <c r="C955" s="30" t="s">
        <v>1121</v>
      </c>
      <c r="D955" s="31" t="s">
        <v>1795</v>
      </c>
    </row>
    <row r="956" customFormat="false" ht="15" hidden="false" customHeight="true" outlineLevel="0" collapsed="false">
      <c r="A956" s="30" t="s">
        <v>1356</v>
      </c>
      <c r="B956" s="31" t="s">
        <v>1357</v>
      </c>
      <c r="C956" s="30" t="s">
        <v>1121</v>
      </c>
      <c r="D956" s="31" t="s">
        <v>1795</v>
      </c>
    </row>
    <row r="957" customFormat="false" ht="15" hidden="false" customHeight="true" outlineLevel="0" collapsed="false">
      <c r="A957" s="30" t="s">
        <v>1358</v>
      </c>
      <c r="B957" s="31" t="s">
        <v>1359</v>
      </c>
      <c r="C957" s="30" t="s">
        <v>1121</v>
      </c>
      <c r="D957" s="31" t="s">
        <v>1795</v>
      </c>
    </row>
    <row r="958" customFormat="false" ht="15" hidden="false" customHeight="true" outlineLevel="0" collapsed="false">
      <c r="A958" s="30" t="s">
        <v>1360</v>
      </c>
      <c r="B958" s="31" t="s">
        <v>1361</v>
      </c>
      <c r="C958" s="30" t="s">
        <v>1121</v>
      </c>
      <c r="D958" s="31" t="s">
        <v>1795</v>
      </c>
    </row>
    <row r="959" customFormat="false" ht="15" hidden="false" customHeight="true" outlineLevel="0" collapsed="false">
      <c r="A959" s="30" t="s">
        <v>1362</v>
      </c>
      <c r="B959" s="31" t="s">
        <v>1363</v>
      </c>
      <c r="C959" s="30" t="s">
        <v>1121</v>
      </c>
      <c r="D959" s="31" t="s">
        <v>1795</v>
      </c>
    </row>
    <row r="960" customFormat="false" ht="15" hidden="false" customHeight="true" outlineLevel="0" collapsed="false">
      <c r="A960" s="30" t="s">
        <v>1364</v>
      </c>
      <c r="B960" s="31" t="s">
        <v>736</v>
      </c>
      <c r="C960" s="30" t="s">
        <v>1121</v>
      </c>
      <c r="D960" s="31" t="s">
        <v>1795</v>
      </c>
    </row>
    <row r="961" customFormat="false" ht="15" hidden="false" customHeight="true" outlineLevel="0" collapsed="false">
      <c r="A961" s="30" t="s">
        <v>1365</v>
      </c>
      <c r="B961" s="31" t="s">
        <v>1366</v>
      </c>
      <c r="C961" s="30" t="s">
        <v>1121</v>
      </c>
      <c r="D961" s="31" t="s">
        <v>1795</v>
      </c>
    </row>
    <row r="962" customFormat="false" ht="15" hidden="false" customHeight="true" outlineLevel="0" collapsed="false">
      <c r="A962" s="30" t="s">
        <v>1367</v>
      </c>
      <c r="B962" s="31" t="s">
        <v>1368</v>
      </c>
      <c r="C962" s="30" t="s">
        <v>1121</v>
      </c>
      <c r="D962" s="31" t="s">
        <v>1795</v>
      </c>
    </row>
    <row r="963" customFormat="false" ht="15" hidden="false" customHeight="true" outlineLevel="0" collapsed="false">
      <c r="A963" s="30" t="s">
        <v>1369</v>
      </c>
      <c r="B963" s="31" t="s">
        <v>1370</v>
      </c>
      <c r="C963" s="30" t="s">
        <v>1121</v>
      </c>
      <c r="D963" s="31" t="s">
        <v>1795</v>
      </c>
    </row>
    <row r="964" customFormat="false" ht="15" hidden="false" customHeight="true" outlineLevel="0" collapsed="false">
      <c r="A964" s="30" t="s">
        <v>1371</v>
      </c>
      <c r="B964" s="31" t="s">
        <v>1372</v>
      </c>
      <c r="C964" s="30" t="s">
        <v>1121</v>
      </c>
      <c r="D964" s="31" t="s">
        <v>1795</v>
      </c>
    </row>
    <row r="965" customFormat="false" ht="15" hidden="false" customHeight="true" outlineLevel="0" collapsed="false">
      <c r="A965" s="30" t="s">
        <v>1373</v>
      </c>
      <c r="B965" s="31" t="s">
        <v>1374</v>
      </c>
      <c r="C965" s="30" t="s">
        <v>1121</v>
      </c>
      <c r="D965" s="31" t="s">
        <v>1795</v>
      </c>
    </row>
    <row r="966" customFormat="false" ht="15" hidden="false" customHeight="true" outlineLevel="0" collapsed="false">
      <c r="A966" s="30" t="s">
        <v>1375</v>
      </c>
      <c r="B966" s="31" t="s">
        <v>66</v>
      </c>
      <c r="C966" s="30" t="s">
        <v>1121</v>
      </c>
      <c r="D966" s="31" t="s">
        <v>1795</v>
      </c>
    </row>
    <row r="967" customFormat="false" ht="15" hidden="false" customHeight="true" outlineLevel="0" collapsed="false">
      <c r="A967" s="30" t="s">
        <v>1376</v>
      </c>
      <c r="B967" s="31" t="s">
        <v>280</v>
      </c>
      <c r="C967" s="30" t="s">
        <v>1121</v>
      </c>
      <c r="D967" s="31" t="s">
        <v>1795</v>
      </c>
    </row>
    <row r="968" customFormat="false" ht="15" hidden="false" customHeight="true" outlineLevel="0" collapsed="false">
      <c r="A968" s="30" t="s">
        <v>1377</v>
      </c>
      <c r="B968" s="31" t="s">
        <v>250</v>
      </c>
      <c r="C968" s="30" t="s">
        <v>1121</v>
      </c>
      <c r="D968" s="31" t="s">
        <v>1795</v>
      </c>
    </row>
    <row r="969" customFormat="false" ht="15" hidden="false" customHeight="true" outlineLevel="0" collapsed="false">
      <c r="A969" s="30" t="s">
        <v>1378</v>
      </c>
      <c r="B969" s="31" t="s">
        <v>66</v>
      </c>
      <c r="C969" s="30" t="s">
        <v>1121</v>
      </c>
      <c r="D969" s="31" t="s">
        <v>1795</v>
      </c>
    </row>
    <row r="970" customFormat="false" ht="15" hidden="false" customHeight="true" outlineLevel="0" collapsed="false">
      <c r="A970" s="30" t="s">
        <v>1379</v>
      </c>
      <c r="B970" s="31" t="s">
        <v>280</v>
      </c>
      <c r="C970" s="30" t="s">
        <v>1121</v>
      </c>
      <c r="D970" s="31" t="s">
        <v>1795</v>
      </c>
    </row>
    <row r="971" customFormat="false" ht="15" hidden="false" customHeight="true" outlineLevel="0" collapsed="false">
      <c r="A971" s="30" t="s">
        <v>1380</v>
      </c>
      <c r="B971" s="31" t="s">
        <v>250</v>
      </c>
      <c r="C971" s="30" t="s">
        <v>1121</v>
      </c>
      <c r="D971" s="31" t="s">
        <v>1795</v>
      </c>
    </row>
    <row r="972" customFormat="false" ht="15" hidden="false" customHeight="true" outlineLevel="0" collapsed="false">
      <c r="A972" s="30" t="s">
        <v>1381</v>
      </c>
      <c r="B972" s="31" t="s">
        <v>66</v>
      </c>
      <c r="C972" s="30" t="s">
        <v>1121</v>
      </c>
      <c r="D972" s="31" t="s">
        <v>1795</v>
      </c>
    </row>
    <row r="973" customFormat="false" ht="15" hidden="false" customHeight="true" outlineLevel="0" collapsed="false">
      <c r="A973" s="30" t="s">
        <v>1382</v>
      </c>
      <c r="B973" s="31" t="s">
        <v>280</v>
      </c>
      <c r="C973" s="30" t="s">
        <v>1121</v>
      </c>
      <c r="D973" s="31" t="s">
        <v>1795</v>
      </c>
    </row>
    <row r="974" customFormat="false" ht="15" hidden="false" customHeight="true" outlineLevel="0" collapsed="false">
      <c r="A974" s="30" t="s">
        <v>1383</v>
      </c>
      <c r="B974" s="31" t="s">
        <v>250</v>
      </c>
      <c r="C974" s="30" t="s">
        <v>1121</v>
      </c>
      <c r="D974" s="31" t="s">
        <v>1795</v>
      </c>
    </row>
    <row r="975" customFormat="false" ht="15" hidden="false" customHeight="true" outlineLevel="0" collapsed="false">
      <c r="A975" s="30" t="s">
        <v>1384</v>
      </c>
      <c r="B975" s="31" t="s">
        <v>66</v>
      </c>
      <c r="C975" s="30" t="s">
        <v>1121</v>
      </c>
      <c r="D975" s="31" t="s">
        <v>1795</v>
      </c>
    </row>
    <row r="976" customFormat="false" ht="15" hidden="false" customHeight="true" outlineLevel="0" collapsed="false">
      <c r="A976" s="30" t="s">
        <v>1385</v>
      </c>
      <c r="B976" s="31" t="s">
        <v>280</v>
      </c>
      <c r="C976" s="30" t="s">
        <v>1121</v>
      </c>
      <c r="D976" s="31" t="s">
        <v>1795</v>
      </c>
    </row>
    <row r="977" customFormat="false" ht="15" hidden="false" customHeight="true" outlineLevel="0" collapsed="false">
      <c r="A977" s="30" t="s">
        <v>1386</v>
      </c>
      <c r="B977" s="31" t="s">
        <v>250</v>
      </c>
      <c r="C977" s="30" t="s">
        <v>1121</v>
      </c>
      <c r="D977" s="31" t="s">
        <v>1795</v>
      </c>
    </row>
    <row r="978" customFormat="false" ht="15" hidden="false" customHeight="true" outlineLevel="0" collapsed="false">
      <c r="A978" s="30" t="s">
        <v>1387</v>
      </c>
      <c r="B978" s="31" t="s">
        <v>66</v>
      </c>
      <c r="C978" s="30" t="s">
        <v>1121</v>
      </c>
      <c r="D978" s="31" t="s">
        <v>1795</v>
      </c>
    </row>
    <row r="979" customFormat="false" ht="15" hidden="false" customHeight="true" outlineLevel="0" collapsed="false">
      <c r="A979" s="30" t="s">
        <v>1388</v>
      </c>
      <c r="B979" s="31" t="s">
        <v>280</v>
      </c>
      <c r="C979" s="30" t="s">
        <v>1121</v>
      </c>
      <c r="D979" s="31" t="s">
        <v>1795</v>
      </c>
    </row>
    <row r="980" customFormat="false" ht="15" hidden="false" customHeight="true" outlineLevel="0" collapsed="false">
      <c r="A980" s="30" t="s">
        <v>1389</v>
      </c>
      <c r="B980" s="31" t="s">
        <v>66</v>
      </c>
      <c r="C980" s="30" t="s">
        <v>1121</v>
      </c>
      <c r="D980" s="31" t="s">
        <v>1795</v>
      </c>
    </row>
    <row r="981" customFormat="false" ht="15" hidden="false" customHeight="true" outlineLevel="0" collapsed="false">
      <c r="A981" s="30" t="s">
        <v>1390</v>
      </c>
      <c r="B981" s="31" t="s">
        <v>280</v>
      </c>
      <c r="C981" s="30" t="s">
        <v>1121</v>
      </c>
      <c r="D981" s="31" t="s">
        <v>1795</v>
      </c>
    </row>
    <row r="982" customFormat="false" ht="15" hidden="false" customHeight="true" outlineLevel="0" collapsed="false">
      <c r="A982" s="30" t="s">
        <v>1391</v>
      </c>
      <c r="B982" s="31" t="s">
        <v>66</v>
      </c>
      <c r="C982" s="30" t="s">
        <v>1121</v>
      </c>
      <c r="D982" s="31" t="s">
        <v>1795</v>
      </c>
    </row>
    <row r="983" customFormat="false" ht="15" hidden="false" customHeight="true" outlineLevel="0" collapsed="false">
      <c r="A983" s="30" t="s">
        <v>1392</v>
      </c>
      <c r="B983" s="31" t="s">
        <v>280</v>
      </c>
      <c r="C983" s="30" t="s">
        <v>1121</v>
      </c>
      <c r="D983" s="31" t="s">
        <v>1795</v>
      </c>
    </row>
    <row r="984" customFormat="false" ht="15" hidden="false" customHeight="true" outlineLevel="0" collapsed="false">
      <c r="A984" s="30" t="s">
        <v>1393</v>
      </c>
      <c r="B984" s="31" t="s">
        <v>66</v>
      </c>
      <c r="C984" s="30" t="s">
        <v>1121</v>
      </c>
      <c r="D984" s="31" t="s">
        <v>1795</v>
      </c>
    </row>
    <row r="985" customFormat="false" ht="15" hidden="false" customHeight="true" outlineLevel="0" collapsed="false">
      <c r="A985" s="30" t="s">
        <v>1394</v>
      </c>
      <c r="B985" s="31" t="s">
        <v>280</v>
      </c>
      <c r="C985" s="30" t="s">
        <v>1121</v>
      </c>
      <c r="D985" s="31" t="s">
        <v>1795</v>
      </c>
    </row>
    <row r="986" customFormat="false" ht="15" hidden="false" customHeight="true" outlineLevel="0" collapsed="false">
      <c r="A986" s="30" t="s">
        <v>1395</v>
      </c>
      <c r="B986" s="31" t="s">
        <v>66</v>
      </c>
      <c r="C986" s="30" t="s">
        <v>1121</v>
      </c>
      <c r="D986" s="31" t="s">
        <v>1795</v>
      </c>
    </row>
    <row r="987" customFormat="false" ht="15" hidden="false" customHeight="true" outlineLevel="0" collapsed="false">
      <c r="A987" s="30" t="s">
        <v>1396</v>
      </c>
      <c r="B987" s="31" t="s">
        <v>280</v>
      </c>
      <c r="C987" s="30" t="s">
        <v>1121</v>
      </c>
      <c r="D987" s="31" t="s">
        <v>1795</v>
      </c>
    </row>
    <row r="988" customFormat="false" ht="15" hidden="false" customHeight="true" outlineLevel="0" collapsed="false">
      <c r="A988" s="30" t="s">
        <v>1397</v>
      </c>
      <c r="B988" s="31" t="s">
        <v>387</v>
      </c>
      <c r="C988" s="30" t="s">
        <v>1121</v>
      </c>
      <c r="D988" s="31" t="s">
        <v>1795</v>
      </c>
    </row>
    <row r="989" customFormat="false" ht="15" hidden="false" customHeight="true" outlineLevel="0" collapsed="false">
      <c r="A989" s="30" t="s">
        <v>1398</v>
      </c>
      <c r="B989" s="31" t="s">
        <v>66</v>
      </c>
      <c r="C989" s="30" t="s">
        <v>1121</v>
      </c>
      <c r="D989" s="31" t="s">
        <v>1795</v>
      </c>
    </row>
    <row r="990" customFormat="false" ht="15" hidden="false" customHeight="true" outlineLevel="0" collapsed="false">
      <c r="A990" s="30" t="s">
        <v>1399</v>
      </c>
      <c r="B990" s="31" t="s">
        <v>280</v>
      </c>
      <c r="C990" s="30" t="s">
        <v>1121</v>
      </c>
      <c r="D990" s="31" t="s">
        <v>1795</v>
      </c>
    </row>
    <row r="991" customFormat="false" ht="15" hidden="false" customHeight="true" outlineLevel="0" collapsed="false">
      <c r="A991" s="30" t="s">
        <v>1400</v>
      </c>
      <c r="B991" s="31" t="s">
        <v>763</v>
      </c>
      <c r="C991" s="30" t="s">
        <v>1121</v>
      </c>
      <c r="D991" s="31" t="s">
        <v>1795</v>
      </c>
    </row>
    <row r="992" customFormat="false" ht="15" hidden="false" customHeight="true" outlineLevel="0" collapsed="false">
      <c r="A992" s="30" t="s">
        <v>1401</v>
      </c>
      <c r="B992" s="31" t="s">
        <v>374</v>
      </c>
      <c r="C992" s="30" t="s">
        <v>1121</v>
      </c>
      <c r="D992" s="31" t="s">
        <v>1795</v>
      </c>
    </row>
    <row r="993" customFormat="false" ht="15" hidden="false" customHeight="true" outlineLevel="0" collapsed="false">
      <c r="A993" s="30" t="s">
        <v>1402</v>
      </c>
      <c r="B993" s="31" t="s">
        <v>381</v>
      </c>
      <c r="C993" s="30" t="s">
        <v>1121</v>
      </c>
      <c r="D993" s="31" t="s">
        <v>1795</v>
      </c>
    </row>
    <row r="994" customFormat="false" ht="15" hidden="false" customHeight="true" outlineLevel="0" collapsed="false">
      <c r="A994" s="30" t="s">
        <v>1403</v>
      </c>
      <c r="B994" s="31" t="s">
        <v>383</v>
      </c>
      <c r="C994" s="30" t="s">
        <v>1121</v>
      </c>
      <c r="D994" s="31" t="s">
        <v>1795</v>
      </c>
    </row>
    <row r="995" customFormat="false" ht="15" hidden="false" customHeight="true" outlineLevel="0" collapsed="false">
      <c r="A995" s="30" t="s">
        <v>1404</v>
      </c>
      <c r="B995" s="31" t="s">
        <v>385</v>
      </c>
      <c r="C995" s="30" t="s">
        <v>1121</v>
      </c>
      <c r="D995" s="31" t="s">
        <v>1795</v>
      </c>
    </row>
    <row r="996" customFormat="false" ht="15" hidden="false" customHeight="true" outlineLevel="0" collapsed="false">
      <c r="A996" s="30" t="s">
        <v>1405</v>
      </c>
      <c r="B996" s="31" t="s">
        <v>387</v>
      </c>
      <c r="C996" s="30" t="s">
        <v>1121</v>
      </c>
      <c r="D996" s="31" t="s">
        <v>1795</v>
      </c>
    </row>
    <row r="997" customFormat="false" ht="15" hidden="false" customHeight="true" outlineLevel="0" collapsed="false">
      <c r="A997" s="30" t="s">
        <v>1406</v>
      </c>
      <c r="B997" s="31" t="s">
        <v>389</v>
      </c>
      <c r="C997" s="30" t="s">
        <v>1121</v>
      </c>
      <c r="D997" s="31" t="s">
        <v>1795</v>
      </c>
    </row>
    <row r="998" customFormat="false" ht="15" hidden="false" customHeight="true" outlineLevel="0" collapsed="false">
      <c r="A998" s="30" t="s">
        <v>1407</v>
      </c>
      <c r="B998" s="31" t="s">
        <v>763</v>
      </c>
      <c r="C998" s="30" t="s">
        <v>1121</v>
      </c>
      <c r="D998" s="31" t="s">
        <v>1795</v>
      </c>
    </row>
    <row r="999" customFormat="false" ht="15" hidden="false" customHeight="true" outlineLevel="0" collapsed="false">
      <c r="A999" s="30" t="s">
        <v>1408</v>
      </c>
      <c r="B999" s="31" t="s">
        <v>374</v>
      </c>
      <c r="C999" s="30" t="s">
        <v>1121</v>
      </c>
      <c r="D999" s="31" t="s">
        <v>1795</v>
      </c>
    </row>
    <row r="1000" customFormat="false" ht="15" hidden="false" customHeight="true" outlineLevel="0" collapsed="false">
      <c r="A1000" s="30" t="s">
        <v>1409</v>
      </c>
      <c r="B1000" s="31" t="s">
        <v>381</v>
      </c>
      <c r="C1000" s="30" t="s">
        <v>1121</v>
      </c>
      <c r="D1000" s="31" t="s">
        <v>1795</v>
      </c>
    </row>
    <row r="1001" customFormat="false" ht="15" hidden="false" customHeight="true" outlineLevel="0" collapsed="false">
      <c r="A1001" s="30" t="s">
        <v>1410</v>
      </c>
      <c r="B1001" s="31" t="s">
        <v>383</v>
      </c>
      <c r="C1001" s="30" t="s">
        <v>1121</v>
      </c>
      <c r="D1001" s="31" t="s">
        <v>1795</v>
      </c>
    </row>
    <row r="1002" customFormat="false" ht="15" hidden="false" customHeight="true" outlineLevel="0" collapsed="false">
      <c r="A1002" s="30" t="s">
        <v>1411</v>
      </c>
      <c r="B1002" s="31" t="s">
        <v>385</v>
      </c>
      <c r="C1002" s="30" t="s">
        <v>1121</v>
      </c>
      <c r="D1002" s="31" t="s">
        <v>1795</v>
      </c>
    </row>
    <row r="1003" customFormat="false" ht="15" hidden="false" customHeight="true" outlineLevel="0" collapsed="false">
      <c r="A1003" s="30" t="s">
        <v>1412</v>
      </c>
      <c r="B1003" s="31" t="s">
        <v>387</v>
      </c>
      <c r="C1003" s="30" t="s">
        <v>1121</v>
      </c>
      <c r="D1003" s="31" t="s">
        <v>1795</v>
      </c>
    </row>
    <row r="1004" customFormat="false" ht="15" hidden="false" customHeight="true" outlineLevel="0" collapsed="false">
      <c r="A1004" s="30" t="s">
        <v>1413</v>
      </c>
      <c r="B1004" s="31" t="s">
        <v>389</v>
      </c>
      <c r="C1004" s="30" t="s">
        <v>1121</v>
      </c>
      <c r="D1004" s="31" t="s">
        <v>1795</v>
      </c>
    </row>
    <row r="1005" customFormat="false" ht="15" hidden="false" customHeight="true" outlineLevel="0" collapsed="false">
      <c r="A1005" s="30" t="s">
        <v>1414</v>
      </c>
      <c r="B1005" s="31" t="s">
        <v>763</v>
      </c>
      <c r="C1005" s="30" t="s">
        <v>1121</v>
      </c>
      <c r="D1005" s="31" t="s">
        <v>1795</v>
      </c>
    </row>
    <row r="1006" customFormat="false" ht="15" hidden="false" customHeight="true" outlineLevel="0" collapsed="false">
      <c r="A1006" s="30" t="s">
        <v>1415</v>
      </c>
      <c r="B1006" s="31" t="s">
        <v>374</v>
      </c>
      <c r="C1006" s="30" t="s">
        <v>1121</v>
      </c>
      <c r="D1006" s="31" t="s">
        <v>1795</v>
      </c>
    </row>
    <row r="1007" customFormat="false" ht="15" hidden="false" customHeight="true" outlineLevel="0" collapsed="false">
      <c r="A1007" s="30" t="s">
        <v>1416</v>
      </c>
      <c r="B1007" s="31" t="s">
        <v>381</v>
      </c>
      <c r="C1007" s="30" t="s">
        <v>1121</v>
      </c>
      <c r="D1007" s="31" t="s">
        <v>1795</v>
      </c>
    </row>
    <row r="1008" customFormat="false" ht="15" hidden="false" customHeight="true" outlineLevel="0" collapsed="false">
      <c r="A1008" s="30" t="s">
        <v>1417</v>
      </c>
      <c r="B1008" s="31" t="s">
        <v>1418</v>
      </c>
      <c r="C1008" s="30" t="s">
        <v>1121</v>
      </c>
      <c r="D1008" s="31" t="s">
        <v>1795</v>
      </c>
    </row>
    <row r="1009" customFormat="false" ht="15" hidden="false" customHeight="true" outlineLevel="0" collapsed="false">
      <c r="A1009" s="30" t="s">
        <v>1419</v>
      </c>
      <c r="B1009" s="31" t="s">
        <v>1420</v>
      </c>
      <c r="C1009" s="30" t="s">
        <v>1121</v>
      </c>
      <c r="D1009" s="31" t="s">
        <v>1795</v>
      </c>
    </row>
    <row r="1010" customFormat="false" ht="15" hidden="false" customHeight="true" outlineLevel="0" collapsed="false">
      <c r="A1010" s="30" t="s">
        <v>1421</v>
      </c>
      <c r="B1010" s="31" t="s">
        <v>1418</v>
      </c>
      <c r="C1010" s="30" t="s">
        <v>1121</v>
      </c>
      <c r="D1010" s="31" t="s">
        <v>1795</v>
      </c>
    </row>
    <row r="1011" customFormat="false" ht="15" hidden="false" customHeight="true" outlineLevel="0" collapsed="false">
      <c r="A1011" s="30" t="s">
        <v>1422</v>
      </c>
      <c r="B1011" s="31" t="s">
        <v>1420</v>
      </c>
      <c r="C1011" s="30" t="s">
        <v>1121</v>
      </c>
      <c r="D1011" s="31" t="s">
        <v>1795</v>
      </c>
    </row>
    <row r="1012" customFormat="false" ht="15" hidden="false" customHeight="true" outlineLevel="0" collapsed="false">
      <c r="A1012" s="30" t="s">
        <v>1423</v>
      </c>
      <c r="B1012" s="31" t="s">
        <v>391</v>
      </c>
      <c r="C1012" s="30" t="s">
        <v>1121</v>
      </c>
      <c r="D1012" s="31" t="s">
        <v>1795</v>
      </c>
    </row>
    <row r="1013" customFormat="false" ht="15" hidden="false" customHeight="true" outlineLevel="0" collapsed="false">
      <c r="A1013" s="30" t="s">
        <v>1424</v>
      </c>
      <c r="B1013" s="31" t="s">
        <v>393</v>
      </c>
      <c r="C1013" s="30" t="s">
        <v>1121</v>
      </c>
      <c r="D1013" s="31" t="s">
        <v>1795</v>
      </c>
    </row>
    <row r="1014" customFormat="false" ht="15" hidden="false" customHeight="true" outlineLevel="0" collapsed="false">
      <c r="A1014" s="30" t="s">
        <v>1425</v>
      </c>
      <c r="B1014" s="31" t="s">
        <v>395</v>
      </c>
      <c r="C1014" s="30" t="s">
        <v>1121</v>
      </c>
      <c r="D1014" s="31" t="s">
        <v>1795</v>
      </c>
    </row>
    <row r="1015" customFormat="false" ht="15" hidden="false" customHeight="true" outlineLevel="0" collapsed="false">
      <c r="A1015" s="30" t="s">
        <v>1426</v>
      </c>
      <c r="B1015" s="31" t="s">
        <v>397</v>
      </c>
      <c r="C1015" s="30" t="s">
        <v>1121</v>
      </c>
      <c r="D1015" s="31" t="s">
        <v>1795</v>
      </c>
    </row>
    <row r="1016" customFormat="false" ht="15" hidden="false" customHeight="true" outlineLevel="0" collapsed="false">
      <c r="A1016" s="30" t="s">
        <v>1427</v>
      </c>
      <c r="B1016" s="31" t="s">
        <v>399</v>
      </c>
      <c r="C1016" s="30" t="s">
        <v>1121</v>
      </c>
      <c r="D1016" s="31" t="s">
        <v>1795</v>
      </c>
    </row>
    <row r="1017" customFormat="false" ht="15" hidden="false" customHeight="true" outlineLevel="0" collapsed="false">
      <c r="A1017" s="30" t="s">
        <v>1428</v>
      </c>
      <c r="B1017" s="31" t="s">
        <v>401</v>
      </c>
      <c r="C1017" s="30" t="s">
        <v>1121</v>
      </c>
      <c r="D1017" s="31" t="s">
        <v>1795</v>
      </c>
    </row>
    <row r="1018" customFormat="false" ht="15" hidden="false" customHeight="true" outlineLevel="0" collapsed="false">
      <c r="A1018" s="30" t="s">
        <v>1429</v>
      </c>
      <c r="B1018" s="31" t="s">
        <v>391</v>
      </c>
      <c r="C1018" s="30" t="s">
        <v>1121</v>
      </c>
      <c r="D1018" s="31" t="s">
        <v>1795</v>
      </c>
    </row>
    <row r="1019" customFormat="false" ht="15" hidden="false" customHeight="true" outlineLevel="0" collapsed="false">
      <c r="A1019" s="30" t="s">
        <v>1430</v>
      </c>
      <c r="B1019" s="31" t="s">
        <v>393</v>
      </c>
      <c r="C1019" s="30" t="s">
        <v>1121</v>
      </c>
      <c r="D1019" s="31" t="s">
        <v>1795</v>
      </c>
    </row>
    <row r="1020" customFormat="false" ht="15" hidden="false" customHeight="true" outlineLevel="0" collapsed="false">
      <c r="A1020" s="30" t="s">
        <v>1431</v>
      </c>
      <c r="B1020" s="31" t="s">
        <v>395</v>
      </c>
      <c r="C1020" s="30" t="s">
        <v>1121</v>
      </c>
      <c r="D1020" s="31" t="s">
        <v>1795</v>
      </c>
    </row>
    <row r="1021" customFormat="false" ht="15" hidden="false" customHeight="true" outlineLevel="0" collapsed="false">
      <c r="A1021" s="30" t="s">
        <v>1432</v>
      </c>
      <c r="B1021" s="31" t="s">
        <v>397</v>
      </c>
      <c r="C1021" s="30" t="s">
        <v>1121</v>
      </c>
      <c r="D1021" s="31" t="s">
        <v>1795</v>
      </c>
    </row>
    <row r="1022" customFormat="false" ht="15" hidden="false" customHeight="true" outlineLevel="0" collapsed="false">
      <c r="A1022" s="30" t="s">
        <v>1433</v>
      </c>
      <c r="B1022" s="31" t="s">
        <v>399</v>
      </c>
      <c r="C1022" s="30" t="s">
        <v>1121</v>
      </c>
      <c r="D1022" s="31" t="s">
        <v>1795</v>
      </c>
    </row>
    <row r="1023" customFormat="false" ht="15" hidden="false" customHeight="true" outlineLevel="0" collapsed="false">
      <c r="A1023" s="30" t="s">
        <v>1434</v>
      </c>
      <c r="B1023" s="31" t="s">
        <v>401</v>
      </c>
      <c r="C1023" s="30" t="s">
        <v>1121</v>
      </c>
      <c r="D1023" s="31" t="s">
        <v>1795</v>
      </c>
    </row>
    <row r="1024" customFormat="false" ht="15" hidden="false" customHeight="true" outlineLevel="0" collapsed="false">
      <c r="A1024" s="30" t="s">
        <v>1435</v>
      </c>
      <c r="B1024" s="31" t="s">
        <v>1436</v>
      </c>
      <c r="C1024" s="30" t="s">
        <v>1121</v>
      </c>
      <c r="D1024" s="31" t="s">
        <v>1795</v>
      </c>
    </row>
    <row r="1025" customFormat="false" ht="15" hidden="false" customHeight="true" outlineLevel="0" collapsed="false">
      <c r="A1025" s="30" t="s">
        <v>1437</v>
      </c>
      <c r="B1025" s="31" t="s">
        <v>1438</v>
      </c>
      <c r="C1025" s="30" t="s">
        <v>1121</v>
      </c>
      <c r="D1025" s="31" t="s">
        <v>1795</v>
      </c>
    </row>
    <row r="1026" customFormat="false" ht="15" hidden="false" customHeight="true" outlineLevel="0" collapsed="false">
      <c r="A1026" s="30" t="s">
        <v>1439</v>
      </c>
      <c r="B1026" s="31" t="s">
        <v>1440</v>
      </c>
      <c r="C1026" s="30" t="s">
        <v>1121</v>
      </c>
      <c r="D1026" s="31" t="s">
        <v>1795</v>
      </c>
    </row>
    <row r="1027" customFormat="false" ht="15" hidden="false" customHeight="true" outlineLevel="0" collapsed="false">
      <c r="A1027" s="30" t="s">
        <v>1441</v>
      </c>
      <c r="B1027" s="31" t="s">
        <v>1442</v>
      </c>
      <c r="C1027" s="30" t="s">
        <v>1121</v>
      </c>
      <c r="D1027" s="31" t="s">
        <v>1795</v>
      </c>
    </row>
    <row r="1028" customFormat="false" ht="15" hidden="false" customHeight="true" outlineLevel="0" collapsed="false">
      <c r="A1028" s="30" t="s">
        <v>1443</v>
      </c>
      <c r="B1028" s="31" t="s">
        <v>1444</v>
      </c>
      <c r="C1028" s="30" t="s">
        <v>1121</v>
      </c>
      <c r="D1028" s="31" t="s">
        <v>1795</v>
      </c>
    </row>
    <row r="1029" customFormat="false" ht="15" hidden="false" customHeight="true" outlineLevel="0" collapsed="false">
      <c r="A1029" s="30" t="s">
        <v>1445</v>
      </c>
      <c r="B1029" s="31" t="s">
        <v>1446</v>
      </c>
      <c r="C1029" s="30" t="s">
        <v>1121</v>
      </c>
      <c r="D1029" s="31" t="s">
        <v>1795</v>
      </c>
    </row>
    <row r="1030" customFormat="false" ht="15" hidden="false" customHeight="true" outlineLevel="0" collapsed="false">
      <c r="A1030" s="30" t="s">
        <v>1447</v>
      </c>
      <c r="B1030" s="31" t="s">
        <v>1448</v>
      </c>
      <c r="C1030" s="30" t="s">
        <v>1121</v>
      </c>
      <c r="D1030" s="31" t="s">
        <v>1795</v>
      </c>
    </row>
    <row r="1031" customFormat="false" ht="15" hidden="false" customHeight="true" outlineLevel="0" collapsed="false">
      <c r="A1031" s="30" t="s">
        <v>1449</v>
      </c>
      <c r="B1031" s="31" t="s">
        <v>374</v>
      </c>
      <c r="C1031" s="30" t="s">
        <v>1121</v>
      </c>
      <c r="D1031" s="31" t="s">
        <v>1795</v>
      </c>
    </row>
    <row r="1032" customFormat="false" ht="15" hidden="false" customHeight="true" outlineLevel="0" collapsed="false">
      <c r="A1032" s="30" t="s">
        <v>1450</v>
      </c>
      <c r="B1032" s="31" t="s">
        <v>1451</v>
      </c>
      <c r="C1032" s="30" t="s">
        <v>1121</v>
      </c>
      <c r="D1032" s="31" t="s">
        <v>1795</v>
      </c>
    </row>
    <row r="1033" customFormat="false" ht="15" hidden="false" customHeight="true" outlineLevel="0" collapsed="false">
      <c r="A1033" s="30" t="s">
        <v>1452</v>
      </c>
      <c r="B1033" s="31" t="s">
        <v>368</v>
      </c>
      <c r="C1033" s="30" t="s">
        <v>1121</v>
      </c>
      <c r="D1033" s="31" t="s">
        <v>1795</v>
      </c>
    </row>
    <row r="1034" customFormat="false" ht="15" hidden="false" customHeight="true" outlineLevel="0" collapsed="false">
      <c r="A1034" s="30" t="s">
        <v>1453</v>
      </c>
      <c r="B1034" s="31" t="s">
        <v>370</v>
      </c>
      <c r="C1034" s="30" t="s">
        <v>1121</v>
      </c>
      <c r="D1034" s="31" t="s">
        <v>1795</v>
      </c>
    </row>
    <row r="1035" customFormat="false" ht="15" hidden="false" customHeight="true" outlineLevel="0" collapsed="false">
      <c r="A1035" s="30" t="s">
        <v>1454</v>
      </c>
      <c r="B1035" s="31" t="s">
        <v>372</v>
      </c>
      <c r="C1035" s="30" t="s">
        <v>1121</v>
      </c>
      <c r="D1035" s="31" t="s">
        <v>1795</v>
      </c>
    </row>
    <row r="1036" customFormat="false" ht="15" hidden="false" customHeight="true" outlineLevel="0" collapsed="false">
      <c r="A1036" s="30" t="s">
        <v>1455</v>
      </c>
      <c r="B1036" s="31" t="s">
        <v>374</v>
      </c>
      <c r="C1036" s="30" t="s">
        <v>1121</v>
      </c>
      <c r="D1036" s="31" t="s">
        <v>1795</v>
      </c>
    </row>
    <row r="1037" customFormat="false" ht="15" hidden="false" customHeight="true" outlineLevel="0" collapsed="false">
      <c r="A1037" s="30" t="s">
        <v>1456</v>
      </c>
      <c r="B1037" s="31" t="s">
        <v>381</v>
      </c>
      <c r="C1037" s="30" t="s">
        <v>1121</v>
      </c>
      <c r="D1037" s="31" t="s">
        <v>1795</v>
      </c>
    </row>
    <row r="1038" customFormat="false" ht="15" hidden="false" customHeight="true" outlineLevel="0" collapsed="false">
      <c r="A1038" s="30" t="s">
        <v>1457</v>
      </c>
      <c r="B1038" s="31" t="s">
        <v>383</v>
      </c>
      <c r="C1038" s="30" t="s">
        <v>1121</v>
      </c>
      <c r="D1038" s="31" t="s">
        <v>1795</v>
      </c>
    </row>
    <row r="1039" customFormat="false" ht="15" hidden="false" customHeight="true" outlineLevel="0" collapsed="false">
      <c r="A1039" s="30" t="s">
        <v>1458</v>
      </c>
      <c r="B1039" s="31" t="s">
        <v>385</v>
      </c>
      <c r="C1039" s="30" t="s">
        <v>1121</v>
      </c>
      <c r="D1039" s="31" t="s">
        <v>1795</v>
      </c>
    </row>
    <row r="1040" customFormat="false" ht="15" hidden="false" customHeight="true" outlineLevel="0" collapsed="false">
      <c r="A1040" s="30" t="s">
        <v>1459</v>
      </c>
      <c r="B1040" s="31" t="s">
        <v>387</v>
      </c>
      <c r="C1040" s="30" t="s">
        <v>1121</v>
      </c>
      <c r="D1040" s="31" t="s">
        <v>1795</v>
      </c>
    </row>
    <row r="1041" customFormat="false" ht="15" hidden="false" customHeight="true" outlineLevel="0" collapsed="false">
      <c r="A1041" s="30" t="s">
        <v>1460</v>
      </c>
      <c r="B1041" s="31" t="s">
        <v>389</v>
      </c>
      <c r="C1041" s="30" t="s">
        <v>1121</v>
      </c>
      <c r="D1041" s="31" t="s">
        <v>1795</v>
      </c>
    </row>
    <row r="1042" customFormat="false" ht="15" hidden="false" customHeight="true" outlineLevel="0" collapsed="false">
      <c r="A1042" s="30" t="s">
        <v>1461</v>
      </c>
      <c r="B1042" s="31" t="s">
        <v>368</v>
      </c>
      <c r="C1042" s="30" t="s">
        <v>1121</v>
      </c>
      <c r="D1042" s="31" t="s">
        <v>1795</v>
      </c>
    </row>
    <row r="1043" customFormat="false" ht="15" hidden="false" customHeight="true" outlineLevel="0" collapsed="false">
      <c r="A1043" s="30" t="s">
        <v>1462</v>
      </c>
      <c r="B1043" s="31" t="s">
        <v>370</v>
      </c>
      <c r="C1043" s="30" t="s">
        <v>1121</v>
      </c>
      <c r="D1043" s="31" t="s">
        <v>1795</v>
      </c>
    </row>
    <row r="1044" customFormat="false" ht="15" hidden="false" customHeight="true" outlineLevel="0" collapsed="false">
      <c r="A1044" s="30" t="s">
        <v>1463</v>
      </c>
      <c r="B1044" s="31" t="s">
        <v>372</v>
      </c>
      <c r="C1044" s="30" t="s">
        <v>1121</v>
      </c>
      <c r="D1044" s="31" t="s">
        <v>1795</v>
      </c>
    </row>
    <row r="1045" customFormat="false" ht="15" hidden="false" customHeight="true" outlineLevel="0" collapsed="false">
      <c r="A1045" s="30" t="s">
        <v>1464</v>
      </c>
      <c r="B1045" s="31" t="s">
        <v>374</v>
      </c>
      <c r="C1045" s="30" t="s">
        <v>1121</v>
      </c>
      <c r="D1045" s="31" t="s">
        <v>1795</v>
      </c>
    </row>
    <row r="1046" customFormat="false" ht="15" hidden="false" customHeight="true" outlineLevel="0" collapsed="false">
      <c r="A1046" s="30" t="s">
        <v>1465</v>
      </c>
      <c r="B1046" s="31" t="s">
        <v>381</v>
      </c>
      <c r="C1046" s="30" t="s">
        <v>1121</v>
      </c>
      <c r="D1046" s="31" t="s">
        <v>1795</v>
      </c>
    </row>
    <row r="1047" customFormat="false" ht="15" hidden="false" customHeight="true" outlineLevel="0" collapsed="false">
      <c r="A1047" s="30" t="s">
        <v>1466</v>
      </c>
      <c r="B1047" s="31" t="s">
        <v>383</v>
      </c>
      <c r="C1047" s="30" t="s">
        <v>1121</v>
      </c>
      <c r="D1047" s="31" t="s">
        <v>1795</v>
      </c>
    </row>
    <row r="1048" customFormat="false" ht="15" hidden="false" customHeight="true" outlineLevel="0" collapsed="false">
      <c r="A1048" s="30" t="s">
        <v>1467</v>
      </c>
      <c r="B1048" s="31" t="s">
        <v>385</v>
      </c>
      <c r="C1048" s="30" t="s">
        <v>1121</v>
      </c>
      <c r="D1048" s="31" t="s">
        <v>1795</v>
      </c>
    </row>
    <row r="1049" customFormat="false" ht="15" hidden="false" customHeight="true" outlineLevel="0" collapsed="false">
      <c r="A1049" s="30" t="s">
        <v>1468</v>
      </c>
      <c r="B1049" s="31" t="s">
        <v>387</v>
      </c>
      <c r="C1049" s="30" t="s">
        <v>1121</v>
      </c>
      <c r="D1049" s="31" t="s">
        <v>1795</v>
      </c>
    </row>
    <row r="1050" customFormat="false" ht="15" hidden="false" customHeight="true" outlineLevel="0" collapsed="false">
      <c r="A1050" s="30" t="s">
        <v>1469</v>
      </c>
      <c r="B1050" s="31" t="s">
        <v>389</v>
      </c>
      <c r="C1050" s="30" t="s">
        <v>1121</v>
      </c>
      <c r="D1050" s="31" t="s">
        <v>1795</v>
      </c>
    </row>
    <row r="1051" customFormat="false" ht="15" hidden="false" customHeight="true" outlineLevel="0" collapsed="false">
      <c r="A1051" s="30" t="s">
        <v>1470</v>
      </c>
      <c r="B1051" s="31" t="s">
        <v>391</v>
      </c>
      <c r="C1051" s="30" t="s">
        <v>1121</v>
      </c>
      <c r="D1051" s="31" t="s">
        <v>1795</v>
      </c>
    </row>
    <row r="1052" customFormat="false" ht="15" hidden="false" customHeight="true" outlineLevel="0" collapsed="false">
      <c r="A1052" s="30" t="s">
        <v>1471</v>
      </c>
      <c r="B1052" s="31" t="s">
        <v>393</v>
      </c>
      <c r="C1052" s="30" t="s">
        <v>1121</v>
      </c>
      <c r="D1052" s="31" t="s">
        <v>1795</v>
      </c>
    </row>
    <row r="1053" customFormat="false" ht="15" hidden="false" customHeight="true" outlineLevel="0" collapsed="false">
      <c r="A1053" s="30" t="s">
        <v>1472</v>
      </c>
      <c r="B1053" s="31" t="s">
        <v>395</v>
      </c>
      <c r="C1053" s="30" t="s">
        <v>1121</v>
      </c>
      <c r="D1053" s="31" t="s">
        <v>1795</v>
      </c>
    </row>
    <row r="1054" customFormat="false" ht="15" hidden="false" customHeight="true" outlineLevel="0" collapsed="false">
      <c r="A1054" s="30" t="s">
        <v>1473</v>
      </c>
      <c r="B1054" s="31" t="s">
        <v>397</v>
      </c>
      <c r="C1054" s="30" t="s">
        <v>1121</v>
      </c>
      <c r="D1054" s="31" t="s">
        <v>1795</v>
      </c>
    </row>
    <row r="1055" customFormat="false" ht="15" hidden="false" customHeight="true" outlineLevel="0" collapsed="false">
      <c r="A1055" s="30" t="s">
        <v>1474</v>
      </c>
      <c r="B1055" s="31" t="s">
        <v>399</v>
      </c>
      <c r="C1055" s="30" t="s">
        <v>1121</v>
      </c>
      <c r="D1055" s="31" t="s">
        <v>1795</v>
      </c>
    </row>
    <row r="1056" customFormat="false" ht="15" hidden="false" customHeight="true" outlineLevel="0" collapsed="false">
      <c r="A1056" s="30" t="s">
        <v>1475</v>
      </c>
      <c r="B1056" s="31" t="s">
        <v>401</v>
      </c>
      <c r="C1056" s="30" t="s">
        <v>1121</v>
      </c>
      <c r="D1056" s="31" t="s">
        <v>1795</v>
      </c>
    </row>
    <row r="1057" customFormat="false" ht="15" hidden="false" customHeight="true" outlineLevel="0" collapsed="false">
      <c r="A1057" s="30" t="s">
        <v>1476</v>
      </c>
      <c r="B1057" s="31" t="s">
        <v>602</v>
      </c>
      <c r="C1057" s="30" t="s">
        <v>1121</v>
      </c>
      <c r="D1057" s="31" t="s">
        <v>1795</v>
      </c>
    </row>
    <row r="1058" customFormat="false" ht="15" hidden="false" customHeight="true" outlineLevel="0" collapsed="false">
      <c r="A1058" s="30" t="s">
        <v>1477</v>
      </c>
      <c r="B1058" s="31" t="s">
        <v>1418</v>
      </c>
      <c r="C1058" s="30" t="s">
        <v>1121</v>
      </c>
      <c r="D1058" s="31" t="s">
        <v>1795</v>
      </c>
    </row>
    <row r="1059" customFormat="false" ht="15" hidden="false" customHeight="true" outlineLevel="0" collapsed="false">
      <c r="A1059" s="30" t="s">
        <v>1478</v>
      </c>
      <c r="B1059" s="31" t="s">
        <v>1420</v>
      </c>
      <c r="C1059" s="30" t="s">
        <v>1121</v>
      </c>
      <c r="D1059" s="31" t="s">
        <v>1795</v>
      </c>
    </row>
    <row r="1060" customFormat="false" ht="15" hidden="false" customHeight="true" outlineLevel="0" collapsed="false">
      <c r="A1060" s="30" t="s">
        <v>1479</v>
      </c>
      <c r="B1060" s="31" t="s">
        <v>1480</v>
      </c>
      <c r="C1060" s="30" t="s">
        <v>1121</v>
      </c>
      <c r="D1060" s="31" t="s">
        <v>1795</v>
      </c>
    </row>
    <row r="1061" customFormat="false" ht="15" hidden="false" customHeight="true" outlineLevel="0" collapsed="false">
      <c r="A1061" s="30" t="s">
        <v>1481</v>
      </c>
      <c r="B1061" s="31" t="s">
        <v>1482</v>
      </c>
      <c r="C1061" s="30" t="s">
        <v>1121</v>
      </c>
      <c r="D1061" s="31" t="s">
        <v>1795</v>
      </c>
    </row>
    <row r="1062" customFormat="false" ht="15" hidden="false" customHeight="true" outlineLevel="0" collapsed="false">
      <c r="A1062" s="30" t="s">
        <v>1483</v>
      </c>
      <c r="B1062" s="31" t="s">
        <v>1484</v>
      </c>
      <c r="C1062" s="30" t="s">
        <v>1121</v>
      </c>
      <c r="D1062" s="31" t="s">
        <v>1795</v>
      </c>
    </row>
    <row r="1063" customFormat="false" ht="15" hidden="false" customHeight="true" outlineLevel="0" collapsed="false">
      <c r="A1063" s="30" t="s">
        <v>1485</v>
      </c>
      <c r="B1063" s="31" t="s">
        <v>1486</v>
      </c>
      <c r="C1063" s="30" t="s">
        <v>1121</v>
      </c>
      <c r="D1063" s="31" t="s">
        <v>1795</v>
      </c>
    </row>
    <row r="1064" customFormat="false" ht="15" hidden="false" customHeight="true" outlineLevel="0" collapsed="false">
      <c r="A1064" s="30" t="s">
        <v>1487</v>
      </c>
      <c r="B1064" s="31" t="s">
        <v>1028</v>
      </c>
      <c r="C1064" s="30" t="s">
        <v>1121</v>
      </c>
      <c r="D1064" s="31" t="s">
        <v>1795</v>
      </c>
    </row>
    <row r="1065" customFormat="false" ht="15" hidden="false" customHeight="true" outlineLevel="0" collapsed="false">
      <c r="A1065" s="30" t="s">
        <v>1488</v>
      </c>
      <c r="B1065" s="31" t="s">
        <v>1489</v>
      </c>
      <c r="C1065" s="30" t="s">
        <v>1121</v>
      </c>
      <c r="D1065" s="31" t="s">
        <v>1795</v>
      </c>
    </row>
    <row r="1066" customFormat="false" ht="15" hidden="false" customHeight="true" outlineLevel="0" collapsed="false">
      <c r="A1066" s="30" t="s">
        <v>1490</v>
      </c>
      <c r="B1066" s="31" t="s">
        <v>1491</v>
      </c>
      <c r="C1066" s="30" t="s">
        <v>1121</v>
      </c>
      <c r="D1066" s="31" t="s">
        <v>1795</v>
      </c>
    </row>
    <row r="1067" customFormat="false" ht="15" hidden="false" customHeight="true" outlineLevel="0" collapsed="false">
      <c r="A1067" s="30" t="s">
        <v>1492</v>
      </c>
      <c r="B1067" s="31" t="s">
        <v>1493</v>
      </c>
      <c r="C1067" s="30" t="s">
        <v>1121</v>
      </c>
      <c r="D1067" s="31" t="s">
        <v>1795</v>
      </c>
    </row>
    <row r="1068" customFormat="false" ht="15" hidden="false" customHeight="true" outlineLevel="0" collapsed="false">
      <c r="A1068" s="30" t="s">
        <v>1494</v>
      </c>
      <c r="B1068" s="31" t="s">
        <v>1495</v>
      </c>
      <c r="C1068" s="30" t="s">
        <v>1121</v>
      </c>
      <c r="D1068" s="31" t="s">
        <v>1795</v>
      </c>
    </row>
    <row r="1069" customFormat="false" ht="15" hidden="false" customHeight="true" outlineLevel="0" collapsed="false">
      <c r="A1069" s="30" t="s">
        <v>1496</v>
      </c>
      <c r="B1069" s="31" t="s">
        <v>1497</v>
      </c>
      <c r="C1069" s="30" t="s">
        <v>1121</v>
      </c>
      <c r="D1069" s="31" t="s">
        <v>1795</v>
      </c>
    </row>
    <row r="1070" customFormat="false" ht="15" hidden="false" customHeight="true" outlineLevel="0" collapsed="false">
      <c r="A1070" s="30" t="s">
        <v>1498</v>
      </c>
      <c r="B1070" s="31" t="s">
        <v>1499</v>
      </c>
      <c r="C1070" s="30" t="s">
        <v>1121</v>
      </c>
      <c r="D1070" s="31" t="s">
        <v>1795</v>
      </c>
    </row>
    <row r="1071" customFormat="false" ht="15" hidden="false" customHeight="true" outlineLevel="0" collapsed="false">
      <c r="A1071" s="30" t="s">
        <v>1500</v>
      </c>
      <c r="B1071" s="31" t="s">
        <v>1038</v>
      </c>
      <c r="C1071" s="30" t="s">
        <v>1121</v>
      </c>
      <c r="D1071" s="31" t="s">
        <v>1795</v>
      </c>
    </row>
    <row r="1072" customFormat="false" ht="15" hidden="false" customHeight="true" outlineLevel="0" collapsed="false">
      <c r="A1072" s="30" t="s">
        <v>1501</v>
      </c>
      <c r="B1072" s="31" t="s">
        <v>1502</v>
      </c>
      <c r="C1072" s="30" t="s">
        <v>1121</v>
      </c>
      <c r="D1072" s="31" t="s">
        <v>1795</v>
      </c>
    </row>
    <row r="1073" customFormat="false" ht="15" hidden="false" customHeight="true" outlineLevel="0" collapsed="false">
      <c r="A1073" s="30" t="s">
        <v>1503</v>
      </c>
      <c r="B1073" s="31" t="s">
        <v>1504</v>
      </c>
      <c r="C1073" s="30" t="s">
        <v>1121</v>
      </c>
      <c r="D1073" s="31" t="s">
        <v>1795</v>
      </c>
    </row>
    <row r="1074" customFormat="false" ht="15" hidden="false" customHeight="true" outlineLevel="0" collapsed="false">
      <c r="A1074" s="30" t="s">
        <v>1505</v>
      </c>
      <c r="B1074" s="31" t="s">
        <v>1502</v>
      </c>
      <c r="C1074" s="30" t="s">
        <v>1121</v>
      </c>
      <c r="D1074" s="31" t="s">
        <v>1795</v>
      </c>
    </row>
    <row r="1075" customFormat="false" ht="15" hidden="false" customHeight="true" outlineLevel="0" collapsed="false">
      <c r="A1075" s="30" t="s">
        <v>1506</v>
      </c>
      <c r="B1075" s="31" t="s">
        <v>1504</v>
      </c>
      <c r="C1075" s="30" t="s">
        <v>1121</v>
      </c>
      <c r="D1075" s="31" t="s">
        <v>1795</v>
      </c>
    </row>
    <row r="1076" customFormat="false" ht="15" hidden="false" customHeight="true" outlineLevel="0" collapsed="false">
      <c r="A1076" s="30" t="s">
        <v>1507</v>
      </c>
      <c r="B1076" s="31" t="s">
        <v>1502</v>
      </c>
      <c r="C1076" s="30" t="s">
        <v>1121</v>
      </c>
      <c r="D1076" s="31" t="s">
        <v>1795</v>
      </c>
    </row>
    <row r="1077" customFormat="false" ht="15" hidden="false" customHeight="true" outlineLevel="0" collapsed="false">
      <c r="A1077" s="30" t="s">
        <v>1508</v>
      </c>
      <c r="B1077" s="31" t="s">
        <v>1504</v>
      </c>
      <c r="C1077" s="30" t="s">
        <v>1121</v>
      </c>
      <c r="D1077" s="31" t="s">
        <v>1795</v>
      </c>
    </row>
    <row r="1078" customFormat="false" ht="15" hidden="false" customHeight="true" outlineLevel="0" collapsed="false">
      <c r="A1078" s="30" t="s">
        <v>1509</v>
      </c>
      <c r="B1078" s="31" t="s">
        <v>1502</v>
      </c>
      <c r="C1078" s="30" t="s">
        <v>1121</v>
      </c>
      <c r="D1078" s="31" t="s">
        <v>1795</v>
      </c>
    </row>
    <row r="1079" customFormat="false" ht="15" hidden="false" customHeight="true" outlineLevel="0" collapsed="false">
      <c r="A1079" s="30" t="s">
        <v>1510</v>
      </c>
      <c r="B1079" s="31" t="s">
        <v>1504</v>
      </c>
      <c r="C1079" s="30" t="s">
        <v>1121</v>
      </c>
      <c r="D1079" s="31" t="s">
        <v>1795</v>
      </c>
    </row>
    <row r="1080" customFormat="false" ht="15" hidden="false" customHeight="true" outlineLevel="0" collapsed="false">
      <c r="A1080" s="30" t="s">
        <v>1511</v>
      </c>
      <c r="B1080" s="31" t="s">
        <v>1502</v>
      </c>
      <c r="C1080" s="30" t="s">
        <v>1121</v>
      </c>
      <c r="D1080" s="31" t="s">
        <v>1795</v>
      </c>
    </row>
    <row r="1081" customFormat="false" ht="15" hidden="false" customHeight="true" outlineLevel="0" collapsed="false">
      <c r="A1081" s="30" t="s">
        <v>1512</v>
      </c>
      <c r="B1081" s="31" t="s">
        <v>1504</v>
      </c>
      <c r="C1081" s="30" t="s">
        <v>1121</v>
      </c>
      <c r="D1081" s="31" t="s">
        <v>1795</v>
      </c>
    </row>
    <row r="1082" customFormat="false" ht="15" hidden="false" customHeight="true" outlineLevel="0" collapsed="false">
      <c r="A1082" s="30" t="s">
        <v>1513</v>
      </c>
      <c r="B1082" s="31" t="s">
        <v>1514</v>
      </c>
      <c r="C1082" s="30" t="s">
        <v>1121</v>
      </c>
      <c r="D1082" s="31" t="s">
        <v>1795</v>
      </c>
    </row>
    <row r="1083" customFormat="false" ht="15" hidden="false" customHeight="true" outlineLevel="0" collapsed="false">
      <c r="A1083" s="30" t="s">
        <v>1515</v>
      </c>
      <c r="B1083" s="31" t="s">
        <v>1516</v>
      </c>
      <c r="C1083" s="30" t="s">
        <v>1121</v>
      </c>
      <c r="D1083" s="31" t="s">
        <v>1795</v>
      </c>
    </row>
    <row r="1084" customFormat="false" ht="15" hidden="false" customHeight="true" outlineLevel="0" collapsed="false">
      <c r="A1084" s="30" t="s">
        <v>1517</v>
      </c>
      <c r="B1084" s="31" t="s">
        <v>1502</v>
      </c>
      <c r="C1084" s="30" t="s">
        <v>1121</v>
      </c>
      <c r="D1084" s="31" t="s">
        <v>1795</v>
      </c>
    </row>
    <row r="1085" customFormat="false" ht="15" hidden="false" customHeight="true" outlineLevel="0" collapsed="false">
      <c r="A1085" s="30" t="s">
        <v>1518</v>
      </c>
      <c r="B1085" s="31" t="s">
        <v>1504</v>
      </c>
      <c r="C1085" s="30" t="s">
        <v>1121</v>
      </c>
      <c r="D1085" s="31" t="s">
        <v>1795</v>
      </c>
    </row>
    <row r="1086" customFormat="false" ht="15" hidden="false" customHeight="true" outlineLevel="0" collapsed="false">
      <c r="A1086" s="30" t="s">
        <v>1519</v>
      </c>
      <c r="B1086" s="31" t="s">
        <v>1502</v>
      </c>
      <c r="C1086" s="30" t="s">
        <v>1121</v>
      </c>
      <c r="D1086" s="31" t="s">
        <v>1795</v>
      </c>
    </row>
    <row r="1087" customFormat="false" ht="15" hidden="false" customHeight="true" outlineLevel="0" collapsed="false">
      <c r="A1087" s="30" t="s">
        <v>1520</v>
      </c>
      <c r="B1087" s="31" t="s">
        <v>1504</v>
      </c>
      <c r="C1087" s="30" t="s">
        <v>1121</v>
      </c>
      <c r="D1087" s="31" t="s">
        <v>1795</v>
      </c>
    </row>
    <row r="1088" customFormat="false" ht="15" hidden="false" customHeight="true" outlineLevel="0" collapsed="false">
      <c r="A1088" s="30" t="s">
        <v>1521</v>
      </c>
      <c r="B1088" s="31" t="s">
        <v>1502</v>
      </c>
      <c r="C1088" s="30" t="s">
        <v>1121</v>
      </c>
      <c r="D1088" s="31" t="s">
        <v>1795</v>
      </c>
    </row>
    <row r="1089" customFormat="false" ht="15" hidden="false" customHeight="true" outlineLevel="0" collapsed="false">
      <c r="A1089" s="30" t="s">
        <v>1522</v>
      </c>
      <c r="B1089" s="31" t="s">
        <v>1504</v>
      </c>
      <c r="C1089" s="30" t="s">
        <v>1121</v>
      </c>
      <c r="D1089" s="31" t="s">
        <v>1795</v>
      </c>
    </row>
    <row r="1090" customFormat="false" ht="15" hidden="false" customHeight="true" outlineLevel="0" collapsed="false">
      <c r="A1090" s="30" t="s">
        <v>1523</v>
      </c>
      <c r="B1090" s="31" t="s">
        <v>1502</v>
      </c>
      <c r="C1090" s="30" t="s">
        <v>1121</v>
      </c>
      <c r="D1090" s="31" t="s">
        <v>1795</v>
      </c>
    </row>
    <row r="1091" customFormat="false" ht="15" hidden="false" customHeight="true" outlineLevel="0" collapsed="false">
      <c r="A1091" s="30" t="s">
        <v>1524</v>
      </c>
      <c r="B1091" s="31" t="s">
        <v>1504</v>
      </c>
      <c r="C1091" s="30" t="s">
        <v>1121</v>
      </c>
      <c r="D1091" s="31" t="s">
        <v>1795</v>
      </c>
    </row>
    <row r="1092" customFormat="false" ht="15" hidden="false" customHeight="true" outlineLevel="0" collapsed="false">
      <c r="A1092" s="30" t="s">
        <v>1525</v>
      </c>
      <c r="B1092" s="31" t="s">
        <v>407</v>
      </c>
      <c r="C1092" s="30" t="s">
        <v>1121</v>
      </c>
      <c r="D1092" s="31" t="s">
        <v>1795</v>
      </c>
    </row>
    <row r="1093" customFormat="false" ht="15" hidden="false" customHeight="true" outlineLevel="0" collapsed="false">
      <c r="A1093" s="30" t="s">
        <v>1526</v>
      </c>
      <c r="B1093" s="31" t="s">
        <v>1328</v>
      </c>
      <c r="C1093" s="30" t="s">
        <v>1121</v>
      </c>
      <c r="D1093" s="31" t="s">
        <v>1795</v>
      </c>
    </row>
    <row r="1094" customFormat="false" ht="15" hidden="false" customHeight="true" outlineLevel="0" collapsed="false">
      <c r="A1094" s="30" t="s">
        <v>1527</v>
      </c>
      <c r="B1094" s="31" t="s">
        <v>1528</v>
      </c>
      <c r="C1094" s="30" t="s">
        <v>1121</v>
      </c>
      <c r="D1094" s="31" t="s">
        <v>1795</v>
      </c>
    </row>
    <row r="1095" customFormat="false" ht="15" hidden="false" customHeight="true" outlineLevel="0" collapsed="false">
      <c r="A1095" s="30" t="s">
        <v>1529</v>
      </c>
      <c r="B1095" s="31" t="s">
        <v>1530</v>
      </c>
      <c r="C1095" s="30" t="s">
        <v>1121</v>
      </c>
      <c r="D1095" s="31" t="s">
        <v>1795</v>
      </c>
    </row>
    <row r="1096" customFormat="false" ht="15" hidden="false" customHeight="true" outlineLevel="0" collapsed="false">
      <c r="A1096" s="30" t="s">
        <v>1531</v>
      </c>
      <c r="B1096" s="31" t="s">
        <v>409</v>
      </c>
      <c r="C1096" s="30" t="s">
        <v>1121</v>
      </c>
      <c r="D1096" s="31" t="s">
        <v>1795</v>
      </c>
    </row>
    <row r="1097" customFormat="false" ht="15" hidden="false" customHeight="true" outlineLevel="0" collapsed="false">
      <c r="A1097" s="30" t="s">
        <v>1532</v>
      </c>
      <c r="B1097" s="31" t="s">
        <v>411</v>
      </c>
      <c r="C1097" s="30" t="s">
        <v>1121</v>
      </c>
      <c r="D1097" s="31" t="s">
        <v>1795</v>
      </c>
    </row>
    <row r="1098" customFormat="false" ht="15" hidden="false" customHeight="true" outlineLevel="0" collapsed="false">
      <c r="A1098" s="30" t="s">
        <v>1533</v>
      </c>
      <c r="B1098" s="31" t="s">
        <v>413</v>
      </c>
      <c r="C1098" s="30" t="s">
        <v>1121</v>
      </c>
      <c r="D1098" s="31" t="s">
        <v>1795</v>
      </c>
    </row>
    <row r="1099" customFormat="false" ht="15" hidden="false" customHeight="true" outlineLevel="0" collapsed="false">
      <c r="A1099" s="30" t="s">
        <v>1534</v>
      </c>
      <c r="B1099" s="31" t="s">
        <v>1535</v>
      </c>
      <c r="C1099" s="30" t="s">
        <v>1121</v>
      </c>
      <c r="D1099" s="31" t="s">
        <v>1795</v>
      </c>
    </row>
    <row r="1100" customFormat="false" ht="15" hidden="false" customHeight="true" outlineLevel="0" collapsed="false">
      <c r="A1100" s="30" t="s">
        <v>1536</v>
      </c>
      <c r="B1100" s="31" t="s">
        <v>1502</v>
      </c>
      <c r="C1100" s="30" t="s">
        <v>1537</v>
      </c>
      <c r="D1100" s="31" t="s">
        <v>1796</v>
      </c>
    </row>
    <row r="1101" customFormat="false" ht="15" hidden="false" customHeight="true" outlineLevel="0" collapsed="false">
      <c r="A1101" s="30" t="s">
        <v>1538</v>
      </c>
      <c r="B1101" s="31" t="s">
        <v>1504</v>
      </c>
      <c r="C1101" s="30" t="s">
        <v>1537</v>
      </c>
      <c r="D1101" s="31" t="s">
        <v>1796</v>
      </c>
    </row>
    <row r="1102" customFormat="false" ht="15" hidden="false" customHeight="true" outlineLevel="0" collapsed="false">
      <c r="A1102" s="30" t="s">
        <v>1539</v>
      </c>
      <c r="B1102" s="31" t="s">
        <v>1540</v>
      </c>
      <c r="C1102" s="30" t="s">
        <v>1537</v>
      </c>
      <c r="D1102" s="31" t="s">
        <v>1796</v>
      </c>
    </row>
    <row r="1103" customFormat="false" ht="15" hidden="false" customHeight="true" outlineLevel="0" collapsed="false">
      <c r="A1103" s="30" t="s">
        <v>1536</v>
      </c>
      <c r="B1103" s="31" t="s">
        <v>1502</v>
      </c>
      <c r="C1103" s="30" t="s">
        <v>1537</v>
      </c>
      <c r="D1103" s="31" t="s">
        <v>1796</v>
      </c>
    </row>
    <row r="1104" customFormat="false" ht="15" hidden="false" customHeight="true" outlineLevel="0" collapsed="false">
      <c r="A1104" s="30" t="s">
        <v>1538</v>
      </c>
      <c r="B1104" s="31" t="s">
        <v>1504</v>
      </c>
      <c r="C1104" s="30" t="s">
        <v>1537</v>
      </c>
      <c r="D1104" s="31" t="s">
        <v>1796</v>
      </c>
    </row>
    <row r="1105" customFormat="false" ht="15" hidden="false" customHeight="true" outlineLevel="0" collapsed="false">
      <c r="A1105" s="30" t="s">
        <v>1541</v>
      </c>
      <c r="B1105" s="31" t="s">
        <v>1502</v>
      </c>
      <c r="C1105" s="30" t="s">
        <v>1537</v>
      </c>
      <c r="D1105" s="31" t="s">
        <v>1796</v>
      </c>
    </row>
    <row r="1106" customFormat="false" ht="15" hidden="false" customHeight="true" outlineLevel="0" collapsed="false">
      <c r="A1106" s="30" t="s">
        <v>1542</v>
      </c>
      <c r="B1106" s="31" t="s">
        <v>1504</v>
      </c>
      <c r="C1106" s="30" t="s">
        <v>1537</v>
      </c>
      <c r="D1106" s="31" t="s">
        <v>1796</v>
      </c>
    </row>
    <row r="1107" customFormat="false" ht="15" hidden="false" customHeight="true" outlineLevel="0" collapsed="false">
      <c r="A1107" s="30" t="s">
        <v>1543</v>
      </c>
      <c r="B1107" s="31" t="s">
        <v>1502</v>
      </c>
      <c r="C1107" s="30" t="s">
        <v>1537</v>
      </c>
      <c r="D1107" s="31" t="s">
        <v>1796</v>
      </c>
    </row>
    <row r="1108" customFormat="false" ht="15" hidden="false" customHeight="true" outlineLevel="0" collapsed="false">
      <c r="A1108" s="30" t="s">
        <v>1544</v>
      </c>
      <c r="B1108" s="31" t="s">
        <v>1504</v>
      </c>
      <c r="C1108" s="30" t="s">
        <v>1537</v>
      </c>
      <c r="D1108" s="31" t="s">
        <v>1796</v>
      </c>
    </row>
    <row r="1109" customFormat="false" ht="15" hidden="false" customHeight="true" outlineLevel="0" collapsed="false">
      <c r="A1109" s="30" t="s">
        <v>1545</v>
      </c>
      <c r="B1109" s="31" t="s">
        <v>1502</v>
      </c>
      <c r="C1109" s="30" t="s">
        <v>1537</v>
      </c>
      <c r="D1109" s="31" t="s">
        <v>1796</v>
      </c>
    </row>
    <row r="1110" customFormat="false" ht="15" hidden="false" customHeight="true" outlineLevel="0" collapsed="false">
      <c r="A1110" s="30" t="s">
        <v>1546</v>
      </c>
      <c r="B1110" s="31" t="s">
        <v>1504</v>
      </c>
      <c r="C1110" s="30" t="s">
        <v>1537</v>
      </c>
      <c r="D1110" s="31" t="s">
        <v>1796</v>
      </c>
    </row>
    <row r="1111" customFormat="false" ht="15" hidden="false" customHeight="true" outlineLevel="0" collapsed="false">
      <c r="A1111" s="30" t="s">
        <v>1547</v>
      </c>
      <c r="B1111" s="31" t="s">
        <v>1502</v>
      </c>
      <c r="C1111" s="30" t="s">
        <v>1537</v>
      </c>
      <c r="D1111" s="31" t="s">
        <v>1796</v>
      </c>
    </row>
    <row r="1112" customFormat="false" ht="15" hidden="false" customHeight="true" outlineLevel="0" collapsed="false">
      <c r="A1112" s="30" t="s">
        <v>1548</v>
      </c>
      <c r="B1112" s="31" t="s">
        <v>1504</v>
      </c>
      <c r="C1112" s="30" t="s">
        <v>1537</v>
      </c>
      <c r="D1112" s="31" t="s">
        <v>1796</v>
      </c>
    </row>
    <row r="1113" customFormat="false" ht="15" hidden="false" customHeight="true" outlineLevel="0" collapsed="false">
      <c r="A1113" s="30" t="s">
        <v>1549</v>
      </c>
      <c r="B1113" s="31" t="s">
        <v>1502</v>
      </c>
      <c r="C1113" s="30" t="s">
        <v>1537</v>
      </c>
      <c r="D1113" s="31" t="s">
        <v>1796</v>
      </c>
    </row>
    <row r="1114" customFormat="false" ht="15" hidden="false" customHeight="true" outlineLevel="0" collapsed="false">
      <c r="A1114" s="30" t="s">
        <v>1550</v>
      </c>
      <c r="B1114" s="31" t="s">
        <v>1504</v>
      </c>
      <c r="C1114" s="30" t="s">
        <v>1537</v>
      </c>
      <c r="D1114" s="31" t="s">
        <v>1796</v>
      </c>
    </row>
    <row r="1115" customFormat="false" ht="15" hidden="false" customHeight="true" outlineLevel="0" collapsed="false">
      <c r="A1115" s="30" t="s">
        <v>1551</v>
      </c>
      <c r="B1115" s="31" t="s">
        <v>1502</v>
      </c>
      <c r="C1115" s="30" t="s">
        <v>1537</v>
      </c>
      <c r="D1115" s="31" t="s">
        <v>1796</v>
      </c>
    </row>
    <row r="1116" customFormat="false" ht="15" hidden="false" customHeight="true" outlineLevel="0" collapsed="false">
      <c r="A1116" s="30" t="s">
        <v>1552</v>
      </c>
      <c r="B1116" s="31" t="s">
        <v>1504</v>
      </c>
      <c r="C1116" s="30" t="s">
        <v>1537</v>
      </c>
      <c r="D1116" s="31" t="s">
        <v>1796</v>
      </c>
    </row>
    <row r="1117" customFormat="false" ht="15" hidden="false" customHeight="true" outlineLevel="0" collapsed="false">
      <c r="A1117" s="30" t="s">
        <v>1553</v>
      </c>
      <c r="B1117" s="31" t="s">
        <v>1502</v>
      </c>
      <c r="C1117" s="30" t="s">
        <v>1537</v>
      </c>
      <c r="D1117" s="31" t="s">
        <v>1796</v>
      </c>
    </row>
    <row r="1118" customFormat="false" ht="15" hidden="false" customHeight="true" outlineLevel="0" collapsed="false">
      <c r="A1118" s="30" t="s">
        <v>1554</v>
      </c>
      <c r="B1118" s="31" t="s">
        <v>1504</v>
      </c>
      <c r="C1118" s="30" t="s">
        <v>1537</v>
      </c>
      <c r="D1118" s="31" t="s">
        <v>1796</v>
      </c>
    </row>
    <row r="1119" customFormat="false" ht="15" hidden="false" customHeight="true" outlineLevel="0" collapsed="false">
      <c r="A1119" s="30" t="s">
        <v>1555</v>
      </c>
      <c r="B1119" s="31" t="s">
        <v>1502</v>
      </c>
      <c r="C1119" s="30" t="s">
        <v>1537</v>
      </c>
      <c r="D1119" s="31" t="s">
        <v>1796</v>
      </c>
    </row>
    <row r="1120" customFormat="false" ht="15" hidden="false" customHeight="true" outlineLevel="0" collapsed="false">
      <c r="A1120" s="30" t="s">
        <v>1556</v>
      </c>
      <c r="B1120" s="31" t="s">
        <v>1504</v>
      </c>
      <c r="C1120" s="30" t="s">
        <v>1537</v>
      </c>
      <c r="D1120" s="31" t="s">
        <v>1796</v>
      </c>
    </row>
    <row r="1121" customFormat="false" ht="15" hidden="false" customHeight="true" outlineLevel="0" collapsed="false">
      <c r="A1121" s="30" t="s">
        <v>1557</v>
      </c>
      <c r="B1121" s="31" t="s">
        <v>1502</v>
      </c>
      <c r="C1121" s="30" t="s">
        <v>1537</v>
      </c>
      <c r="D1121" s="31" t="s">
        <v>1796</v>
      </c>
    </row>
    <row r="1122" customFormat="false" ht="15" hidden="false" customHeight="true" outlineLevel="0" collapsed="false">
      <c r="A1122" s="30" t="s">
        <v>1558</v>
      </c>
      <c r="B1122" s="31" t="s">
        <v>1504</v>
      </c>
      <c r="C1122" s="30" t="s">
        <v>1537</v>
      </c>
      <c r="D1122" s="31" t="s">
        <v>1796</v>
      </c>
    </row>
    <row r="1123" customFormat="false" ht="15" hidden="false" customHeight="true" outlineLevel="0" collapsed="false">
      <c r="A1123" s="30" t="s">
        <v>1559</v>
      </c>
      <c r="B1123" s="31" t="s">
        <v>1502</v>
      </c>
      <c r="C1123" s="30" t="s">
        <v>1537</v>
      </c>
      <c r="D1123" s="31" t="s">
        <v>1796</v>
      </c>
    </row>
    <row r="1124" customFormat="false" ht="15" hidden="false" customHeight="true" outlineLevel="0" collapsed="false">
      <c r="A1124" s="30" t="s">
        <v>1560</v>
      </c>
      <c r="B1124" s="31" t="s">
        <v>1504</v>
      </c>
      <c r="C1124" s="30" t="s">
        <v>1537</v>
      </c>
      <c r="D1124" s="31" t="s">
        <v>1796</v>
      </c>
    </row>
    <row r="1125" customFormat="false" ht="15" hidden="false" customHeight="true" outlineLevel="0" collapsed="false">
      <c r="A1125" s="30" t="s">
        <v>1561</v>
      </c>
      <c r="B1125" s="31" t="s">
        <v>1502</v>
      </c>
      <c r="C1125" s="30" t="s">
        <v>1537</v>
      </c>
      <c r="D1125" s="31" t="s">
        <v>1796</v>
      </c>
    </row>
    <row r="1126" customFormat="false" ht="15" hidden="false" customHeight="true" outlineLevel="0" collapsed="false">
      <c r="A1126" s="30" t="s">
        <v>1562</v>
      </c>
      <c r="B1126" s="31" t="s">
        <v>1504</v>
      </c>
      <c r="C1126" s="30" t="s">
        <v>1537</v>
      </c>
      <c r="D1126" s="31" t="s">
        <v>1796</v>
      </c>
    </row>
    <row r="1127" customFormat="false" ht="15" hidden="false" customHeight="true" outlineLevel="0" collapsed="false">
      <c r="A1127" s="30" t="s">
        <v>1563</v>
      </c>
      <c r="B1127" s="31" t="s">
        <v>1502</v>
      </c>
      <c r="C1127" s="30" t="s">
        <v>1537</v>
      </c>
      <c r="D1127" s="31" t="s">
        <v>1796</v>
      </c>
    </row>
    <row r="1128" customFormat="false" ht="15" hidden="false" customHeight="true" outlineLevel="0" collapsed="false">
      <c r="A1128" s="30" t="s">
        <v>1564</v>
      </c>
      <c r="B1128" s="31" t="s">
        <v>1504</v>
      </c>
      <c r="C1128" s="30" t="s">
        <v>1537</v>
      </c>
      <c r="D1128" s="31" t="s">
        <v>1796</v>
      </c>
    </row>
    <row r="1129" customFormat="false" ht="15" hidden="false" customHeight="true" outlineLevel="0" collapsed="false">
      <c r="A1129" s="30" t="s">
        <v>1565</v>
      </c>
      <c r="B1129" s="31" t="s">
        <v>1328</v>
      </c>
      <c r="C1129" s="30" t="s">
        <v>1537</v>
      </c>
      <c r="D1129" s="31" t="s">
        <v>1796</v>
      </c>
    </row>
    <row r="1130" customFormat="false" ht="15" hidden="false" customHeight="true" outlineLevel="0" collapsed="false">
      <c r="A1130" s="30" t="s">
        <v>1566</v>
      </c>
      <c r="B1130" s="31" t="s">
        <v>254</v>
      </c>
      <c r="C1130" s="30" t="s">
        <v>1537</v>
      </c>
      <c r="D1130" s="31" t="s">
        <v>1796</v>
      </c>
    </row>
    <row r="1131" customFormat="false" ht="15" hidden="false" customHeight="true" outlineLevel="0" collapsed="false">
      <c r="A1131" s="30" t="s">
        <v>1567</v>
      </c>
      <c r="B1131" s="31" t="s">
        <v>256</v>
      </c>
      <c r="C1131" s="30" t="s">
        <v>1537</v>
      </c>
      <c r="D1131" s="31" t="s">
        <v>1796</v>
      </c>
    </row>
    <row r="1132" customFormat="false" ht="15" hidden="false" customHeight="true" outlineLevel="0" collapsed="false">
      <c r="A1132" s="30" t="s">
        <v>1568</v>
      </c>
      <c r="B1132" s="31" t="s">
        <v>1569</v>
      </c>
      <c r="C1132" s="30" t="s">
        <v>1537</v>
      </c>
      <c r="D1132" s="31" t="s">
        <v>1796</v>
      </c>
    </row>
    <row r="1133" customFormat="false" ht="15" hidden="false" customHeight="true" outlineLevel="0" collapsed="false">
      <c r="A1133" s="30" t="s">
        <v>1570</v>
      </c>
      <c r="B1133" s="31" t="s">
        <v>275</v>
      </c>
      <c r="C1133" s="30" t="s">
        <v>1537</v>
      </c>
      <c r="D1133" s="31" t="s">
        <v>1796</v>
      </c>
    </row>
    <row r="1134" customFormat="false" ht="15" hidden="false" customHeight="true" outlineLevel="0" collapsed="false">
      <c r="A1134" s="30" t="s">
        <v>1571</v>
      </c>
      <c r="B1134" s="31" t="s">
        <v>277</v>
      </c>
      <c r="C1134" s="30" t="s">
        <v>1537</v>
      </c>
      <c r="D1134" s="31" t="s">
        <v>1796</v>
      </c>
    </row>
    <row r="1135" customFormat="false" ht="15" hidden="false" customHeight="true" outlineLevel="0" collapsed="false">
      <c r="A1135" s="30" t="s">
        <v>1572</v>
      </c>
      <c r="B1135" s="31" t="s">
        <v>1573</v>
      </c>
      <c r="C1135" s="30" t="s">
        <v>1537</v>
      </c>
      <c r="D1135" s="31" t="s">
        <v>1796</v>
      </c>
    </row>
    <row r="1136" customFormat="false" ht="15" hidden="false" customHeight="true" outlineLevel="0" collapsed="false">
      <c r="A1136" s="30" t="s">
        <v>1574</v>
      </c>
      <c r="B1136" s="31" t="s">
        <v>374</v>
      </c>
      <c r="C1136" s="30" t="s">
        <v>1537</v>
      </c>
      <c r="D1136" s="31" t="s">
        <v>1796</v>
      </c>
    </row>
    <row r="1137" customFormat="false" ht="15" hidden="false" customHeight="true" outlineLevel="0" collapsed="false">
      <c r="A1137" s="30" t="s">
        <v>1575</v>
      </c>
      <c r="B1137" s="31" t="s">
        <v>1576</v>
      </c>
      <c r="C1137" s="30" t="s">
        <v>1537</v>
      </c>
      <c r="D1137" s="31" t="s">
        <v>1796</v>
      </c>
    </row>
    <row r="1138" customFormat="false" ht="15" hidden="false" customHeight="true" outlineLevel="0" collapsed="false">
      <c r="A1138" s="30" t="s">
        <v>1577</v>
      </c>
      <c r="B1138" s="31" t="s">
        <v>374</v>
      </c>
      <c r="C1138" s="30" t="s">
        <v>1537</v>
      </c>
      <c r="D1138" s="31" t="s">
        <v>1796</v>
      </c>
    </row>
    <row r="1139" customFormat="false" ht="15" hidden="false" customHeight="true" outlineLevel="0" collapsed="false">
      <c r="A1139" s="30" t="s">
        <v>1578</v>
      </c>
      <c r="B1139" s="31" t="s">
        <v>1579</v>
      </c>
      <c r="C1139" s="30" t="s">
        <v>1537</v>
      </c>
      <c r="D1139" s="31" t="s">
        <v>1796</v>
      </c>
    </row>
    <row r="1140" customFormat="false" ht="15" hidden="false" customHeight="true" outlineLevel="0" collapsed="false">
      <c r="A1140" s="30" t="s">
        <v>1580</v>
      </c>
      <c r="B1140" s="31" t="s">
        <v>383</v>
      </c>
      <c r="C1140" s="30" t="s">
        <v>1537</v>
      </c>
      <c r="D1140" s="31" t="s">
        <v>1796</v>
      </c>
    </row>
    <row r="1141" customFormat="false" ht="15" hidden="false" customHeight="true" outlineLevel="0" collapsed="false">
      <c r="A1141" s="30" t="s">
        <v>1581</v>
      </c>
      <c r="B1141" s="31" t="s">
        <v>385</v>
      </c>
      <c r="C1141" s="30" t="s">
        <v>1537</v>
      </c>
      <c r="D1141" s="31" t="s">
        <v>1796</v>
      </c>
    </row>
    <row r="1142" customFormat="false" ht="15" hidden="false" customHeight="true" outlineLevel="0" collapsed="false">
      <c r="A1142" s="30" t="s">
        <v>1582</v>
      </c>
      <c r="B1142" s="31" t="s">
        <v>387</v>
      </c>
      <c r="C1142" s="30" t="s">
        <v>1537</v>
      </c>
      <c r="D1142" s="31" t="s">
        <v>1796</v>
      </c>
    </row>
    <row r="1143" customFormat="false" ht="15" hidden="false" customHeight="true" outlineLevel="0" collapsed="false">
      <c r="A1143" s="30" t="s">
        <v>1583</v>
      </c>
      <c r="B1143" s="31" t="s">
        <v>395</v>
      </c>
      <c r="C1143" s="30" t="s">
        <v>1537</v>
      </c>
      <c r="D1143" s="31" t="s">
        <v>1796</v>
      </c>
    </row>
    <row r="1144" customFormat="false" ht="15" hidden="false" customHeight="true" outlineLevel="0" collapsed="false">
      <c r="A1144" s="30" t="s">
        <v>1584</v>
      </c>
      <c r="B1144" s="31" t="s">
        <v>397</v>
      </c>
      <c r="C1144" s="30" t="s">
        <v>1537</v>
      </c>
      <c r="D1144" s="31" t="s">
        <v>1796</v>
      </c>
    </row>
    <row r="1145" customFormat="false" ht="15" hidden="false" customHeight="true" outlineLevel="0" collapsed="false">
      <c r="A1145" s="30" t="s">
        <v>1585</v>
      </c>
      <c r="B1145" s="31" t="s">
        <v>399</v>
      </c>
      <c r="C1145" s="30" t="s">
        <v>1537</v>
      </c>
      <c r="D1145" s="31" t="s">
        <v>1796</v>
      </c>
    </row>
    <row r="1146" customFormat="false" ht="15" hidden="false" customHeight="true" outlineLevel="0" collapsed="false">
      <c r="A1146" s="30" t="s">
        <v>1586</v>
      </c>
      <c r="B1146" s="31" t="s">
        <v>1587</v>
      </c>
      <c r="C1146" s="30" t="s">
        <v>1537</v>
      </c>
      <c r="D1146" s="31" t="s">
        <v>1796</v>
      </c>
    </row>
    <row r="1147" customFormat="false" ht="15" hidden="false" customHeight="true" outlineLevel="0" collapsed="false">
      <c r="A1147" s="30" t="s">
        <v>1588</v>
      </c>
      <c r="B1147" s="31" t="s">
        <v>1589</v>
      </c>
      <c r="C1147" s="30" t="s">
        <v>1537</v>
      </c>
      <c r="D1147" s="31" t="s">
        <v>1796</v>
      </c>
    </row>
    <row r="1148" customFormat="false" ht="15" hidden="false" customHeight="true" outlineLevel="0" collapsed="false">
      <c r="A1148" s="30" t="s">
        <v>1590</v>
      </c>
      <c r="B1148" s="31" t="s">
        <v>1591</v>
      </c>
      <c r="C1148" s="30" t="s">
        <v>1537</v>
      </c>
      <c r="D1148" s="31" t="s">
        <v>1796</v>
      </c>
    </row>
    <row r="1149" customFormat="false" ht="15" hidden="false" customHeight="true" outlineLevel="0" collapsed="false">
      <c r="A1149" s="30" t="s">
        <v>1592</v>
      </c>
      <c r="B1149" s="31" t="s">
        <v>374</v>
      </c>
      <c r="C1149" s="30" t="s">
        <v>1537</v>
      </c>
      <c r="D1149" s="31" t="s">
        <v>1796</v>
      </c>
    </row>
    <row r="1150" customFormat="false" ht="15" hidden="false" customHeight="true" outlineLevel="0" collapsed="false">
      <c r="A1150" s="30" t="s">
        <v>1593</v>
      </c>
      <c r="B1150" s="31" t="s">
        <v>1591</v>
      </c>
      <c r="C1150" s="30" t="s">
        <v>1537</v>
      </c>
      <c r="D1150" s="31" t="s">
        <v>1796</v>
      </c>
    </row>
    <row r="1151" customFormat="false" ht="15" hidden="false" customHeight="true" outlineLevel="0" collapsed="false">
      <c r="A1151" s="30" t="s">
        <v>1594</v>
      </c>
      <c r="B1151" s="31" t="s">
        <v>374</v>
      </c>
      <c r="C1151" s="30" t="s">
        <v>1537</v>
      </c>
      <c r="D1151" s="31" t="s">
        <v>1796</v>
      </c>
    </row>
    <row r="1152" customFormat="false" ht="15" hidden="false" customHeight="true" outlineLevel="0" collapsed="false">
      <c r="A1152" s="30" t="s">
        <v>1595</v>
      </c>
      <c r="B1152" s="31" t="s">
        <v>1579</v>
      </c>
      <c r="C1152" s="30" t="s">
        <v>1537</v>
      </c>
      <c r="D1152" s="31" t="s">
        <v>1796</v>
      </c>
    </row>
    <row r="1153" customFormat="false" ht="15" hidden="false" customHeight="true" outlineLevel="0" collapsed="false">
      <c r="A1153" s="30" t="s">
        <v>1596</v>
      </c>
      <c r="B1153" s="31" t="s">
        <v>1597</v>
      </c>
      <c r="C1153" s="30" t="s">
        <v>1537</v>
      </c>
      <c r="D1153" s="31" t="s">
        <v>1796</v>
      </c>
    </row>
    <row r="1154" customFormat="false" ht="15" hidden="false" customHeight="true" outlineLevel="0" collapsed="false">
      <c r="A1154" s="30" t="s">
        <v>1598</v>
      </c>
      <c r="B1154" s="31" t="s">
        <v>1418</v>
      </c>
      <c r="C1154" s="30" t="s">
        <v>1537</v>
      </c>
      <c r="D1154" s="31" t="s">
        <v>1796</v>
      </c>
    </row>
    <row r="1155" customFormat="false" ht="15" hidden="false" customHeight="true" outlineLevel="0" collapsed="false">
      <c r="A1155" s="30" t="s">
        <v>1599</v>
      </c>
      <c r="B1155" s="31" t="s">
        <v>1420</v>
      </c>
      <c r="C1155" s="30" t="s">
        <v>1537</v>
      </c>
      <c r="D1155" s="31" t="s">
        <v>1796</v>
      </c>
    </row>
    <row r="1156" customFormat="false" ht="15" hidden="false" customHeight="true" outlineLevel="0" collapsed="false">
      <c r="A1156" s="30" t="s">
        <v>1600</v>
      </c>
      <c r="B1156" s="31" t="s">
        <v>1502</v>
      </c>
      <c r="C1156" s="30" t="s">
        <v>1537</v>
      </c>
      <c r="D1156" s="31" t="s">
        <v>1796</v>
      </c>
    </row>
    <row r="1157" customFormat="false" ht="15" hidden="false" customHeight="true" outlineLevel="0" collapsed="false">
      <c r="A1157" s="30" t="s">
        <v>1601</v>
      </c>
      <c r="B1157" s="31" t="s">
        <v>1504</v>
      </c>
      <c r="C1157" s="30" t="s">
        <v>1537</v>
      </c>
      <c r="D1157" s="31" t="s">
        <v>1796</v>
      </c>
    </row>
    <row r="1158" customFormat="false" ht="15" hidden="false" customHeight="true" outlineLevel="0" collapsed="false">
      <c r="A1158" s="30" t="s">
        <v>1602</v>
      </c>
      <c r="B1158" s="31" t="s">
        <v>1502</v>
      </c>
      <c r="C1158" s="30" t="s">
        <v>1537</v>
      </c>
      <c r="D1158" s="31" t="s">
        <v>1796</v>
      </c>
    </row>
    <row r="1159" customFormat="false" ht="15" hidden="false" customHeight="true" outlineLevel="0" collapsed="false">
      <c r="A1159" s="30" t="s">
        <v>1603</v>
      </c>
      <c r="B1159" s="31" t="s">
        <v>1504</v>
      </c>
      <c r="C1159" s="30" t="s">
        <v>1537</v>
      </c>
      <c r="D1159" s="31" t="s">
        <v>1796</v>
      </c>
    </row>
    <row r="1160" customFormat="false" ht="15" hidden="false" customHeight="true" outlineLevel="0" collapsed="false">
      <c r="A1160" s="30" t="s">
        <v>1604</v>
      </c>
      <c r="B1160" s="31" t="s">
        <v>1605</v>
      </c>
      <c r="C1160" s="30" t="s">
        <v>1537</v>
      </c>
      <c r="D1160" s="31" t="s">
        <v>1796</v>
      </c>
    </row>
    <row r="1161" customFormat="false" ht="15" hidden="false" customHeight="true" outlineLevel="0" collapsed="false">
      <c r="A1161" s="30" t="s">
        <v>1606</v>
      </c>
      <c r="B1161" s="31" t="s">
        <v>1607</v>
      </c>
      <c r="C1161" s="30" t="s">
        <v>1537</v>
      </c>
      <c r="D1161" s="31" t="s">
        <v>1796</v>
      </c>
    </row>
    <row r="1162" customFormat="false" ht="15" hidden="false" customHeight="true" outlineLevel="0" collapsed="false">
      <c r="A1162" s="30" t="s">
        <v>1608</v>
      </c>
      <c r="B1162" s="31" t="s">
        <v>140</v>
      </c>
      <c r="C1162" s="30" t="s">
        <v>1537</v>
      </c>
      <c r="D1162" s="31" t="s">
        <v>1796</v>
      </c>
    </row>
    <row r="1163" customFormat="false" ht="15" hidden="false" customHeight="true" outlineLevel="0" collapsed="false">
      <c r="A1163" s="30" t="s">
        <v>1609</v>
      </c>
      <c r="B1163" s="31" t="s">
        <v>763</v>
      </c>
      <c r="C1163" s="30" t="s">
        <v>1537</v>
      </c>
      <c r="D1163" s="31" t="s">
        <v>1796</v>
      </c>
    </row>
    <row r="1164" customFormat="false" ht="15" hidden="false" customHeight="true" outlineLevel="0" collapsed="false">
      <c r="A1164" s="30" t="s">
        <v>1610</v>
      </c>
      <c r="B1164" s="31" t="s">
        <v>372</v>
      </c>
      <c r="C1164" s="30" t="s">
        <v>1537</v>
      </c>
      <c r="D1164" s="31" t="s">
        <v>1796</v>
      </c>
    </row>
    <row r="1165" customFormat="false" ht="15" hidden="false" customHeight="true" outlineLevel="0" collapsed="false">
      <c r="A1165" s="30" t="s">
        <v>1611</v>
      </c>
      <c r="B1165" s="31" t="s">
        <v>374</v>
      </c>
      <c r="C1165" s="30" t="s">
        <v>1537</v>
      </c>
      <c r="D1165" s="31" t="s">
        <v>1796</v>
      </c>
    </row>
    <row r="1166" customFormat="false" ht="15" hidden="false" customHeight="true" outlineLevel="0" collapsed="false">
      <c r="A1166" s="30" t="s">
        <v>1612</v>
      </c>
      <c r="B1166" s="31" t="s">
        <v>381</v>
      </c>
      <c r="C1166" s="30" t="s">
        <v>1537</v>
      </c>
      <c r="D1166" s="31" t="s">
        <v>1796</v>
      </c>
    </row>
    <row r="1167" customFormat="false" ht="15" hidden="false" customHeight="true" outlineLevel="0" collapsed="false">
      <c r="A1167" s="30" t="s">
        <v>1613</v>
      </c>
      <c r="B1167" s="31" t="s">
        <v>383</v>
      </c>
      <c r="C1167" s="30" t="s">
        <v>1537</v>
      </c>
      <c r="D1167" s="31" t="s">
        <v>1796</v>
      </c>
    </row>
    <row r="1168" customFormat="false" ht="15" hidden="false" customHeight="true" outlineLevel="0" collapsed="false">
      <c r="A1168" s="30" t="s">
        <v>1614</v>
      </c>
      <c r="B1168" s="31" t="s">
        <v>387</v>
      </c>
      <c r="C1168" s="30" t="s">
        <v>1537</v>
      </c>
      <c r="D1168" s="31" t="s">
        <v>1796</v>
      </c>
    </row>
    <row r="1169" customFormat="false" ht="15" hidden="false" customHeight="true" outlineLevel="0" collapsed="false">
      <c r="A1169" s="30" t="s">
        <v>1615</v>
      </c>
      <c r="B1169" s="31" t="s">
        <v>1616</v>
      </c>
      <c r="C1169" s="30" t="s">
        <v>1537</v>
      </c>
      <c r="D1169" s="31" t="s">
        <v>1796</v>
      </c>
    </row>
    <row r="1170" customFormat="false" ht="15" hidden="false" customHeight="true" outlineLevel="0" collapsed="false">
      <c r="A1170" s="30" t="s">
        <v>1617</v>
      </c>
      <c r="B1170" s="31" t="s">
        <v>1618</v>
      </c>
      <c r="C1170" s="30" t="s">
        <v>1537</v>
      </c>
      <c r="D1170" s="31" t="s">
        <v>1796</v>
      </c>
    </row>
    <row r="1171" customFormat="false" ht="15" hidden="false" customHeight="true" outlineLevel="0" collapsed="false">
      <c r="A1171" s="30" t="s">
        <v>1619</v>
      </c>
      <c r="B1171" s="31" t="s">
        <v>1620</v>
      </c>
      <c r="C1171" s="30" t="s">
        <v>1537</v>
      </c>
      <c r="D1171" s="31" t="s">
        <v>1796</v>
      </c>
    </row>
    <row r="1172" customFormat="false" ht="15" hidden="false" customHeight="true" outlineLevel="0" collapsed="false">
      <c r="A1172" s="30" t="s">
        <v>1621</v>
      </c>
      <c r="B1172" s="31" t="s">
        <v>992</v>
      </c>
      <c r="C1172" s="30" t="s">
        <v>1537</v>
      </c>
      <c r="D1172" s="31" t="s">
        <v>1796</v>
      </c>
    </row>
    <row r="1173" customFormat="false" ht="15" hidden="false" customHeight="true" outlineLevel="0" collapsed="false">
      <c r="A1173" s="30" t="s">
        <v>1622</v>
      </c>
      <c r="B1173" s="31" t="s">
        <v>154</v>
      </c>
      <c r="C1173" s="30" t="s">
        <v>1537</v>
      </c>
      <c r="D1173" s="31" t="s">
        <v>1796</v>
      </c>
    </row>
    <row r="1174" customFormat="false" ht="15" hidden="false" customHeight="true" outlineLevel="0" collapsed="false">
      <c r="A1174" s="30" t="s">
        <v>1623</v>
      </c>
      <c r="B1174" s="31" t="s">
        <v>995</v>
      </c>
      <c r="C1174" s="30" t="s">
        <v>1537</v>
      </c>
      <c r="D1174" s="31" t="s">
        <v>1796</v>
      </c>
    </row>
    <row r="1175" customFormat="false" ht="15" hidden="false" customHeight="true" outlineLevel="0" collapsed="false">
      <c r="A1175" s="30" t="s">
        <v>1624</v>
      </c>
      <c r="B1175" s="31" t="s">
        <v>156</v>
      </c>
      <c r="C1175" s="30" t="s">
        <v>1537</v>
      </c>
      <c r="D1175" s="31" t="s">
        <v>1796</v>
      </c>
    </row>
    <row r="1176" customFormat="false" ht="15" hidden="false" customHeight="true" outlineLevel="0" collapsed="false">
      <c r="A1176" s="30" t="s">
        <v>1625</v>
      </c>
      <c r="B1176" s="31" t="s">
        <v>158</v>
      </c>
      <c r="C1176" s="30" t="s">
        <v>1537</v>
      </c>
      <c r="D1176" s="31" t="s">
        <v>1796</v>
      </c>
    </row>
    <row r="1177" customFormat="false" ht="15" hidden="false" customHeight="true" outlineLevel="0" collapsed="false">
      <c r="A1177" s="30" t="s">
        <v>1626</v>
      </c>
      <c r="B1177" s="31" t="s">
        <v>160</v>
      </c>
      <c r="C1177" s="30" t="s">
        <v>1537</v>
      </c>
      <c r="D1177" s="31" t="s">
        <v>1796</v>
      </c>
    </row>
    <row r="1178" customFormat="false" ht="15" hidden="false" customHeight="true" outlineLevel="0" collapsed="false">
      <c r="A1178" s="30" t="s">
        <v>1627</v>
      </c>
      <c r="B1178" s="31" t="s">
        <v>1628</v>
      </c>
      <c r="C1178" s="30" t="s">
        <v>1537</v>
      </c>
      <c r="D1178" s="31" t="s">
        <v>1796</v>
      </c>
    </row>
    <row r="1179" customFormat="false" ht="15" hidden="false" customHeight="true" outlineLevel="0" collapsed="false">
      <c r="A1179" s="30" t="s">
        <v>1629</v>
      </c>
      <c r="B1179" s="31" t="s">
        <v>1630</v>
      </c>
      <c r="C1179" s="30" t="s">
        <v>1537</v>
      </c>
      <c r="D1179" s="31" t="s">
        <v>1796</v>
      </c>
    </row>
    <row r="1180" customFormat="false" ht="15" hidden="false" customHeight="true" outlineLevel="0" collapsed="false">
      <c r="A1180" s="30" t="s">
        <v>1631</v>
      </c>
      <c r="B1180" s="31" t="s">
        <v>1632</v>
      </c>
      <c r="C1180" s="30" t="s">
        <v>1537</v>
      </c>
      <c r="D1180" s="31" t="s">
        <v>1796</v>
      </c>
    </row>
    <row r="1181" customFormat="false" ht="15" hidden="false" customHeight="true" outlineLevel="0" collapsed="false">
      <c r="A1181" s="30" t="s">
        <v>1633</v>
      </c>
      <c r="B1181" s="31" t="s">
        <v>1634</v>
      </c>
      <c r="C1181" s="30" t="s">
        <v>1537</v>
      </c>
      <c r="D1181" s="31" t="s">
        <v>1796</v>
      </c>
    </row>
    <row r="1182" customFormat="false" ht="15" hidden="false" customHeight="true" outlineLevel="0" collapsed="false">
      <c r="A1182" s="30" t="s">
        <v>1635</v>
      </c>
      <c r="B1182" s="31" t="s">
        <v>1004</v>
      </c>
      <c r="C1182" s="30" t="s">
        <v>1537</v>
      </c>
      <c r="D1182" s="31" t="s">
        <v>1796</v>
      </c>
    </row>
    <row r="1183" customFormat="false" ht="15" hidden="false" customHeight="true" outlineLevel="0" collapsed="false">
      <c r="A1183" s="30" t="s">
        <v>1636</v>
      </c>
      <c r="B1183" s="31" t="s">
        <v>1637</v>
      </c>
      <c r="C1183" s="30" t="s">
        <v>1537</v>
      </c>
      <c r="D1183" s="31" t="s">
        <v>1796</v>
      </c>
    </row>
    <row r="1184" customFormat="false" ht="15" hidden="false" customHeight="true" outlineLevel="0" collapsed="false">
      <c r="A1184" s="30" t="s">
        <v>1638</v>
      </c>
      <c r="B1184" s="31" t="s">
        <v>1323</v>
      </c>
      <c r="C1184" s="30" t="s">
        <v>1537</v>
      </c>
      <c r="D1184" s="31" t="s">
        <v>1796</v>
      </c>
    </row>
    <row r="1185" customFormat="false" ht="15" hidden="false" customHeight="true" outlineLevel="0" collapsed="false">
      <c r="A1185" s="30" t="s">
        <v>1639</v>
      </c>
      <c r="B1185" s="31" t="s">
        <v>1640</v>
      </c>
      <c r="C1185" s="30" t="s">
        <v>1537</v>
      </c>
      <c r="D1185" s="31" t="s">
        <v>1796</v>
      </c>
    </row>
    <row r="1186" customFormat="false" ht="15" hidden="false" customHeight="true" outlineLevel="0" collapsed="false">
      <c r="A1186" s="30" t="s">
        <v>1641</v>
      </c>
      <c r="B1186" s="31" t="s">
        <v>1642</v>
      </c>
      <c r="C1186" s="30" t="s">
        <v>1537</v>
      </c>
      <c r="D1186" s="31" t="s">
        <v>1796</v>
      </c>
    </row>
    <row r="1187" customFormat="false" ht="15" hidden="false" customHeight="true" outlineLevel="0" collapsed="false">
      <c r="A1187" s="30" t="s">
        <v>1643</v>
      </c>
      <c r="B1187" s="31" t="s">
        <v>407</v>
      </c>
      <c r="C1187" s="30" t="s">
        <v>1537</v>
      </c>
      <c r="D1187" s="31" t="s">
        <v>1796</v>
      </c>
    </row>
    <row r="1188" customFormat="false" ht="15" hidden="false" customHeight="true" outlineLevel="0" collapsed="false">
      <c r="A1188" s="30" t="s">
        <v>1644</v>
      </c>
      <c r="B1188" s="31" t="s">
        <v>1328</v>
      </c>
      <c r="C1188" s="30" t="s">
        <v>1537</v>
      </c>
      <c r="D1188" s="31" t="s">
        <v>1796</v>
      </c>
    </row>
    <row r="1189" customFormat="false" ht="15" hidden="false" customHeight="true" outlineLevel="0" collapsed="false">
      <c r="A1189" s="30" t="s">
        <v>1645</v>
      </c>
      <c r="B1189" s="31" t="s">
        <v>154</v>
      </c>
      <c r="C1189" s="30" t="s">
        <v>1537</v>
      </c>
      <c r="D1189" s="31" t="s">
        <v>1796</v>
      </c>
    </row>
    <row r="1190" customFormat="false" ht="15" hidden="false" customHeight="true" outlineLevel="0" collapsed="false">
      <c r="A1190" s="30" t="s">
        <v>1646</v>
      </c>
      <c r="B1190" s="31" t="s">
        <v>156</v>
      </c>
      <c r="C1190" s="30" t="s">
        <v>1537</v>
      </c>
      <c r="D1190" s="31" t="s">
        <v>1796</v>
      </c>
    </row>
    <row r="1191" customFormat="false" ht="15" hidden="false" customHeight="true" outlineLevel="0" collapsed="false">
      <c r="A1191" s="30" t="s">
        <v>1647</v>
      </c>
      <c r="B1191" s="31" t="s">
        <v>158</v>
      </c>
      <c r="C1191" s="30" t="s">
        <v>1537</v>
      </c>
      <c r="D1191" s="31" t="s">
        <v>1796</v>
      </c>
    </row>
    <row r="1192" customFormat="false" ht="15" hidden="false" customHeight="true" outlineLevel="0" collapsed="false">
      <c r="A1192" s="30" t="s">
        <v>1648</v>
      </c>
      <c r="B1192" s="31" t="s">
        <v>160</v>
      </c>
      <c r="C1192" s="30" t="s">
        <v>1537</v>
      </c>
      <c r="D1192" s="31" t="s">
        <v>1796</v>
      </c>
    </row>
    <row r="1193" customFormat="false" ht="15" hidden="false" customHeight="true" outlineLevel="0" collapsed="false">
      <c r="A1193" s="30" t="s">
        <v>1649</v>
      </c>
      <c r="B1193" s="31" t="s">
        <v>154</v>
      </c>
      <c r="C1193" s="30" t="s">
        <v>1537</v>
      </c>
      <c r="D1193" s="31" t="s">
        <v>1796</v>
      </c>
    </row>
    <row r="1194" customFormat="false" ht="15" hidden="false" customHeight="true" outlineLevel="0" collapsed="false">
      <c r="A1194" s="30" t="s">
        <v>1650</v>
      </c>
      <c r="B1194" s="31" t="s">
        <v>160</v>
      </c>
      <c r="C1194" s="30" t="s">
        <v>1537</v>
      </c>
      <c r="D1194" s="31" t="s">
        <v>1796</v>
      </c>
    </row>
    <row r="1195" customFormat="false" ht="15" hidden="false" customHeight="true" outlineLevel="0" collapsed="false">
      <c r="A1195" s="30" t="s">
        <v>1651</v>
      </c>
      <c r="B1195" s="31" t="s">
        <v>1652</v>
      </c>
      <c r="C1195" s="30" t="s">
        <v>1537</v>
      </c>
      <c r="D1195" s="31" t="s">
        <v>1796</v>
      </c>
    </row>
    <row r="1196" customFormat="false" ht="15" hidden="false" customHeight="true" outlineLevel="0" collapsed="false">
      <c r="A1196" s="30" t="s">
        <v>1653</v>
      </c>
      <c r="B1196" s="31" t="s">
        <v>1654</v>
      </c>
      <c r="C1196" s="30" t="s">
        <v>1537</v>
      </c>
      <c r="D1196" s="31" t="s">
        <v>1796</v>
      </c>
    </row>
    <row r="1197" customFormat="false" ht="15" hidden="false" customHeight="true" outlineLevel="0" collapsed="false">
      <c r="A1197" s="30" t="s">
        <v>1655</v>
      </c>
      <c r="B1197" s="31" t="s">
        <v>1656</v>
      </c>
      <c r="C1197" s="30" t="s">
        <v>1537</v>
      </c>
      <c r="D1197" s="31" t="s">
        <v>1796</v>
      </c>
    </row>
    <row r="1198" customFormat="false" ht="15" hidden="false" customHeight="true" outlineLevel="0" collapsed="false">
      <c r="A1198" s="30" t="s">
        <v>1657</v>
      </c>
      <c r="B1198" s="31" t="s">
        <v>1658</v>
      </c>
      <c r="C1198" s="30" t="s">
        <v>1537</v>
      </c>
      <c r="D1198" s="31" t="s">
        <v>1796</v>
      </c>
    </row>
    <row r="1199" customFormat="false" ht="15" hidden="false" customHeight="true" outlineLevel="0" collapsed="false">
      <c r="A1199" s="30" t="s">
        <v>1659</v>
      </c>
      <c r="B1199" s="31" t="s">
        <v>1446</v>
      </c>
      <c r="C1199" s="30" t="s">
        <v>1537</v>
      </c>
      <c r="D1199" s="31" t="s">
        <v>1796</v>
      </c>
    </row>
    <row r="1200" customFormat="false" ht="15" hidden="false" customHeight="true" outlineLevel="0" collapsed="false">
      <c r="A1200" s="30" t="s">
        <v>1660</v>
      </c>
      <c r="B1200" s="31" t="s">
        <v>1448</v>
      </c>
      <c r="C1200" s="30" t="s">
        <v>1537</v>
      </c>
      <c r="D1200" s="31" t="s">
        <v>1796</v>
      </c>
    </row>
    <row r="1201" customFormat="false" ht="15" hidden="false" customHeight="true" outlineLevel="0" collapsed="false">
      <c r="A1201" s="30" t="s">
        <v>1661</v>
      </c>
      <c r="B1201" s="31" t="s">
        <v>142</v>
      </c>
      <c r="C1201" s="30" t="s">
        <v>1537</v>
      </c>
      <c r="D1201" s="31" t="s">
        <v>1796</v>
      </c>
    </row>
    <row r="1202" customFormat="false" ht="15" hidden="false" customHeight="true" outlineLevel="0" collapsed="false">
      <c r="A1202" s="30" t="s">
        <v>1662</v>
      </c>
      <c r="B1202" s="31" t="s">
        <v>1663</v>
      </c>
      <c r="C1202" s="30" t="s">
        <v>1537</v>
      </c>
      <c r="D1202" s="31" t="s">
        <v>1796</v>
      </c>
    </row>
    <row r="1203" customFormat="false" ht="15" hidden="false" customHeight="true" outlineLevel="0" collapsed="false">
      <c r="A1203" s="30" t="s">
        <v>1664</v>
      </c>
      <c r="B1203" s="31" t="s">
        <v>1665</v>
      </c>
      <c r="C1203" s="30" t="s">
        <v>1537</v>
      </c>
      <c r="D1203" s="31" t="s">
        <v>1796</v>
      </c>
    </row>
    <row r="1204" customFormat="false" ht="15" hidden="false" customHeight="true" outlineLevel="0" collapsed="false">
      <c r="A1204" s="30" t="s">
        <v>1666</v>
      </c>
      <c r="B1204" s="31" t="s">
        <v>1667</v>
      </c>
      <c r="C1204" s="30" t="s">
        <v>1537</v>
      </c>
      <c r="D1204" s="31" t="s">
        <v>1796</v>
      </c>
    </row>
    <row r="1205" customFormat="false" ht="15" hidden="false" customHeight="true" outlineLevel="0" collapsed="false">
      <c r="A1205" s="30" t="s">
        <v>1668</v>
      </c>
      <c r="B1205" s="31" t="s">
        <v>1361</v>
      </c>
      <c r="C1205" s="30" t="s">
        <v>1537</v>
      </c>
      <c r="D1205" s="31" t="s">
        <v>1796</v>
      </c>
    </row>
    <row r="1206" customFormat="false" ht="15" hidden="false" customHeight="true" outlineLevel="0" collapsed="false">
      <c r="A1206" s="30" t="s">
        <v>1669</v>
      </c>
      <c r="B1206" s="31" t="s">
        <v>1670</v>
      </c>
      <c r="C1206" s="30" t="s">
        <v>1537</v>
      </c>
      <c r="D1206" s="31" t="s">
        <v>1796</v>
      </c>
    </row>
    <row r="1207" customFormat="false" ht="15" hidden="false" customHeight="true" outlineLevel="0" collapsed="false">
      <c r="A1207" s="30" t="s">
        <v>1671</v>
      </c>
      <c r="B1207" s="31" t="s">
        <v>136</v>
      </c>
      <c r="C1207" s="30" t="s">
        <v>1537</v>
      </c>
      <c r="D1207" s="31" t="s">
        <v>1796</v>
      </c>
    </row>
    <row r="1208" customFormat="false" ht="15" hidden="false" customHeight="true" outlineLevel="0" collapsed="false">
      <c r="A1208" s="30" t="s">
        <v>1672</v>
      </c>
      <c r="B1208" s="31" t="s">
        <v>1366</v>
      </c>
      <c r="C1208" s="30" t="s">
        <v>1537</v>
      </c>
      <c r="D1208" s="31" t="s">
        <v>1796</v>
      </c>
    </row>
    <row r="1209" customFormat="false" ht="15" hidden="false" customHeight="true" outlineLevel="0" collapsed="false">
      <c r="A1209" s="30" t="s">
        <v>1673</v>
      </c>
      <c r="B1209" s="31" t="s">
        <v>1674</v>
      </c>
      <c r="C1209" s="30" t="s">
        <v>1537</v>
      </c>
      <c r="D1209" s="31" t="s">
        <v>1796</v>
      </c>
    </row>
    <row r="1210" customFormat="false" ht="15" hidden="false" customHeight="true" outlineLevel="0" collapsed="false">
      <c r="A1210" s="30" t="s">
        <v>1675</v>
      </c>
      <c r="B1210" s="31" t="s">
        <v>1676</v>
      </c>
      <c r="C1210" s="30" t="s">
        <v>1537</v>
      </c>
      <c r="D1210" s="31" t="s">
        <v>1796</v>
      </c>
    </row>
    <row r="1211" customFormat="false" ht="15" hidden="false" customHeight="true" outlineLevel="0" collapsed="false">
      <c r="A1211" s="30" t="s">
        <v>1677</v>
      </c>
      <c r="B1211" s="31" t="s">
        <v>1678</v>
      </c>
      <c r="C1211" s="30" t="s">
        <v>1537</v>
      </c>
      <c r="D1211" s="31" t="s">
        <v>1796</v>
      </c>
    </row>
    <row r="1212" customFormat="false" ht="15" hidden="false" customHeight="true" outlineLevel="0" collapsed="false">
      <c r="A1212" s="30" t="s">
        <v>1679</v>
      </c>
      <c r="B1212" s="31" t="s">
        <v>1680</v>
      </c>
      <c r="C1212" s="30" t="s">
        <v>1537</v>
      </c>
      <c r="D1212" s="31" t="s">
        <v>1796</v>
      </c>
    </row>
    <row r="1213" customFormat="false" ht="15" hidden="false" customHeight="true" outlineLevel="0" collapsed="false">
      <c r="A1213" s="30" t="s">
        <v>1681</v>
      </c>
      <c r="B1213" s="31" t="s">
        <v>1682</v>
      </c>
      <c r="C1213" s="30" t="s">
        <v>1537</v>
      </c>
      <c r="D1213" s="31" t="s">
        <v>1796</v>
      </c>
    </row>
    <row r="1214" customFormat="false" ht="15" hidden="false" customHeight="true" outlineLevel="0" collapsed="false">
      <c r="A1214" s="30" t="s">
        <v>1683</v>
      </c>
      <c r="B1214" s="31" t="s">
        <v>1684</v>
      </c>
      <c r="C1214" s="30" t="s">
        <v>1685</v>
      </c>
      <c r="D1214" s="31" t="s">
        <v>1797</v>
      </c>
    </row>
    <row r="1215" customFormat="false" ht="15" hidden="false" customHeight="true" outlineLevel="0" collapsed="false">
      <c r="A1215" s="30" t="s">
        <v>1686</v>
      </c>
      <c r="B1215" s="31" t="s">
        <v>1687</v>
      </c>
      <c r="C1215" s="30" t="s">
        <v>1685</v>
      </c>
      <c r="D1215" s="31" t="s">
        <v>1797</v>
      </c>
    </row>
    <row r="1216" customFormat="false" ht="15" hidden="false" customHeight="true" outlineLevel="0" collapsed="false">
      <c r="A1216" s="30" t="s">
        <v>1688</v>
      </c>
      <c r="B1216" s="31" t="s">
        <v>1689</v>
      </c>
      <c r="C1216" s="30" t="s">
        <v>1685</v>
      </c>
      <c r="D1216" s="31" t="s">
        <v>1797</v>
      </c>
    </row>
    <row r="1217" customFormat="false" ht="15" hidden="false" customHeight="true" outlineLevel="0" collapsed="false">
      <c r="A1217" s="30" t="s">
        <v>1690</v>
      </c>
      <c r="B1217" s="31" t="s">
        <v>1691</v>
      </c>
      <c r="C1217" s="30" t="s">
        <v>1685</v>
      </c>
      <c r="D1217" s="31" t="s">
        <v>1797</v>
      </c>
    </row>
    <row r="1218" customFormat="false" ht="15" hidden="false" customHeight="true" outlineLevel="0" collapsed="false">
      <c r="A1218" s="30" t="s">
        <v>1692</v>
      </c>
      <c r="B1218" s="31" t="s">
        <v>1693</v>
      </c>
      <c r="C1218" s="30" t="s">
        <v>1685</v>
      </c>
      <c r="D1218" s="31" t="s">
        <v>1797</v>
      </c>
    </row>
    <row r="1219" customFormat="false" ht="15" hidden="false" customHeight="true" outlineLevel="0" collapsed="false">
      <c r="A1219" s="30" t="s">
        <v>1694</v>
      </c>
      <c r="B1219" s="31" t="s">
        <v>1695</v>
      </c>
      <c r="C1219" s="30" t="s">
        <v>1685</v>
      </c>
      <c r="D1219" s="31" t="s">
        <v>1797</v>
      </c>
    </row>
    <row r="1220" customFormat="false" ht="15" hidden="false" customHeight="true" outlineLevel="0" collapsed="false">
      <c r="A1220" s="30" t="s">
        <v>1696</v>
      </c>
      <c r="B1220" s="31" t="s">
        <v>1697</v>
      </c>
      <c r="C1220" s="30" t="s">
        <v>1685</v>
      </c>
      <c r="D1220" s="31" t="s">
        <v>1797</v>
      </c>
    </row>
    <row r="1221" customFormat="false" ht="15" hidden="false" customHeight="true" outlineLevel="0" collapsed="false">
      <c r="A1221" s="30" t="s">
        <v>1698</v>
      </c>
      <c r="B1221" s="31" t="s">
        <v>1699</v>
      </c>
      <c r="C1221" s="30" t="s">
        <v>1685</v>
      </c>
      <c r="D1221" s="31" t="s">
        <v>1797</v>
      </c>
    </row>
    <row r="1222" customFormat="false" ht="15" hidden="false" customHeight="true" outlineLevel="0" collapsed="false">
      <c r="A1222" s="30" t="s">
        <v>1700</v>
      </c>
      <c r="B1222" s="31" t="s">
        <v>1701</v>
      </c>
      <c r="C1222" s="30" t="s">
        <v>1685</v>
      </c>
      <c r="D1222" s="31" t="s">
        <v>1797</v>
      </c>
    </row>
    <row r="1223" customFormat="false" ht="15" hidden="false" customHeight="true" outlineLevel="0" collapsed="false">
      <c r="A1223" s="30" t="s">
        <v>1702</v>
      </c>
      <c r="B1223" s="31" t="s">
        <v>1703</v>
      </c>
      <c r="C1223" s="30" t="s">
        <v>1685</v>
      </c>
      <c r="D1223" s="31" t="s">
        <v>1797</v>
      </c>
    </row>
    <row r="1224" customFormat="false" ht="15" hidden="false" customHeight="true" outlineLevel="0" collapsed="false">
      <c r="A1224" s="30" t="s">
        <v>1704</v>
      </c>
      <c r="B1224" s="31" t="s">
        <v>1705</v>
      </c>
      <c r="C1224" s="30" t="s">
        <v>1685</v>
      </c>
      <c r="D1224" s="31" t="s">
        <v>1797</v>
      </c>
    </row>
    <row r="1225" customFormat="false" ht="15" hidden="false" customHeight="true" outlineLevel="0" collapsed="false">
      <c r="A1225" s="30" t="s">
        <v>1706</v>
      </c>
      <c r="B1225" s="31" t="s">
        <v>1082</v>
      </c>
      <c r="C1225" s="30" t="s">
        <v>1685</v>
      </c>
      <c r="D1225" s="31" t="s">
        <v>1797</v>
      </c>
    </row>
    <row r="1226" customFormat="false" ht="15" hidden="false" customHeight="true" outlineLevel="0" collapsed="false">
      <c r="A1226" s="30" t="s">
        <v>1707</v>
      </c>
      <c r="B1226" s="31" t="s">
        <v>1708</v>
      </c>
      <c r="C1226" s="30" t="s">
        <v>1709</v>
      </c>
      <c r="D1226" s="31" t="s">
        <v>1798</v>
      </c>
    </row>
    <row r="1227" customFormat="false" ht="15" hidden="false" customHeight="true" outlineLevel="0" collapsed="false">
      <c r="A1227" s="30" t="s">
        <v>1710</v>
      </c>
      <c r="B1227" s="31" t="s">
        <v>1711</v>
      </c>
      <c r="C1227" s="30" t="s">
        <v>1709</v>
      </c>
      <c r="D1227" s="31" t="s">
        <v>1798</v>
      </c>
    </row>
    <row r="1228" customFormat="false" ht="15" hidden="false" customHeight="true" outlineLevel="0" collapsed="false">
      <c r="A1228" s="30" t="s">
        <v>1712</v>
      </c>
      <c r="B1228" s="31" t="s">
        <v>1713</v>
      </c>
      <c r="C1228" s="30" t="s">
        <v>1709</v>
      </c>
      <c r="D1228" s="31" t="s">
        <v>1798</v>
      </c>
    </row>
    <row r="1229" customFormat="false" ht="15" hidden="false" customHeight="true" outlineLevel="0" collapsed="false">
      <c r="A1229" s="30" t="s">
        <v>1714</v>
      </c>
      <c r="B1229" s="31" t="s">
        <v>1715</v>
      </c>
      <c r="C1229" s="30" t="s">
        <v>1709</v>
      </c>
      <c r="D1229" s="31" t="s">
        <v>1798</v>
      </c>
    </row>
    <row r="1230" customFormat="false" ht="15" hidden="false" customHeight="true" outlineLevel="0" collapsed="false">
      <c r="A1230" s="30" t="s">
        <v>1716</v>
      </c>
      <c r="B1230" s="31" t="s">
        <v>1717</v>
      </c>
      <c r="C1230" s="30" t="s">
        <v>1709</v>
      </c>
      <c r="D1230" s="31" t="s">
        <v>1798</v>
      </c>
    </row>
    <row r="1231" customFormat="false" ht="15" hidden="false" customHeight="true" outlineLevel="0" collapsed="false">
      <c r="A1231" s="30" t="s">
        <v>1718</v>
      </c>
      <c r="B1231" s="31" t="s">
        <v>1719</v>
      </c>
      <c r="C1231" s="30" t="s">
        <v>1709</v>
      </c>
      <c r="D1231" s="31" t="s">
        <v>1798</v>
      </c>
    </row>
    <row r="1232" customFormat="false" ht="15" hidden="false" customHeight="true" outlineLevel="0" collapsed="false">
      <c r="A1232" s="30" t="s">
        <v>1720</v>
      </c>
      <c r="B1232" s="31" t="s">
        <v>1721</v>
      </c>
      <c r="C1232" s="30" t="s">
        <v>1709</v>
      </c>
      <c r="D1232" s="31" t="s">
        <v>1798</v>
      </c>
    </row>
    <row r="1233" customFormat="false" ht="15" hidden="false" customHeight="true" outlineLevel="0" collapsed="false">
      <c r="A1233" s="30" t="s">
        <v>1722</v>
      </c>
      <c r="B1233" s="31" t="s">
        <v>1723</v>
      </c>
      <c r="C1233" s="30" t="s">
        <v>1709</v>
      </c>
      <c r="D1233" s="31" t="s">
        <v>1798</v>
      </c>
    </row>
    <row r="1234" customFormat="false" ht="15" hidden="false" customHeight="true" outlineLevel="0" collapsed="false">
      <c r="A1234" s="30" t="s">
        <v>1724</v>
      </c>
      <c r="B1234" s="31" t="s">
        <v>1725</v>
      </c>
      <c r="C1234" s="30" t="s">
        <v>1726</v>
      </c>
      <c r="D1234" s="31" t="s">
        <v>1799</v>
      </c>
    </row>
    <row r="1235" customFormat="false" ht="15" hidden="false" customHeight="true" outlineLevel="0" collapsed="false">
      <c r="A1235" s="30" t="s">
        <v>1727</v>
      </c>
      <c r="B1235" s="31" t="s">
        <v>1728</v>
      </c>
      <c r="C1235" s="30" t="s">
        <v>1726</v>
      </c>
      <c r="D1235" s="31" t="s">
        <v>1799</v>
      </c>
    </row>
    <row r="1236" customFormat="false" ht="15" hidden="false" customHeight="true" outlineLevel="0" collapsed="false">
      <c r="A1236" s="30" t="s">
        <v>1729</v>
      </c>
      <c r="B1236" s="31" t="s">
        <v>1730</v>
      </c>
      <c r="C1236" s="30" t="s">
        <v>1726</v>
      </c>
      <c r="D1236" s="31" t="s">
        <v>1799</v>
      </c>
    </row>
    <row r="1237" customFormat="false" ht="15" hidden="false" customHeight="true" outlineLevel="0" collapsed="false">
      <c r="A1237" s="30" t="s">
        <v>1731</v>
      </c>
      <c r="B1237" s="31" t="s">
        <v>1732</v>
      </c>
      <c r="C1237" s="30" t="s">
        <v>1726</v>
      </c>
      <c r="D1237" s="31" t="s">
        <v>1799</v>
      </c>
    </row>
    <row r="1238" customFormat="false" ht="15" hidden="false" customHeight="true" outlineLevel="0" collapsed="false">
      <c r="A1238" s="30" t="s">
        <v>1733</v>
      </c>
      <c r="B1238" s="31" t="s">
        <v>1734</v>
      </c>
      <c r="C1238" s="30" t="s">
        <v>1726</v>
      </c>
      <c r="D1238" s="31" t="s">
        <v>1799</v>
      </c>
    </row>
    <row r="1239" customFormat="false" ht="15" hidden="false" customHeight="true" outlineLevel="0" collapsed="false">
      <c r="A1239" s="30" t="s">
        <v>1735</v>
      </c>
      <c r="B1239" s="31" t="s">
        <v>1736</v>
      </c>
      <c r="C1239" s="30" t="s">
        <v>1726</v>
      </c>
      <c r="D1239" s="31" t="s">
        <v>1799</v>
      </c>
    </row>
    <row r="1240" customFormat="false" ht="15" hidden="false" customHeight="true" outlineLevel="0" collapsed="false">
      <c r="A1240" s="30" t="s">
        <v>1737</v>
      </c>
      <c r="B1240" s="31" t="s">
        <v>1738</v>
      </c>
      <c r="C1240" s="30" t="s">
        <v>1726</v>
      </c>
      <c r="D1240" s="31" t="s">
        <v>1799</v>
      </c>
    </row>
    <row r="1241" customFormat="false" ht="15" hidden="false" customHeight="true" outlineLevel="0" collapsed="false">
      <c r="A1241" s="30" t="s">
        <v>1739</v>
      </c>
      <c r="B1241" s="31" t="s">
        <v>1740</v>
      </c>
      <c r="C1241" s="30" t="s">
        <v>1726</v>
      </c>
      <c r="D1241" s="31" t="s">
        <v>1799</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5" outlineLevelCol="0"/>
  <cols>
    <col collapsed="false" customWidth="true" hidden="false" outlineLevel="0" max="1" min="1" style="1" width="12"/>
    <col collapsed="false" customWidth="true" hidden="false" outlineLevel="0" max="2" min="2" style="1" width="68"/>
    <col collapsed="false" customWidth="true" hidden="false" outlineLevel="0" max="3" min="3" style="1" width="16"/>
  </cols>
  <sheetData>
    <row r="1" customFormat="false" ht="24" hidden="false" customHeight="true" outlineLevel="0" collapsed="false">
      <c r="A1" s="18" t="s">
        <v>1800</v>
      </c>
      <c r="B1" s="18"/>
      <c r="C1" s="18"/>
    </row>
    <row r="2" customFormat="false" ht="15" hidden="false" customHeight="true" outlineLevel="0" collapsed="false">
      <c r="A2" s="46" t="s">
        <v>1801</v>
      </c>
      <c r="B2" s="46"/>
      <c r="C2" s="46"/>
    </row>
    <row r="4" customFormat="false" ht="18" hidden="false" customHeight="true" outlineLevel="0" collapsed="false">
      <c r="A4" s="47" t="s">
        <v>27</v>
      </c>
      <c r="B4" s="47" t="s">
        <v>28</v>
      </c>
      <c r="C4" s="47" t="s">
        <v>19</v>
      </c>
    </row>
    <row r="5" customFormat="false" ht="19.5" hidden="false" customHeight="true" outlineLevel="0" collapsed="false">
      <c r="A5" s="48" t="s">
        <v>1802</v>
      </c>
      <c r="B5" s="48"/>
      <c r="C5" s="48"/>
    </row>
    <row r="6" customFormat="false" ht="15" hidden="false" customHeight="true" outlineLevel="1" collapsed="false">
      <c r="A6" s="49" t="s">
        <v>1803</v>
      </c>
      <c r="B6" s="49" t="s">
        <v>1804</v>
      </c>
      <c r="C6" s="50"/>
    </row>
    <row r="7" customFormat="false" ht="15" hidden="false" customHeight="true" outlineLevel="2" collapsed="false">
      <c r="A7" s="51" t="s">
        <v>21</v>
      </c>
      <c r="B7" s="52" t="s">
        <v>41</v>
      </c>
      <c r="C7" s="25" t="n">
        <v>10</v>
      </c>
    </row>
    <row r="8" customFormat="false" ht="15" hidden="false" customHeight="true" outlineLevel="2" collapsed="false">
      <c r="A8" s="51" t="s">
        <v>43</v>
      </c>
      <c r="B8" s="52" t="s">
        <v>44</v>
      </c>
      <c r="C8" s="25"/>
    </row>
    <row r="9" customFormat="false" ht="15" hidden="false" customHeight="true" outlineLevel="2" collapsed="false">
      <c r="A9" s="51" t="s">
        <v>1805</v>
      </c>
      <c r="B9" s="52" t="s">
        <v>1806</v>
      </c>
      <c r="C9" s="53"/>
    </row>
    <row r="10" customFormat="false" ht="15" hidden="false" customHeight="true" outlineLevel="3" collapsed="false">
      <c r="A10" s="54" t="s">
        <v>45</v>
      </c>
      <c r="B10" s="55" t="s">
        <v>46</v>
      </c>
      <c r="C10" s="25"/>
    </row>
    <row r="11" customFormat="false" ht="15" hidden="false" customHeight="true" outlineLevel="3" collapsed="false">
      <c r="A11" s="54" t="s">
        <v>47</v>
      </c>
      <c r="B11" s="55" t="s">
        <v>48</v>
      </c>
      <c r="C11" s="25"/>
    </row>
    <row r="12" customFormat="false" ht="15" hidden="false" customHeight="true" outlineLevel="2" collapsed="false">
      <c r="A12" s="51" t="s">
        <v>1807</v>
      </c>
      <c r="B12" s="52" t="s">
        <v>1808</v>
      </c>
      <c r="C12" s="53"/>
    </row>
    <row r="13" customFormat="false" ht="15" hidden="false" customHeight="true" outlineLevel="3" collapsed="false">
      <c r="A13" s="54" t="s">
        <v>49</v>
      </c>
      <c r="B13" s="55" t="s">
        <v>50</v>
      </c>
      <c r="C13" s="25"/>
    </row>
    <row r="14" customFormat="false" ht="15" hidden="false" customHeight="true" outlineLevel="3" collapsed="false">
      <c r="A14" s="54" t="s">
        <v>51</v>
      </c>
      <c r="B14" s="55" t="s">
        <v>52</v>
      </c>
      <c r="C14" s="25"/>
    </row>
    <row r="15" customFormat="false" ht="15" hidden="false" customHeight="true" outlineLevel="2" collapsed="false">
      <c r="A15" s="51" t="s">
        <v>1809</v>
      </c>
      <c r="B15" s="52" t="s">
        <v>1810</v>
      </c>
      <c r="C15" s="53"/>
    </row>
    <row r="16" customFormat="false" ht="15" hidden="false" customHeight="true" outlineLevel="3" collapsed="false">
      <c r="A16" s="54" t="s">
        <v>53</v>
      </c>
      <c r="B16" s="55" t="s">
        <v>54</v>
      </c>
      <c r="C16" s="25"/>
    </row>
    <row r="17" customFormat="false" ht="15" hidden="false" customHeight="true" outlineLevel="2" collapsed="false">
      <c r="A17" s="51" t="s">
        <v>1811</v>
      </c>
      <c r="B17" s="52" t="s">
        <v>1654</v>
      </c>
      <c r="C17" s="53"/>
    </row>
    <row r="18" customFormat="false" ht="15" hidden="false" customHeight="true" outlineLevel="3" collapsed="false">
      <c r="A18" s="54" t="s">
        <v>55</v>
      </c>
      <c r="B18" s="55" t="s">
        <v>56</v>
      </c>
      <c r="C18" s="25"/>
    </row>
    <row r="19" customFormat="false" ht="15" hidden="false" customHeight="true" outlineLevel="3" collapsed="false">
      <c r="A19" s="54" t="s">
        <v>57</v>
      </c>
      <c r="B19" s="55" t="s">
        <v>58</v>
      </c>
      <c r="C19" s="25"/>
    </row>
    <row r="20" customFormat="false" ht="15" hidden="false" customHeight="true" outlineLevel="2" collapsed="false">
      <c r="A20" s="51" t="s">
        <v>1812</v>
      </c>
      <c r="B20" s="52" t="s">
        <v>1813</v>
      </c>
      <c r="C20" s="53"/>
    </row>
    <row r="21" customFormat="false" ht="15" hidden="false" customHeight="true" outlineLevel="3" collapsed="false">
      <c r="A21" s="54" t="s">
        <v>59</v>
      </c>
      <c r="B21" s="55" t="s">
        <v>60</v>
      </c>
      <c r="C21" s="25"/>
    </row>
    <row r="22" customFormat="false" ht="15" hidden="false" customHeight="true" outlineLevel="3" collapsed="false">
      <c r="A22" s="54" t="s">
        <v>61</v>
      </c>
      <c r="B22" s="55" t="s">
        <v>62</v>
      </c>
      <c r="C22" s="25"/>
    </row>
    <row r="23" customFormat="false" ht="15" hidden="false" customHeight="true" outlineLevel="3" collapsed="false">
      <c r="A23" s="54" t="s">
        <v>63</v>
      </c>
      <c r="B23" s="55" t="s">
        <v>64</v>
      </c>
      <c r="C23" s="25"/>
    </row>
    <row r="24" customFormat="false" ht="15" hidden="false" customHeight="true" outlineLevel="1" collapsed="false">
      <c r="A24" s="49" t="s">
        <v>1814</v>
      </c>
      <c r="B24" s="49" t="s">
        <v>1815</v>
      </c>
      <c r="C24" s="50"/>
    </row>
    <row r="25" customFormat="false" ht="15" hidden="false" customHeight="true" outlineLevel="2" collapsed="false">
      <c r="A25" s="51" t="s">
        <v>1816</v>
      </c>
      <c r="B25" s="52" t="s">
        <v>1361</v>
      </c>
      <c r="C25" s="53"/>
    </row>
    <row r="26" customFormat="false" ht="15" hidden="false" customHeight="true" outlineLevel="3" collapsed="false">
      <c r="A26" s="54" t="s">
        <v>1817</v>
      </c>
      <c r="B26" s="55" t="s">
        <v>1818</v>
      </c>
      <c r="C26" s="56"/>
    </row>
    <row r="27" customFormat="false" ht="15" hidden="false" customHeight="true" outlineLevel="4" collapsed="false">
      <c r="A27" s="57" t="s">
        <v>65</v>
      </c>
      <c r="B27" s="58" t="s">
        <v>66</v>
      </c>
      <c r="C27" s="25"/>
    </row>
    <row r="28" customFormat="false" ht="15" hidden="false" customHeight="true" outlineLevel="4" collapsed="false">
      <c r="A28" s="57" t="s">
        <v>67</v>
      </c>
      <c r="B28" s="58" t="s">
        <v>68</v>
      </c>
      <c r="C28" s="25"/>
    </row>
    <row r="29" customFormat="false" ht="15" hidden="false" customHeight="true" outlineLevel="3" collapsed="false">
      <c r="A29" s="54" t="s">
        <v>1819</v>
      </c>
      <c r="B29" s="55" t="s">
        <v>1820</v>
      </c>
      <c r="C29" s="56"/>
    </row>
    <row r="30" customFormat="false" ht="15" hidden="false" customHeight="true" outlineLevel="4" collapsed="false">
      <c r="A30" s="57" t="s">
        <v>69</v>
      </c>
      <c r="B30" s="58" t="s">
        <v>66</v>
      </c>
      <c r="C30" s="25"/>
    </row>
    <row r="31" customFormat="false" ht="15" hidden="false" customHeight="true" outlineLevel="4" collapsed="false">
      <c r="A31" s="57" t="s">
        <v>70</v>
      </c>
      <c r="B31" s="58" t="s">
        <v>68</v>
      </c>
      <c r="C31" s="25"/>
    </row>
    <row r="32" customFormat="false" ht="15" hidden="false" customHeight="true" outlineLevel="3" collapsed="false">
      <c r="A32" s="54" t="s">
        <v>1821</v>
      </c>
      <c r="B32" s="55" t="s">
        <v>1822</v>
      </c>
      <c r="C32" s="56"/>
    </row>
    <row r="33" customFormat="false" ht="15" hidden="false" customHeight="true" outlineLevel="4" collapsed="false">
      <c r="A33" s="57" t="s">
        <v>71</v>
      </c>
      <c r="B33" s="58" t="s">
        <v>66</v>
      </c>
      <c r="C33" s="25"/>
    </row>
    <row r="34" customFormat="false" ht="15" hidden="false" customHeight="true" outlineLevel="4" collapsed="false">
      <c r="A34" s="57" t="s">
        <v>72</v>
      </c>
      <c r="B34" s="58" t="s">
        <v>68</v>
      </c>
      <c r="C34" s="25"/>
    </row>
    <row r="35" customFormat="false" ht="15" hidden="false" customHeight="true" outlineLevel="3" collapsed="false">
      <c r="A35" s="54" t="s">
        <v>1823</v>
      </c>
      <c r="B35" s="55" t="s">
        <v>1824</v>
      </c>
      <c r="C35" s="56"/>
    </row>
    <row r="36" customFormat="false" ht="15" hidden="false" customHeight="true" outlineLevel="4" collapsed="false">
      <c r="A36" s="57" t="s">
        <v>73</v>
      </c>
      <c r="B36" s="58" t="s">
        <v>66</v>
      </c>
      <c r="C36" s="25"/>
    </row>
    <row r="37" customFormat="false" ht="15" hidden="false" customHeight="true" outlineLevel="4" collapsed="false">
      <c r="A37" s="57" t="s">
        <v>74</v>
      </c>
      <c r="B37" s="58" t="s">
        <v>68</v>
      </c>
      <c r="C37" s="25"/>
    </row>
    <row r="38" customFormat="false" ht="15" hidden="false" customHeight="true" outlineLevel="3" collapsed="false">
      <c r="A38" s="54" t="s">
        <v>1825</v>
      </c>
      <c r="B38" s="55" t="s">
        <v>1826</v>
      </c>
      <c r="C38" s="56"/>
    </row>
    <row r="39" customFormat="false" ht="15" hidden="false" customHeight="true" outlineLevel="4" collapsed="false">
      <c r="A39" s="57" t="s">
        <v>75</v>
      </c>
      <c r="B39" s="58" t="s">
        <v>66</v>
      </c>
      <c r="C39" s="25"/>
    </row>
    <row r="40" customFormat="false" ht="15" hidden="false" customHeight="true" outlineLevel="4" collapsed="false">
      <c r="A40" s="57" t="s">
        <v>76</v>
      </c>
      <c r="B40" s="58" t="s">
        <v>68</v>
      </c>
      <c r="C40" s="25"/>
    </row>
    <row r="41" customFormat="false" ht="15" hidden="false" customHeight="true" outlineLevel="2" collapsed="false">
      <c r="A41" s="51" t="s">
        <v>1827</v>
      </c>
      <c r="B41" s="52" t="s">
        <v>1363</v>
      </c>
      <c r="C41" s="53"/>
    </row>
    <row r="42" customFormat="false" ht="15" hidden="false" customHeight="true" outlineLevel="3" collapsed="false">
      <c r="A42" s="54" t="s">
        <v>1828</v>
      </c>
      <c r="B42" s="55" t="s">
        <v>1363</v>
      </c>
      <c r="C42" s="56"/>
    </row>
    <row r="43" customFormat="false" ht="15" hidden="false" customHeight="true" outlineLevel="4" collapsed="false">
      <c r="A43" s="57" t="s">
        <v>77</v>
      </c>
      <c r="B43" s="58" t="s">
        <v>66</v>
      </c>
      <c r="C43" s="25"/>
    </row>
    <row r="44" customFormat="false" ht="15" hidden="false" customHeight="true" outlineLevel="4" collapsed="false">
      <c r="A44" s="57" t="s">
        <v>78</v>
      </c>
      <c r="B44" s="58" t="s">
        <v>68</v>
      </c>
      <c r="C44" s="25"/>
    </row>
    <row r="45" customFormat="false" ht="15" hidden="false" customHeight="true" outlineLevel="2" collapsed="false">
      <c r="A45" s="51" t="s">
        <v>1829</v>
      </c>
      <c r="B45" s="52" t="s">
        <v>1830</v>
      </c>
      <c r="C45" s="53"/>
    </row>
    <row r="46" customFormat="false" ht="15" hidden="false" customHeight="true" outlineLevel="3" collapsed="false">
      <c r="A46" s="54" t="s">
        <v>1831</v>
      </c>
      <c r="B46" s="55" t="s">
        <v>1832</v>
      </c>
      <c r="C46" s="56"/>
    </row>
    <row r="47" customFormat="false" ht="15" hidden="false" customHeight="true" outlineLevel="4" collapsed="false">
      <c r="A47" s="57" t="s">
        <v>79</v>
      </c>
      <c r="B47" s="58" t="s">
        <v>66</v>
      </c>
      <c r="C47" s="25"/>
    </row>
    <row r="48" customFormat="false" ht="15" hidden="false" customHeight="true" outlineLevel="4" collapsed="false">
      <c r="A48" s="57" t="s">
        <v>80</v>
      </c>
      <c r="B48" s="58" t="s">
        <v>68</v>
      </c>
      <c r="C48" s="25"/>
    </row>
    <row r="49" customFormat="false" ht="15" hidden="false" customHeight="true" outlineLevel="3" collapsed="false">
      <c r="A49" s="54" t="s">
        <v>1833</v>
      </c>
      <c r="B49" s="55" t="s">
        <v>1363</v>
      </c>
      <c r="C49" s="56"/>
    </row>
    <row r="50" customFormat="false" ht="15" hidden="false" customHeight="true" outlineLevel="4" collapsed="false">
      <c r="A50" s="57" t="s">
        <v>81</v>
      </c>
      <c r="B50" s="58" t="s">
        <v>66</v>
      </c>
      <c r="C50" s="25"/>
    </row>
    <row r="51" customFormat="false" ht="15" hidden="false" customHeight="true" outlineLevel="4" collapsed="false">
      <c r="A51" s="57" t="s">
        <v>82</v>
      </c>
      <c r="B51" s="58" t="s">
        <v>68</v>
      </c>
      <c r="C51" s="25"/>
    </row>
    <row r="52" customFormat="false" ht="15" hidden="false" customHeight="true" outlineLevel="1" collapsed="false">
      <c r="A52" s="49" t="s">
        <v>1834</v>
      </c>
      <c r="B52" s="49" t="s">
        <v>1835</v>
      </c>
      <c r="C52" s="50"/>
    </row>
    <row r="53" customFormat="false" ht="15" hidden="false" customHeight="true" outlineLevel="2" collapsed="false">
      <c r="A53" s="51" t="s">
        <v>1836</v>
      </c>
      <c r="B53" s="52" t="s">
        <v>215</v>
      </c>
      <c r="C53" s="53"/>
    </row>
    <row r="54" customFormat="false" ht="15" hidden="false" customHeight="true" outlineLevel="3" collapsed="false">
      <c r="A54" s="54" t="s">
        <v>83</v>
      </c>
      <c r="B54" s="55" t="s">
        <v>84</v>
      </c>
      <c r="C54" s="25"/>
    </row>
    <row r="55" customFormat="false" ht="15" hidden="false" customHeight="true" outlineLevel="3" collapsed="false">
      <c r="A55" s="54" t="s">
        <v>85</v>
      </c>
      <c r="B55" s="55" t="s">
        <v>86</v>
      </c>
      <c r="C55" s="25"/>
    </row>
    <row r="56" customFormat="false" ht="15" hidden="false" customHeight="true" outlineLevel="3" collapsed="false">
      <c r="A56" s="54" t="s">
        <v>87</v>
      </c>
      <c r="B56" s="55" t="s">
        <v>88</v>
      </c>
      <c r="C56" s="25"/>
    </row>
    <row r="57" customFormat="false" ht="15" hidden="false" customHeight="true" outlineLevel="3" collapsed="false">
      <c r="A57" s="54" t="s">
        <v>89</v>
      </c>
      <c r="B57" s="55" t="s">
        <v>90</v>
      </c>
      <c r="C57" s="25"/>
    </row>
    <row r="58" customFormat="false" ht="15" hidden="false" customHeight="true" outlineLevel="2" collapsed="false">
      <c r="A58" s="51" t="s">
        <v>91</v>
      </c>
      <c r="B58" s="52" t="s">
        <v>92</v>
      </c>
      <c r="C58" s="25"/>
    </row>
    <row r="59" customFormat="false" ht="15" hidden="false" customHeight="true" outlineLevel="2" collapsed="false">
      <c r="A59" s="51" t="s">
        <v>1837</v>
      </c>
      <c r="B59" s="52" t="s">
        <v>217</v>
      </c>
      <c r="C59" s="53"/>
    </row>
    <row r="60" customFormat="false" ht="15" hidden="false" customHeight="true" outlineLevel="3" collapsed="false">
      <c r="A60" s="54" t="s">
        <v>93</v>
      </c>
      <c r="B60" s="55" t="s">
        <v>94</v>
      </c>
      <c r="C60" s="25"/>
    </row>
    <row r="61" customFormat="false" ht="15" hidden="false" customHeight="true" outlineLevel="3" collapsed="false">
      <c r="A61" s="54" t="s">
        <v>95</v>
      </c>
      <c r="B61" s="55" t="s">
        <v>88</v>
      </c>
      <c r="C61" s="25"/>
    </row>
    <row r="62" customFormat="false" ht="15" hidden="false" customHeight="true" outlineLevel="3" collapsed="false">
      <c r="A62" s="54" t="s">
        <v>96</v>
      </c>
      <c r="B62" s="55" t="s">
        <v>90</v>
      </c>
      <c r="C62" s="25"/>
    </row>
    <row r="63" customFormat="false" ht="15" hidden="false" customHeight="true" outlineLevel="1" collapsed="false">
      <c r="A63" s="49" t="s">
        <v>1838</v>
      </c>
      <c r="B63" s="49" t="s">
        <v>1839</v>
      </c>
      <c r="C63" s="50"/>
    </row>
    <row r="64" customFormat="false" ht="15" hidden="false" customHeight="true" outlineLevel="2" collapsed="false">
      <c r="A64" s="51" t="s">
        <v>1840</v>
      </c>
      <c r="B64" s="52" t="s">
        <v>215</v>
      </c>
      <c r="C64" s="53"/>
    </row>
    <row r="65" customFormat="false" ht="15" hidden="false" customHeight="true" outlineLevel="3" collapsed="false">
      <c r="A65" s="54" t="s">
        <v>97</v>
      </c>
      <c r="B65" s="55" t="s">
        <v>84</v>
      </c>
      <c r="C65" s="25"/>
    </row>
    <row r="66" customFormat="false" ht="15" hidden="false" customHeight="true" outlineLevel="3" collapsed="false">
      <c r="A66" s="54" t="s">
        <v>98</v>
      </c>
      <c r="B66" s="55" t="s">
        <v>94</v>
      </c>
      <c r="C66" s="25"/>
    </row>
    <row r="67" customFormat="false" ht="15" hidden="false" customHeight="true" outlineLevel="3" collapsed="false">
      <c r="A67" s="54" t="s">
        <v>99</v>
      </c>
      <c r="B67" s="55" t="s">
        <v>88</v>
      </c>
      <c r="C67" s="25"/>
    </row>
    <row r="68" customFormat="false" ht="15" hidden="false" customHeight="true" outlineLevel="3" collapsed="false">
      <c r="A68" s="54" t="s">
        <v>100</v>
      </c>
      <c r="B68" s="55" t="s">
        <v>90</v>
      </c>
      <c r="C68" s="25"/>
    </row>
    <row r="69" customFormat="false" ht="15" hidden="false" customHeight="true" outlineLevel="2" collapsed="false">
      <c r="A69" s="51" t="s">
        <v>1841</v>
      </c>
      <c r="B69" s="52" t="s">
        <v>102</v>
      </c>
      <c r="C69" s="53"/>
    </row>
    <row r="70" customFormat="false" ht="15" hidden="false" customHeight="true" outlineLevel="3" collapsed="false">
      <c r="A70" s="54" t="s">
        <v>101</v>
      </c>
      <c r="B70" s="55" t="s">
        <v>102</v>
      </c>
      <c r="C70" s="25"/>
    </row>
    <row r="71" customFormat="false" ht="15" hidden="false" customHeight="true" outlineLevel="2" collapsed="false">
      <c r="A71" s="51" t="s">
        <v>1842</v>
      </c>
      <c r="B71" s="52" t="s">
        <v>217</v>
      </c>
      <c r="C71" s="53"/>
    </row>
    <row r="72" customFormat="false" ht="15" hidden="false" customHeight="true" outlineLevel="3" collapsed="false">
      <c r="A72" s="54" t="s">
        <v>103</v>
      </c>
      <c r="B72" s="55" t="s">
        <v>94</v>
      </c>
      <c r="C72" s="25"/>
    </row>
    <row r="73" customFormat="false" ht="15" hidden="false" customHeight="true" outlineLevel="3" collapsed="false">
      <c r="A73" s="54" t="s">
        <v>104</v>
      </c>
      <c r="B73" s="55" t="s">
        <v>88</v>
      </c>
      <c r="C73" s="25"/>
    </row>
    <row r="74" customFormat="false" ht="15" hidden="false" customHeight="true" outlineLevel="3" collapsed="false">
      <c r="A74" s="54" t="s">
        <v>105</v>
      </c>
      <c r="B74" s="55" t="s">
        <v>90</v>
      </c>
      <c r="C74" s="25"/>
    </row>
    <row r="75" customFormat="false" ht="15" hidden="false" customHeight="true" outlineLevel="1" collapsed="false">
      <c r="A75" s="49" t="s">
        <v>1843</v>
      </c>
      <c r="B75" s="49" t="s">
        <v>1844</v>
      </c>
      <c r="C75" s="50"/>
    </row>
    <row r="76" customFormat="false" ht="15" hidden="false" customHeight="true" outlineLevel="2" collapsed="false">
      <c r="A76" s="51" t="s">
        <v>1845</v>
      </c>
      <c r="B76" s="52" t="s">
        <v>221</v>
      </c>
      <c r="C76" s="53"/>
    </row>
    <row r="77" customFormat="false" ht="15" hidden="false" customHeight="true" outlineLevel="3" collapsed="false">
      <c r="A77" s="54" t="s">
        <v>106</v>
      </c>
      <c r="B77" s="55" t="s">
        <v>107</v>
      </c>
      <c r="C77" s="25"/>
    </row>
    <row r="78" customFormat="false" ht="15" hidden="false" customHeight="true" outlineLevel="3" collapsed="false">
      <c r="A78" s="54" t="s">
        <v>108</v>
      </c>
      <c r="B78" s="55" t="s">
        <v>109</v>
      </c>
      <c r="C78" s="25"/>
    </row>
    <row r="79" customFormat="false" ht="15" hidden="false" customHeight="true" outlineLevel="3" collapsed="false">
      <c r="A79" s="54" t="s">
        <v>110</v>
      </c>
      <c r="B79" s="55" t="s">
        <v>111</v>
      </c>
      <c r="C79" s="25"/>
    </row>
    <row r="80" customFormat="false" ht="15" hidden="false" customHeight="true" outlineLevel="3" collapsed="false">
      <c r="A80" s="54" t="s">
        <v>112</v>
      </c>
      <c r="B80" s="55" t="s">
        <v>113</v>
      </c>
      <c r="C80" s="25"/>
    </row>
    <row r="81" customFormat="false" ht="15" hidden="false" customHeight="true" outlineLevel="2" collapsed="false">
      <c r="A81" s="51" t="s">
        <v>1846</v>
      </c>
      <c r="B81" s="52" t="s">
        <v>223</v>
      </c>
      <c r="C81" s="53"/>
    </row>
    <row r="82" customFormat="false" ht="15" hidden="false" customHeight="true" outlineLevel="3" collapsed="false">
      <c r="A82" s="54" t="s">
        <v>114</v>
      </c>
      <c r="B82" s="55" t="s">
        <v>115</v>
      </c>
      <c r="C82" s="25"/>
    </row>
    <row r="83" customFormat="false" ht="15" hidden="false" customHeight="true" outlineLevel="3" collapsed="false">
      <c r="A83" s="54" t="s">
        <v>116</v>
      </c>
      <c r="B83" s="55" t="s">
        <v>107</v>
      </c>
      <c r="C83" s="25"/>
    </row>
    <row r="84" customFormat="false" ht="15" hidden="false" customHeight="true" outlineLevel="2" collapsed="false">
      <c r="A84" s="51" t="s">
        <v>1847</v>
      </c>
      <c r="B84" s="52" t="s">
        <v>225</v>
      </c>
      <c r="C84" s="53"/>
    </row>
    <row r="85" customFormat="false" ht="15" hidden="false" customHeight="true" outlineLevel="3" collapsed="false">
      <c r="A85" s="54" t="s">
        <v>117</v>
      </c>
      <c r="B85" s="55" t="s">
        <v>107</v>
      </c>
      <c r="C85" s="25"/>
    </row>
    <row r="86" customFormat="false" ht="15" hidden="false" customHeight="true" outlineLevel="3" collapsed="false">
      <c r="A86" s="54" t="s">
        <v>118</v>
      </c>
      <c r="B86" s="55" t="s">
        <v>119</v>
      </c>
      <c r="C86" s="25"/>
    </row>
    <row r="87" customFormat="false" ht="15" hidden="false" customHeight="true" outlineLevel="3" collapsed="false">
      <c r="A87" s="54" t="s">
        <v>120</v>
      </c>
      <c r="B87" s="55" t="s">
        <v>111</v>
      </c>
      <c r="C87" s="25"/>
    </row>
    <row r="88" customFormat="false" ht="15" hidden="false" customHeight="true" outlineLevel="2" collapsed="false">
      <c r="A88" s="51" t="s">
        <v>121</v>
      </c>
      <c r="B88" s="52" t="s">
        <v>122</v>
      </c>
      <c r="C88" s="25"/>
    </row>
    <row r="89" customFormat="false" ht="15" hidden="false" customHeight="true" outlineLevel="1" collapsed="false">
      <c r="A89" s="49" t="s">
        <v>1848</v>
      </c>
      <c r="B89" s="49" t="s">
        <v>1849</v>
      </c>
      <c r="C89" s="50"/>
    </row>
    <row r="90" customFormat="false" ht="15" hidden="false" customHeight="true" outlineLevel="2" collapsed="false">
      <c r="A90" s="51" t="s">
        <v>1850</v>
      </c>
      <c r="B90" s="52" t="s">
        <v>107</v>
      </c>
      <c r="C90" s="53"/>
    </row>
    <row r="91" customFormat="false" ht="15" hidden="false" customHeight="true" outlineLevel="3" collapsed="false">
      <c r="A91" s="54" t="s">
        <v>123</v>
      </c>
      <c r="B91" s="55" t="s">
        <v>124</v>
      </c>
      <c r="C91" s="25"/>
    </row>
    <row r="92" customFormat="false" ht="15" hidden="false" customHeight="true" outlineLevel="3" collapsed="false">
      <c r="A92" s="54" t="s">
        <v>125</v>
      </c>
      <c r="B92" s="55" t="s">
        <v>126</v>
      </c>
      <c r="C92" s="25"/>
    </row>
    <row r="93" customFormat="false" ht="15" hidden="false" customHeight="true" outlineLevel="2" collapsed="false">
      <c r="A93" s="51" t="s">
        <v>1851</v>
      </c>
      <c r="B93" s="52" t="s">
        <v>229</v>
      </c>
      <c r="C93" s="53"/>
    </row>
    <row r="94" customFormat="false" ht="15" hidden="false" customHeight="true" outlineLevel="3" collapsed="false">
      <c r="A94" s="54" t="s">
        <v>127</v>
      </c>
      <c r="B94" s="55" t="s">
        <v>128</v>
      </c>
      <c r="C94" s="25"/>
    </row>
    <row r="95" customFormat="false" ht="15" hidden="false" customHeight="true" outlineLevel="3" collapsed="false">
      <c r="A95" s="54" t="s">
        <v>129</v>
      </c>
      <c r="B95" s="55" t="s">
        <v>130</v>
      </c>
      <c r="C95" s="25"/>
    </row>
    <row r="96" customFormat="false" ht="15" hidden="false" customHeight="true" outlineLevel="3" collapsed="false">
      <c r="A96" s="54" t="s">
        <v>131</v>
      </c>
      <c r="B96" s="55" t="s">
        <v>132</v>
      </c>
      <c r="C96" s="25"/>
    </row>
    <row r="97" customFormat="false" ht="15" hidden="false" customHeight="true" outlineLevel="3" collapsed="false">
      <c r="A97" s="54" t="s">
        <v>133</v>
      </c>
      <c r="B97" s="55" t="s">
        <v>134</v>
      </c>
      <c r="C97" s="25"/>
    </row>
    <row r="98" customFormat="false" ht="15" hidden="false" customHeight="true" outlineLevel="3" collapsed="false">
      <c r="A98" s="54" t="s">
        <v>135</v>
      </c>
      <c r="B98" s="55" t="s">
        <v>136</v>
      </c>
      <c r="C98" s="25"/>
    </row>
    <row r="99" customFormat="false" ht="15" hidden="false" customHeight="true" outlineLevel="2" collapsed="false">
      <c r="A99" s="51" t="s">
        <v>1852</v>
      </c>
      <c r="B99" s="52" t="s">
        <v>231</v>
      </c>
      <c r="C99" s="53"/>
    </row>
    <row r="100" customFormat="false" ht="15" hidden="false" customHeight="true" outlineLevel="3" collapsed="false">
      <c r="A100" s="54" t="s">
        <v>137</v>
      </c>
      <c r="B100" s="55" t="s">
        <v>138</v>
      </c>
      <c r="C100" s="25"/>
    </row>
    <row r="101" customFormat="false" ht="15" hidden="false" customHeight="true" outlineLevel="3" collapsed="false">
      <c r="A101" s="54" t="s">
        <v>139</v>
      </c>
      <c r="B101" s="55" t="s">
        <v>140</v>
      </c>
      <c r="C101" s="25"/>
    </row>
    <row r="102" customFormat="false" ht="15" hidden="false" customHeight="true" outlineLevel="3" collapsed="false">
      <c r="A102" s="54" t="s">
        <v>141</v>
      </c>
      <c r="B102" s="55" t="s">
        <v>142</v>
      </c>
      <c r="C102" s="25"/>
    </row>
    <row r="103" customFormat="false" ht="15" hidden="false" customHeight="true" outlineLevel="2" collapsed="false">
      <c r="A103" s="51" t="s">
        <v>1853</v>
      </c>
      <c r="B103" s="52" t="s">
        <v>233</v>
      </c>
      <c r="C103" s="53"/>
    </row>
    <row r="104" customFormat="false" ht="15" hidden="false" customHeight="true" outlineLevel="3" collapsed="false">
      <c r="A104" s="54" t="s">
        <v>143</v>
      </c>
      <c r="B104" s="55" t="s">
        <v>144</v>
      </c>
      <c r="C104" s="25"/>
    </row>
    <row r="105" customFormat="false" ht="15" hidden="false" customHeight="true" outlineLevel="3" collapsed="false">
      <c r="A105" s="54" t="s">
        <v>145</v>
      </c>
      <c r="B105" s="55" t="s">
        <v>146</v>
      </c>
      <c r="C105" s="25"/>
    </row>
    <row r="106" customFormat="false" ht="15" hidden="false" customHeight="true" outlineLevel="3" collapsed="false">
      <c r="A106" s="54" t="s">
        <v>147</v>
      </c>
      <c r="B106" s="55" t="s">
        <v>148</v>
      </c>
      <c r="C106" s="25"/>
    </row>
    <row r="107" customFormat="false" ht="15" hidden="false" customHeight="true" outlineLevel="3" collapsed="false">
      <c r="A107" s="54" t="s">
        <v>149</v>
      </c>
      <c r="B107" s="55" t="s">
        <v>150</v>
      </c>
      <c r="C107" s="25"/>
    </row>
    <row r="108" customFormat="false" ht="15" hidden="false" customHeight="true" outlineLevel="2" collapsed="false">
      <c r="A108" s="51" t="s">
        <v>1854</v>
      </c>
      <c r="B108" s="52" t="s">
        <v>235</v>
      </c>
      <c r="C108" s="53"/>
    </row>
    <row r="109" customFormat="false" ht="15" hidden="false" customHeight="true" outlineLevel="3" collapsed="false">
      <c r="A109" s="54" t="s">
        <v>151</v>
      </c>
      <c r="B109" s="55" t="s">
        <v>152</v>
      </c>
      <c r="C109" s="25"/>
    </row>
    <row r="110" customFormat="false" ht="15" hidden="false" customHeight="true" outlineLevel="3" collapsed="false">
      <c r="A110" s="54" t="s">
        <v>153</v>
      </c>
      <c r="B110" s="55" t="s">
        <v>154</v>
      </c>
      <c r="C110" s="25"/>
    </row>
    <row r="111" customFormat="false" ht="15" hidden="false" customHeight="true" outlineLevel="3" collapsed="false">
      <c r="A111" s="54" t="s">
        <v>155</v>
      </c>
      <c r="B111" s="55" t="s">
        <v>156</v>
      </c>
      <c r="C111" s="25"/>
    </row>
    <row r="112" customFormat="false" ht="15" hidden="false" customHeight="true" outlineLevel="3" collapsed="false">
      <c r="A112" s="54" t="s">
        <v>157</v>
      </c>
      <c r="B112" s="55" t="s">
        <v>158</v>
      </c>
      <c r="C112" s="25"/>
    </row>
    <row r="113" customFormat="false" ht="15" hidden="false" customHeight="true" outlineLevel="3" collapsed="false">
      <c r="A113" s="54" t="s">
        <v>159</v>
      </c>
      <c r="B113" s="55" t="s">
        <v>160</v>
      </c>
      <c r="C113" s="25"/>
    </row>
    <row r="114" customFormat="false" ht="15" hidden="false" customHeight="true" outlineLevel="3" collapsed="false">
      <c r="A114" s="54" t="s">
        <v>161</v>
      </c>
      <c r="B114" s="55" t="s">
        <v>162</v>
      </c>
      <c r="C114" s="25"/>
    </row>
    <row r="115" customFormat="false" ht="15" hidden="false" customHeight="true" outlineLevel="2" collapsed="false">
      <c r="A115" s="51" t="s">
        <v>1855</v>
      </c>
      <c r="B115" s="52" t="s">
        <v>237</v>
      </c>
      <c r="C115" s="53"/>
    </row>
    <row r="116" customFormat="false" ht="15" hidden="false" customHeight="true" outlineLevel="3" collapsed="false">
      <c r="A116" s="54" t="s">
        <v>1856</v>
      </c>
      <c r="B116" s="55" t="s">
        <v>986</v>
      </c>
      <c r="C116" s="56"/>
    </row>
    <row r="117" customFormat="false" ht="15" hidden="false" customHeight="true" outlineLevel="4" collapsed="false">
      <c r="A117" s="57" t="s">
        <v>163</v>
      </c>
      <c r="B117" s="58" t="s">
        <v>66</v>
      </c>
      <c r="C117" s="25"/>
    </row>
    <row r="118" customFormat="false" ht="15" hidden="false" customHeight="true" outlineLevel="4" collapsed="false">
      <c r="A118" s="57" t="s">
        <v>164</v>
      </c>
      <c r="B118" s="58" t="s">
        <v>165</v>
      </c>
      <c r="C118" s="25"/>
    </row>
    <row r="119" customFormat="false" ht="15" hidden="false" customHeight="true" outlineLevel="3" collapsed="false">
      <c r="A119" s="54" t="s">
        <v>1857</v>
      </c>
      <c r="B119" s="55" t="s">
        <v>1858</v>
      </c>
      <c r="C119" s="56"/>
    </row>
    <row r="120" customFormat="false" ht="15" hidden="false" customHeight="true" outlineLevel="4" collapsed="false">
      <c r="A120" s="57" t="s">
        <v>166</v>
      </c>
      <c r="B120" s="58" t="s">
        <v>66</v>
      </c>
      <c r="C120" s="25"/>
    </row>
    <row r="121" customFormat="false" ht="15" hidden="false" customHeight="true" outlineLevel="4" collapsed="false">
      <c r="A121" s="57" t="s">
        <v>167</v>
      </c>
      <c r="B121" s="58" t="s">
        <v>165</v>
      </c>
      <c r="C121" s="25"/>
    </row>
    <row r="122" customFormat="false" ht="15" hidden="false" customHeight="true" outlineLevel="2" collapsed="false">
      <c r="A122" s="51" t="s">
        <v>1859</v>
      </c>
      <c r="B122" s="52" t="s">
        <v>1860</v>
      </c>
      <c r="C122" s="53"/>
    </row>
    <row r="123" customFormat="false" ht="15" hidden="false" customHeight="true" outlineLevel="3" collapsed="false">
      <c r="A123" s="54" t="s">
        <v>168</v>
      </c>
      <c r="B123" s="55" t="s">
        <v>169</v>
      </c>
      <c r="C123" s="25"/>
    </row>
    <row r="124" customFormat="false" ht="15" hidden="false" customHeight="true" outlineLevel="3" collapsed="false">
      <c r="A124" s="54" t="s">
        <v>170</v>
      </c>
      <c r="B124" s="55" t="s">
        <v>171</v>
      </c>
      <c r="C124" s="25"/>
    </row>
    <row r="125" customFormat="false" ht="15" hidden="false" customHeight="true" outlineLevel="3" collapsed="false">
      <c r="A125" s="54" t="s">
        <v>172</v>
      </c>
      <c r="B125" s="55" t="s">
        <v>173</v>
      </c>
      <c r="C125" s="25"/>
    </row>
    <row r="126" customFormat="false" ht="15" hidden="false" customHeight="true" outlineLevel="3" collapsed="false">
      <c r="A126" s="54" t="s">
        <v>174</v>
      </c>
      <c r="B126" s="55" t="s">
        <v>175</v>
      </c>
      <c r="C126" s="25"/>
    </row>
    <row r="127" customFormat="false" ht="15" hidden="false" customHeight="true" outlineLevel="3" collapsed="false">
      <c r="A127" s="54" t="s">
        <v>176</v>
      </c>
      <c r="B127" s="55" t="s">
        <v>177</v>
      </c>
      <c r="C127" s="25"/>
    </row>
    <row r="128" customFormat="false" ht="15" hidden="false" customHeight="true" outlineLevel="2" collapsed="false">
      <c r="A128" s="51" t="s">
        <v>1861</v>
      </c>
      <c r="B128" s="52" t="s">
        <v>181</v>
      </c>
      <c r="C128" s="53"/>
    </row>
    <row r="129" customFormat="false" ht="15" hidden="false" customHeight="true" outlineLevel="3" collapsed="false">
      <c r="A129" s="54" t="s">
        <v>178</v>
      </c>
      <c r="B129" s="55" t="s">
        <v>179</v>
      </c>
      <c r="C129" s="25"/>
    </row>
    <row r="130" customFormat="false" ht="15" hidden="false" customHeight="true" outlineLevel="3" collapsed="false">
      <c r="A130" s="54" t="s">
        <v>180</v>
      </c>
      <c r="B130" s="55" t="s">
        <v>181</v>
      </c>
      <c r="C130" s="25"/>
    </row>
    <row r="131" customFormat="false" ht="15" hidden="false" customHeight="true" outlineLevel="1" collapsed="false">
      <c r="A131" s="49" t="s">
        <v>1862</v>
      </c>
      <c r="B131" s="49" t="s">
        <v>1863</v>
      </c>
      <c r="C131" s="50"/>
    </row>
    <row r="132" customFormat="false" ht="15" hidden="false" customHeight="true" outlineLevel="2" collapsed="false">
      <c r="A132" s="51" t="s">
        <v>1864</v>
      </c>
      <c r="B132" s="52" t="s">
        <v>107</v>
      </c>
      <c r="C132" s="53"/>
    </row>
    <row r="133" customFormat="false" ht="15" hidden="false" customHeight="true" outlineLevel="3" collapsed="false">
      <c r="A133" s="54" t="s">
        <v>182</v>
      </c>
      <c r="B133" s="55" t="s">
        <v>124</v>
      </c>
      <c r="C133" s="25"/>
    </row>
    <row r="134" customFormat="false" ht="15" hidden="false" customHeight="true" outlineLevel="3" collapsed="false">
      <c r="A134" s="54" t="s">
        <v>183</v>
      </c>
      <c r="B134" s="55" t="s">
        <v>126</v>
      </c>
      <c r="C134" s="25"/>
    </row>
    <row r="135" customFormat="false" ht="15" hidden="false" customHeight="true" outlineLevel="2" collapsed="false">
      <c r="A135" s="51" t="s">
        <v>1865</v>
      </c>
      <c r="B135" s="52" t="s">
        <v>231</v>
      </c>
      <c r="C135" s="53"/>
    </row>
    <row r="136" customFormat="false" ht="15" hidden="false" customHeight="true" outlineLevel="3" collapsed="false">
      <c r="A136" s="54" t="s">
        <v>184</v>
      </c>
      <c r="B136" s="55" t="s">
        <v>138</v>
      </c>
      <c r="C136" s="25"/>
    </row>
    <row r="137" customFormat="false" ht="15" hidden="false" customHeight="true" outlineLevel="3" collapsed="false">
      <c r="A137" s="54" t="s">
        <v>185</v>
      </c>
      <c r="B137" s="55" t="s">
        <v>140</v>
      </c>
      <c r="C137" s="25"/>
    </row>
    <row r="138" customFormat="false" ht="15" hidden="false" customHeight="true" outlineLevel="3" collapsed="false">
      <c r="A138" s="54" t="s">
        <v>186</v>
      </c>
      <c r="B138" s="55" t="s">
        <v>142</v>
      </c>
      <c r="C138" s="25"/>
    </row>
    <row r="139" customFormat="false" ht="15" hidden="false" customHeight="true" outlineLevel="2" collapsed="false">
      <c r="A139" s="51" t="s">
        <v>1866</v>
      </c>
      <c r="B139" s="52" t="s">
        <v>233</v>
      </c>
      <c r="C139" s="53"/>
    </row>
    <row r="140" customFormat="false" ht="15" hidden="false" customHeight="true" outlineLevel="3" collapsed="false">
      <c r="A140" s="54" t="s">
        <v>187</v>
      </c>
      <c r="B140" s="55" t="s">
        <v>144</v>
      </c>
      <c r="C140" s="25"/>
    </row>
    <row r="141" customFormat="false" ht="15" hidden="false" customHeight="true" outlineLevel="3" collapsed="false">
      <c r="A141" s="54" t="s">
        <v>188</v>
      </c>
      <c r="B141" s="55" t="s">
        <v>146</v>
      </c>
      <c r="C141" s="25"/>
    </row>
    <row r="142" customFormat="false" ht="15" hidden="false" customHeight="true" outlineLevel="3" collapsed="false">
      <c r="A142" s="54" t="s">
        <v>189</v>
      </c>
      <c r="B142" s="55" t="s">
        <v>148</v>
      </c>
      <c r="C142" s="25"/>
    </row>
    <row r="143" customFormat="false" ht="15" hidden="false" customHeight="true" outlineLevel="3" collapsed="false">
      <c r="A143" s="54" t="s">
        <v>190</v>
      </c>
      <c r="B143" s="55" t="s">
        <v>150</v>
      </c>
      <c r="C143" s="25"/>
    </row>
    <row r="144" customFormat="false" ht="15" hidden="false" customHeight="true" outlineLevel="2" collapsed="false">
      <c r="A144" s="51" t="s">
        <v>1867</v>
      </c>
      <c r="B144" s="52" t="s">
        <v>235</v>
      </c>
      <c r="C144" s="53"/>
    </row>
    <row r="145" customFormat="false" ht="15" hidden="false" customHeight="true" outlineLevel="3" collapsed="false">
      <c r="A145" s="54" t="s">
        <v>191</v>
      </c>
      <c r="B145" s="55" t="s">
        <v>152</v>
      </c>
      <c r="C145" s="25"/>
    </row>
    <row r="146" customFormat="false" ht="15" hidden="false" customHeight="true" outlineLevel="3" collapsed="false">
      <c r="A146" s="54" t="s">
        <v>192</v>
      </c>
      <c r="B146" s="55" t="s">
        <v>154</v>
      </c>
      <c r="C146" s="25"/>
    </row>
    <row r="147" customFormat="false" ht="15" hidden="false" customHeight="true" outlineLevel="3" collapsed="false">
      <c r="A147" s="54" t="s">
        <v>193</v>
      </c>
      <c r="B147" s="55" t="s">
        <v>156</v>
      </c>
      <c r="C147" s="25"/>
    </row>
    <row r="148" customFormat="false" ht="15" hidden="false" customHeight="true" outlineLevel="3" collapsed="false">
      <c r="A148" s="54" t="s">
        <v>194</v>
      </c>
      <c r="B148" s="55" t="s">
        <v>158</v>
      </c>
      <c r="C148" s="25"/>
    </row>
    <row r="149" customFormat="false" ht="15" hidden="false" customHeight="true" outlineLevel="3" collapsed="false">
      <c r="A149" s="54" t="s">
        <v>195</v>
      </c>
      <c r="B149" s="55" t="s">
        <v>160</v>
      </c>
      <c r="C149" s="25"/>
    </row>
    <row r="150" customFormat="false" ht="15" hidden="false" customHeight="true" outlineLevel="3" collapsed="false">
      <c r="A150" s="54" t="s">
        <v>196</v>
      </c>
      <c r="B150" s="55" t="s">
        <v>162</v>
      </c>
      <c r="C150" s="25"/>
    </row>
    <row r="151" customFormat="false" ht="15" hidden="false" customHeight="true" outlineLevel="2" collapsed="false">
      <c r="A151" s="51" t="s">
        <v>1868</v>
      </c>
      <c r="B151" s="52" t="s">
        <v>237</v>
      </c>
      <c r="C151" s="53"/>
    </row>
    <row r="152" customFormat="false" ht="15" hidden="false" customHeight="true" outlineLevel="3" collapsed="false">
      <c r="A152" s="54" t="s">
        <v>1869</v>
      </c>
      <c r="B152" s="55" t="s">
        <v>986</v>
      </c>
      <c r="C152" s="56"/>
    </row>
    <row r="153" customFormat="false" ht="15" hidden="false" customHeight="true" outlineLevel="4" collapsed="false">
      <c r="A153" s="57" t="s">
        <v>197</v>
      </c>
      <c r="B153" s="58" t="s">
        <v>66</v>
      </c>
      <c r="C153" s="25"/>
    </row>
    <row r="154" customFormat="false" ht="15" hidden="false" customHeight="true" outlineLevel="4" collapsed="false">
      <c r="A154" s="57" t="s">
        <v>198</v>
      </c>
      <c r="B154" s="58" t="s">
        <v>165</v>
      </c>
      <c r="C154" s="25"/>
    </row>
    <row r="155" customFormat="false" ht="15" hidden="false" customHeight="true" outlineLevel="3" collapsed="false">
      <c r="A155" s="54" t="s">
        <v>1870</v>
      </c>
      <c r="B155" s="55" t="s">
        <v>1858</v>
      </c>
      <c r="C155" s="56"/>
    </row>
    <row r="156" customFormat="false" ht="15" hidden="false" customHeight="true" outlineLevel="4" collapsed="false">
      <c r="A156" s="57" t="s">
        <v>199</v>
      </c>
      <c r="B156" s="58" t="s">
        <v>66</v>
      </c>
      <c r="C156" s="25"/>
    </row>
    <row r="157" customFormat="false" ht="15" hidden="false" customHeight="true" outlineLevel="4" collapsed="false">
      <c r="A157" s="57" t="s">
        <v>200</v>
      </c>
      <c r="B157" s="58" t="s">
        <v>165</v>
      </c>
      <c r="C157" s="25"/>
    </row>
    <row r="158" customFormat="false" ht="15" hidden="false" customHeight="true" outlineLevel="2" collapsed="false">
      <c r="A158" s="51" t="s">
        <v>201</v>
      </c>
      <c r="B158" s="52" t="s">
        <v>181</v>
      </c>
      <c r="C158" s="25"/>
    </row>
    <row r="159" customFormat="false" ht="15" hidden="false" customHeight="true" outlineLevel="1" collapsed="false">
      <c r="A159" s="49" t="s">
        <v>1871</v>
      </c>
      <c r="B159" s="49" t="s">
        <v>1872</v>
      </c>
      <c r="C159" s="50"/>
    </row>
    <row r="160" customFormat="false" ht="15" hidden="false" customHeight="true" outlineLevel="2" collapsed="false">
      <c r="A160" s="51" t="s">
        <v>202</v>
      </c>
      <c r="B160" s="52" t="s">
        <v>203</v>
      </c>
      <c r="C160" s="25"/>
    </row>
    <row r="161" customFormat="false" ht="15" hidden="false" customHeight="true" outlineLevel="2" collapsed="false">
      <c r="A161" s="51" t="s">
        <v>204</v>
      </c>
      <c r="B161" s="52" t="s">
        <v>205</v>
      </c>
      <c r="C161" s="25"/>
    </row>
    <row r="162" customFormat="false" ht="15" hidden="false" customHeight="true" outlineLevel="2" collapsed="false">
      <c r="A162" s="51" t="s">
        <v>206</v>
      </c>
      <c r="B162" s="52" t="s">
        <v>207</v>
      </c>
      <c r="C162" s="25"/>
    </row>
    <row r="163" customFormat="false" ht="15" hidden="false" customHeight="true" outlineLevel="2" collapsed="false">
      <c r="A163" s="51" t="s">
        <v>208</v>
      </c>
      <c r="B163" s="52" t="s">
        <v>209</v>
      </c>
      <c r="C163" s="25"/>
    </row>
    <row r="164" customFormat="false" ht="15" hidden="false" customHeight="true" outlineLevel="2" collapsed="false">
      <c r="A164" s="51" t="s">
        <v>210</v>
      </c>
      <c r="B164" s="52" t="s">
        <v>211</v>
      </c>
      <c r="C164" s="25"/>
    </row>
    <row r="165" customFormat="false" ht="15" hidden="false" customHeight="true" outlineLevel="2" collapsed="false">
      <c r="A165" s="51" t="s">
        <v>212</v>
      </c>
      <c r="B165" s="52" t="s">
        <v>213</v>
      </c>
      <c r="C165" s="25"/>
    </row>
    <row r="166" customFormat="false" ht="15" hidden="false" customHeight="true" outlineLevel="1" collapsed="false">
      <c r="A166" s="49" t="s">
        <v>1873</v>
      </c>
      <c r="B166" s="49" t="s">
        <v>1874</v>
      </c>
      <c r="C166" s="50"/>
    </row>
    <row r="167" customFormat="false" ht="15" hidden="false" customHeight="true" outlineLevel="2" collapsed="false">
      <c r="A167" s="51" t="s">
        <v>1875</v>
      </c>
      <c r="B167" s="52" t="s">
        <v>1436</v>
      </c>
      <c r="C167" s="53"/>
    </row>
    <row r="168" customFormat="false" ht="15" hidden="false" customHeight="true" outlineLevel="3" collapsed="false">
      <c r="A168" s="54" t="s">
        <v>214</v>
      </c>
      <c r="B168" s="55" t="s">
        <v>215</v>
      </c>
      <c r="C168" s="25"/>
    </row>
    <row r="169" customFormat="false" ht="15" hidden="false" customHeight="true" outlineLevel="3" collapsed="false">
      <c r="A169" s="54" t="s">
        <v>216</v>
      </c>
      <c r="B169" s="55" t="s">
        <v>217</v>
      </c>
      <c r="C169" s="25"/>
    </row>
    <row r="170" customFormat="false" ht="15" hidden="false" customHeight="true" outlineLevel="2" collapsed="false">
      <c r="A170" s="51" t="s">
        <v>1876</v>
      </c>
      <c r="B170" s="52" t="s">
        <v>1438</v>
      </c>
      <c r="C170" s="53"/>
    </row>
    <row r="171" customFormat="false" ht="15" hidden="false" customHeight="true" outlineLevel="3" collapsed="false">
      <c r="A171" s="54" t="s">
        <v>218</v>
      </c>
      <c r="B171" s="55" t="s">
        <v>215</v>
      </c>
      <c r="C171" s="25"/>
    </row>
    <row r="172" customFormat="false" ht="15" hidden="false" customHeight="true" outlineLevel="3" collapsed="false">
      <c r="A172" s="54" t="s">
        <v>219</v>
      </c>
      <c r="B172" s="55" t="s">
        <v>217</v>
      </c>
      <c r="C172" s="25"/>
    </row>
    <row r="173" customFormat="false" ht="15" hidden="false" customHeight="true" outlineLevel="2" collapsed="false">
      <c r="A173" s="51" t="s">
        <v>1877</v>
      </c>
      <c r="B173" s="52" t="s">
        <v>1440</v>
      </c>
      <c r="C173" s="53"/>
    </row>
    <row r="174" customFormat="false" ht="15" hidden="false" customHeight="true" outlineLevel="3" collapsed="false">
      <c r="A174" s="54" t="s">
        <v>220</v>
      </c>
      <c r="B174" s="55" t="s">
        <v>221</v>
      </c>
      <c r="C174" s="25"/>
    </row>
    <row r="175" customFormat="false" ht="15" hidden="false" customHeight="true" outlineLevel="3" collapsed="false">
      <c r="A175" s="54" t="s">
        <v>222</v>
      </c>
      <c r="B175" s="55" t="s">
        <v>223</v>
      </c>
      <c r="C175" s="25"/>
    </row>
    <row r="176" customFormat="false" ht="15" hidden="false" customHeight="true" outlineLevel="3" collapsed="false">
      <c r="A176" s="54" t="s">
        <v>224</v>
      </c>
      <c r="B176" s="55" t="s">
        <v>225</v>
      </c>
      <c r="C176" s="25"/>
    </row>
    <row r="177" customFormat="false" ht="15" hidden="false" customHeight="true" outlineLevel="3" collapsed="false">
      <c r="A177" s="54" t="s">
        <v>226</v>
      </c>
      <c r="B177" s="55" t="s">
        <v>122</v>
      </c>
      <c r="C177" s="25"/>
    </row>
    <row r="178" customFormat="false" ht="15" hidden="false" customHeight="true" outlineLevel="2" collapsed="false">
      <c r="A178" s="51" t="s">
        <v>1878</v>
      </c>
      <c r="B178" s="52" t="s">
        <v>1442</v>
      </c>
      <c r="C178" s="53"/>
    </row>
    <row r="179" customFormat="false" ht="15" hidden="false" customHeight="true" outlineLevel="3" collapsed="false">
      <c r="A179" s="54" t="s">
        <v>227</v>
      </c>
      <c r="B179" s="55" t="s">
        <v>107</v>
      </c>
      <c r="C179" s="25"/>
    </row>
    <row r="180" customFormat="false" ht="15" hidden="false" customHeight="true" outlineLevel="3" collapsed="false">
      <c r="A180" s="54" t="s">
        <v>228</v>
      </c>
      <c r="B180" s="55" t="s">
        <v>229</v>
      </c>
      <c r="C180" s="25"/>
    </row>
    <row r="181" customFormat="false" ht="15" hidden="false" customHeight="true" outlineLevel="3" collapsed="false">
      <c r="A181" s="54" t="s">
        <v>230</v>
      </c>
      <c r="B181" s="55" t="s">
        <v>231</v>
      </c>
      <c r="C181" s="25"/>
    </row>
    <row r="182" customFormat="false" ht="15" hidden="false" customHeight="true" outlineLevel="3" collapsed="false">
      <c r="A182" s="54" t="s">
        <v>232</v>
      </c>
      <c r="B182" s="55" t="s">
        <v>233</v>
      </c>
      <c r="C182" s="25"/>
    </row>
    <row r="183" customFormat="false" ht="15" hidden="false" customHeight="true" outlineLevel="3" collapsed="false">
      <c r="A183" s="54" t="s">
        <v>234</v>
      </c>
      <c r="B183" s="55" t="s">
        <v>235</v>
      </c>
      <c r="C183" s="25"/>
    </row>
    <row r="184" customFormat="false" ht="15" hidden="false" customHeight="true" outlineLevel="3" collapsed="false">
      <c r="A184" s="54" t="s">
        <v>236</v>
      </c>
      <c r="B184" s="55" t="s">
        <v>237</v>
      </c>
      <c r="C184" s="25"/>
    </row>
    <row r="185" customFormat="false" ht="15" hidden="false" customHeight="true" outlineLevel="3" collapsed="false">
      <c r="A185" s="54" t="s">
        <v>238</v>
      </c>
      <c r="B185" s="55" t="s">
        <v>181</v>
      </c>
      <c r="C185" s="25"/>
    </row>
    <row r="186" customFormat="false" ht="15" hidden="false" customHeight="true" outlineLevel="2" collapsed="false">
      <c r="A186" s="51" t="s">
        <v>1879</v>
      </c>
      <c r="B186" s="52" t="s">
        <v>1444</v>
      </c>
      <c r="C186" s="53"/>
    </row>
    <row r="187" customFormat="false" ht="15" hidden="false" customHeight="true" outlineLevel="3" collapsed="false">
      <c r="A187" s="54" t="s">
        <v>239</v>
      </c>
      <c r="B187" s="55" t="s">
        <v>107</v>
      </c>
      <c r="C187" s="25"/>
    </row>
    <row r="188" customFormat="false" ht="15" hidden="false" customHeight="true" outlineLevel="3" collapsed="false">
      <c r="A188" s="54" t="s">
        <v>240</v>
      </c>
      <c r="B188" s="55" t="s">
        <v>231</v>
      </c>
      <c r="C188" s="25"/>
    </row>
    <row r="189" customFormat="false" ht="15" hidden="false" customHeight="true" outlineLevel="3" collapsed="false">
      <c r="A189" s="54" t="s">
        <v>241</v>
      </c>
      <c r="B189" s="55" t="s">
        <v>233</v>
      </c>
      <c r="C189" s="25"/>
    </row>
    <row r="190" customFormat="false" ht="15" hidden="false" customHeight="true" outlineLevel="3" collapsed="false">
      <c r="A190" s="54" t="s">
        <v>242</v>
      </c>
      <c r="B190" s="55" t="s">
        <v>235</v>
      </c>
      <c r="C190" s="25"/>
    </row>
    <row r="191" customFormat="false" ht="15" hidden="false" customHeight="true" outlineLevel="3" collapsed="false">
      <c r="A191" s="54" t="s">
        <v>243</v>
      </c>
      <c r="B191" s="55" t="s">
        <v>237</v>
      </c>
      <c r="C191" s="25"/>
    </row>
    <row r="192" customFormat="false" ht="15" hidden="false" customHeight="true" outlineLevel="3" collapsed="false">
      <c r="A192" s="54" t="s">
        <v>244</v>
      </c>
      <c r="B192" s="55" t="s">
        <v>181</v>
      </c>
      <c r="C192" s="25"/>
    </row>
    <row r="193" customFormat="false" ht="19.5" hidden="false" customHeight="true" outlineLevel="0" collapsed="false">
      <c r="A193" s="48" t="s">
        <v>1880</v>
      </c>
      <c r="B193" s="48"/>
      <c r="C193" s="48"/>
    </row>
    <row r="194" customFormat="false" ht="15" hidden="false" customHeight="true" outlineLevel="1" collapsed="false">
      <c r="A194" s="49" t="s">
        <v>1881</v>
      </c>
      <c r="B194" s="49" t="s">
        <v>1882</v>
      </c>
      <c r="C194" s="50"/>
    </row>
    <row r="195" customFormat="false" ht="15" hidden="false" customHeight="true" outlineLevel="2" collapsed="false">
      <c r="A195" s="51" t="s">
        <v>1883</v>
      </c>
      <c r="B195" s="52" t="s">
        <v>407</v>
      </c>
      <c r="C195" s="53"/>
    </row>
    <row r="196" customFormat="false" ht="15" hidden="false" customHeight="true" outlineLevel="3" collapsed="false">
      <c r="A196" s="54" t="s">
        <v>1884</v>
      </c>
      <c r="B196" s="55" t="s">
        <v>407</v>
      </c>
      <c r="C196" s="56"/>
    </row>
    <row r="197" customFormat="false" ht="15" hidden="false" customHeight="true" outlineLevel="4" collapsed="false">
      <c r="A197" s="57" t="s">
        <v>245</v>
      </c>
      <c r="B197" s="58" t="s">
        <v>66</v>
      </c>
      <c r="C197" s="25"/>
    </row>
    <row r="198" customFormat="false" ht="15" hidden="false" customHeight="true" outlineLevel="4" collapsed="false">
      <c r="A198" s="57" t="s">
        <v>247</v>
      </c>
      <c r="B198" s="58" t="s">
        <v>165</v>
      </c>
      <c r="C198" s="25"/>
    </row>
    <row r="199" customFormat="false" ht="15" hidden="false" customHeight="true" outlineLevel="1" collapsed="false">
      <c r="A199" s="49" t="s">
        <v>1885</v>
      </c>
      <c r="B199" s="49" t="s">
        <v>1886</v>
      </c>
      <c r="C199" s="50"/>
    </row>
    <row r="200" customFormat="false" ht="15" hidden="false" customHeight="true" outlineLevel="2" collapsed="false">
      <c r="A200" s="51" t="s">
        <v>1887</v>
      </c>
      <c r="B200" s="52" t="s">
        <v>1328</v>
      </c>
      <c r="C200" s="53"/>
    </row>
    <row r="201" customFormat="false" ht="15" hidden="false" customHeight="true" outlineLevel="3" collapsed="false">
      <c r="A201" s="54" t="s">
        <v>1888</v>
      </c>
      <c r="B201" s="55" t="s">
        <v>1328</v>
      </c>
      <c r="C201" s="56"/>
    </row>
    <row r="202" customFormat="false" ht="15" hidden="false" customHeight="true" outlineLevel="4" collapsed="false">
      <c r="A202" s="57" t="s">
        <v>248</v>
      </c>
      <c r="B202" s="58" t="s">
        <v>66</v>
      </c>
      <c r="C202" s="25"/>
    </row>
    <row r="203" customFormat="false" ht="15" hidden="false" customHeight="true" outlineLevel="4" collapsed="false">
      <c r="A203" s="57" t="s">
        <v>249</v>
      </c>
      <c r="B203" s="58" t="s">
        <v>250</v>
      </c>
      <c r="C203" s="25"/>
    </row>
    <row r="204" customFormat="false" ht="15" hidden="false" customHeight="true" outlineLevel="4" collapsed="false">
      <c r="A204" s="57" t="s">
        <v>251</v>
      </c>
      <c r="B204" s="58" t="s">
        <v>165</v>
      </c>
      <c r="C204" s="25"/>
    </row>
    <row r="205" customFormat="false" ht="15" hidden="false" customHeight="true" outlineLevel="2" collapsed="false">
      <c r="A205" s="51" t="s">
        <v>1889</v>
      </c>
      <c r="B205" s="52" t="s">
        <v>1890</v>
      </c>
      <c r="C205" s="53"/>
    </row>
    <row r="206" customFormat="false" ht="15" hidden="false" customHeight="true" outlineLevel="3" collapsed="false">
      <c r="A206" s="54" t="s">
        <v>1891</v>
      </c>
      <c r="B206" s="55" t="s">
        <v>1892</v>
      </c>
      <c r="C206" s="56"/>
    </row>
    <row r="207" customFormat="false" ht="15" hidden="false" customHeight="true" outlineLevel="4" collapsed="false">
      <c r="A207" s="57" t="s">
        <v>252</v>
      </c>
      <c r="B207" s="58" t="s">
        <v>66</v>
      </c>
      <c r="C207" s="25"/>
    </row>
    <row r="208" customFormat="false" ht="15" hidden="false" customHeight="true" outlineLevel="1" collapsed="false">
      <c r="A208" s="49" t="s">
        <v>1893</v>
      </c>
      <c r="B208" s="49" t="s">
        <v>1894</v>
      </c>
      <c r="C208" s="50"/>
    </row>
    <row r="209" customFormat="false" ht="15" hidden="false" customHeight="true" outlineLevel="2" collapsed="false">
      <c r="A209" s="51" t="s">
        <v>253</v>
      </c>
      <c r="B209" s="52" t="s">
        <v>254</v>
      </c>
      <c r="C209" s="25"/>
    </row>
    <row r="210" customFormat="false" ht="15" hidden="false" customHeight="true" outlineLevel="2" collapsed="false">
      <c r="A210" s="51" t="s">
        <v>255</v>
      </c>
      <c r="B210" s="52" t="s">
        <v>256</v>
      </c>
      <c r="C210" s="25"/>
    </row>
    <row r="211" customFormat="false" ht="15" hidden="false" customHeight="true" outlineLevel="1" collapsed="false">
      <c r="A211" s="49" t="s">
        <v>1895</v>
      </c>
      <c r="B211" s="49" t="s">
        <v>1896</v>
      </c>
      <c r="C211" s="50"/>
    </row>
    <row r="212" customFormat="false" ht="15" hidden="false" customHeight="true" outlineLevel="2" collapsed="false">
      <c r="A212" s="51" t="s">
        <v>1897</v>
      </c>
      <c r="B212" s="52" t="s">
        <v>1530</v>
      </c>
      <c r="C212" s="53"/>
    </row>
    <row r="213" customFormat="false" ht="15" hidden="false" customHeight="true" outlineLevel="3" collapsed="false">
      <c r="A213" s="54" t="s">
        <v>1898</v>
      </c>
      <c r="B213" s="55" t="s">
        <v>1530</v>
      </c>
      <c r="C213" s="56"/>
    </row>
    <row r="214" customFormat="false" ht="15" hidden="false" customHeight="true" outlineLevel="4" collapsed="false">
      <c r="A214" s="57" t="s">
        <v>257</v>
      </c>
      <c r="B214" s="58" t="s">
        <v>66</v>
      </c>
      <c r="C214" s="25"/>
    </row>
    <row r="215" customFormat="false" ht="15" hidden="false" customHeight="true" outlineLevel="4" collapsed="false">
      <c r="A215" s="57" t="s">
        <v>258</v>
      </c>
      <c r="B215" s="58" t="s">
        <v>250</v>
      </c>
      <c r="C215" s="25"/>
    </row>
    <row r="216" customFormat="false" ht="15" hidden="false" customHeight="true" outlineLevel="2" collapsed="false">
      <c r="A216" s="51" t="s">
        <v>1899</v>
      </c>
      <c r="B216" s="52" t="s">
        <v>423</v>
      </c>
      <c r="C216" s="53"/>
    </row>
    <row r="217" customFormat="false" ht="15" hidden="false" customHeight="true" outlineLevel="3" collapsed="false">
      <c r="A217" s="54" t="s">
        <v>1900</v>
      </c>
      <c r="B217" s="55" t="s">
        <v>1901</v>
      </c>
      <c r="C217" s="56"/>
    </row>
    <row r="218" customFormat="false" ht="15" hidden="false" customHeight="true" outlineLevel="4" collapsed="false">
      <c r="A218" s="57" t="s">
        <v>259</v>
      </c>
      <c r="B218" s="58" t="s">
        <v>66</v>
      </c>
      <c r="C218" s="25"/>
    </row>
    <row r="219" customFormat="false" ht="15" hidden="false" customHeight="true" outlineLevel="1" collapsed="false">
      <c r="A219" s="49" t="s">
        <v>1902</v>
      </c>
      <c r="B219" s="49" t="s">
        <v>1903</v>
      </c>
      <c r="C219" s="50"/>
    </row>
    <row r="220" customFormat="false" ht="15" hidden="false" customHeight="true" outlineLevel="2" collapsed="false">
      <c r="A220" s="51" t="s">
        <v>1904</v>
      </c>
      <c r="B220" s="52" t="s">
        <v>409</v>
      </c>
      <c r="C220" s="53"/>
    </row>
    <row r="221" customFormat="false" ht="15" hidden="false" customHeight="true" outlineLevel="3" collapsed="false">
      <c r="A221" s="54" t="s">
        <v>1905</v>
      </c>
      <c r="B221" s="55" t="s">
        <v>409</v>
      </c>
      <c r="C221" s="56"/>
    </row>
    <row r="222" customFormat="false" ht="15" hidden="false" customHeight="true" outlineLevel="4" collapsed="false">
      <c r="A222" s="57" t="s">
        <v>260</v>
      </c>
      <c r="B222" s="58" t="s">
        <v>66</v>
      </c>
      <c r="C222" s="25"/>
    </row>
    <row r="223" customFormat="false" ht="15" hidden="false" customHeight="true" outlineLevel="4" collapsed="false">
      <c r="A223" s="57" t="s">
        <v>261</v>
      </c>
      <c r="B223" s="58" t="s">
        <v>165</v>
      </c>
      <c r="C223" s="25"/>
    </row>
    <row r="224" customFormat="false" ht="15" hidden="false" customHeight="true" outlineLevel="1" collapsed="false">
      <c r="A224" s="49" t="s">
        <v>1906</v>
      </c>
      <c r="B224" s="49" t="s">
        <v>1907</v>
      </c>
      <c r="C224" s="50"/>
    </row>
    <row r="225" customFormat="false" ht="15" hidden="false" customHeight="true" outlineLevel="2" collapsed="false">
      <c r="A225" s="51" t="s">
        <v>262</v>
      </c>
      <c r="B225" s="52" t="s">
        <v>263</v>
      </c>
      <c r="C225" s="25"/>
    </row>
    <row r="226" customFormat="false" ht="15" hidden="false" customHeight="true" outlineLevel="2" collapsed="false">
      <c r="A226" s="51" t="s">
        <v>1908</v>
      </c>
      <c r="B226" s="52" t="s">
        <v>427</v>
      </c>
      <c r="C226" s="53"/>
    </row>
    <row r="227" customFormat="false" ht="15" hidden="false" customHeight="true" outlineLevel="3" collapsed="false">
      <c r="A227" s="54" t="s">
        <v>264</v>
      </c>
      <c r="B227" s="55" t="s">
        <v>265</v>
      </c>
      <c r="C227" s="25"/>
    </row>
    <row r="228" customFormat="false" ht="15" hidden="false" customHeight="true" outlineLevel="3" collapsed="false">
      <c r="A228" s="54" t="s">
        <v>266</v>
      </c>
      <c r="B228" s="55" t="s">
        <v>267</v>
      </c>
      <c r="C228" s="25"/>
    </row>
    <row r="229" customFormat="false" ht="15" hidden="false" customHeight="true" outlineLevel="3" collapsed="false">
      <c r="A229" s="54" t="s">
        <v>268</v>
      </c>
      <c r="B229" s="55" t="s">
        <v>269</v>
      </c>
      <c r="C229" s="25"/>
    </row>
    <row r="230" customFormat="false" ht="15" hidden="false" customHeight="true" outlineLevel="3" collapsed="false">
      <c r="A230" s="54" t="s">
        <v>270</v>
      </c>
      <c r="B230" s="55" t="s">
        <v>271</v>
      </c>
      <c r="C230" s="25"/>
    </row>
    <row r="231" customFormat="false" ht="15" hidden="false" customHeight="true" outlineLevel="2" collapsed="false">
      <c r="A231" s="51" t="s">
        <v>272</v>
      </c>
      <c r="B231" s="52" t="s">
        <v>273</v>
      </c>
      <c r="C231" s="25"/>
    </row>
    <row r="232" customFormat="false" ht="15" hidden="false" customHeight="true" outlineLevel="1" collapsed="false">
      <c r="A232" s="49" t="s">
        <v>1909</v>
      </c>
      <c r="B232" s="49" t="s">
        <v>1910</v>
      </c>
      <c r="C232" s="50"/>
    </row>
    <row r="233" customFormat="false" ht="15" hidden="false" customHeight="true" outlineLevel="2" collapsed="false">
      <c r="A233" s="51" t="s">
        <v>274</v>
      </c>
      <c r="B233" s="52" t="s">
        <v>275</v>
      </c>
      <c r="C233" s="25"/>
    </row>
    <row r="234" customFormat="false" ht="15" hidden="false" customHeight="true" outlineLevel="2" collapsed="false">
      <c r="A234" s="51" t="s">
        <v>276</v>
      </c>
      <c r="B234" s="52" t="s">
        <v>277</v>
      </c>
      <c r="C234" s="25"/>
    </row>
    <row r="235" customFormat="false" ht="15" hidden="false" customHeight="true" outlineLevel="1" collapsed="false">
      <c r="A235" s="49" t="s">
        <v>1911</v>
      </c>
      <c r="B235" s="49" t="s">
        <v>1912</v>
      </c>
      <c r="C235" s="50"/>
    </row>
    <row r="236" customFormat="false" ht="15" hidden="false" customHeight="true" outlineLevel="2" collapsed="false">
      <c r="A236" s="51" t="s">
        <v>1913</v>
      </c>
      <c r="B236" s="52" t="s">
        <v>154</v>
      </c>
      <c r="C236" s="53"/>
    </row>
    <row r="237" customFormat="false" ht="15" hidden="false" customHeight="true" outlineLevel="3" collapsed="false">
      <c r="A237" s="54" t="s">
        <v>1914</v>
      </c>
      <c r="B237" s="55" t="s">
        <v>372</v>
      </c>
      <c r="C237" s="56"/>
    </row>
    <row r="238" customFormat="false" ht="15" hidden="false" customHeight="true" outlineLevel="4" collapsed="false">
      <c r="A238" s="57" t="s">
        <v>278</v>
      </c>
      <c r="B238" s="58" t="s">
        <v>66</v>
      </c>
      <c r="C238" s="25"/>
    </row>
    <row r="239" customFormat="false" ht="15" hidden="false" customHeight="true" outlineLevel="4" collapsed="false">
      <c r="A239" s="57" t="s">
        <v>279</v>
      </c>
      <c r="B239" s="58" t="s">
        <v>280</v>
      </c>
      <c r="C239" s="25"/>
    </row>
    <row r="240" customFormat="false" ht="15" hidden="false" customHeight="true" outlineLevel="4" collapsed="false">
      <c r="A240" s="57" t="s">
        <v>281</v>
      </c>
      <c r="B240" s="58" t="s">
        <v>165</v>
      </c>
      <c r="C240" s="25"/>
    </row>
    <row r="241" customFormat="false" ht="15" hidden="false" customHeight="true" outlineLevel="3" collapsed="false">
      <c r="A241" s="54" t="s">
        <v>1915</v>
      </c>
      <c r="B241" s="55" t="s">
        <v>374</v>
      </c>
      <c r="C241" s="56"/>
    </row>
    <row r="242" customFormat="false" ht="15" hidden="false" customHeight="true" outlineLevel="4" collapsed="false">
      <c r="A242" s="57" t="s">
        <v>282</v>
      </c>
      <c r="B242" s="58" t="s">
        <v>66</v>
      </c>
      <c r="C242" s="25"/>
    </row>
    <row r="243" customFormat="false" ht="15" hidden="false" customHeight="true" outlineLevel="4" collapsed="false">
      <c r="A243" s="57" t="s">
        <v>283</v>
      </c>
      <c r="B243" s="58" t="s">
        <v>280</v>
      </c>
      <c r="C243" s="25"/>
    </row>
    <row r="244" customFormat="false" ht="15" hidden="false" customHeight="true" outlineLevel="4" collapsed="false">
      <c r="A244" s="57" t="s">
        <v>284</v>
      </c>
      <c r="B244" s="58" t="s">
        <v>285</v>
      </c>
      <c r="C244" s="25"/>
    </row>
    <row r="245" customFormat="false" ht="15" hidden="false" customHeight="true" outlineLevel="4" collapsed="false">
      <c r="A245" s="57" t="s">
        <v>286</v>
      </c>
      <c r="B245" s="58" t="s">
        <v>165</v>
      </c>
      <c r="C245" s="25"/>
    </row>
    <row r="246" customFormat="false" ht="15" hidden="false" customHeight="true" outlineLevel="2" collapsed="false">
      <c r="A246" s="51" t="s">
        <v>1916</v>
      </c>
      <c r="B246" s="52" t="s">
        <v>156</v>
      </c>
      <c r="C246" s="53"/>
    </row>
    <row r="247" customFormat="false" ht="15" hidden="false" customHeight="true" outlineLevel="3" collapsed="false">
      <c r="A247" s="54" t="s">
        <v>1917</v>
      </c>
      <c r="B247" s="55" t="s">
        <v>368</v>
      </c>
      <c r="C247" s="56"/>
    </row>
    <row r="248" customFormat="false" ht="15" hidden="false" customHeight="true" outlineLevel="4" collapsed="false">
      <c r="A248" s="57" t="s">
        <v>287</v>
      </c>
      <c r="B248" s="58" t="s">
        <v>66</v>
      </c>
      <c r="C248" s="25"/>
    </row>
    <row r="249" customFormat="false" ht="15" hidden="false" customHeight="true" outlineLevel="4" collapsed="false">
      <c r="A249" s="57" t="s">
        <v>288</v>
      </c>
      <c r="B249" s="58" t="s">
        <v>280</v>
      </c>
      <c r="C249" s="25"/>
    </row>
    <row r="250" customFormat="false" ht="15" hidden="false" customHeight="true" outlineLevel="4" collapsed="false">
      <c r="A250" s="57" t="s">
        <v>289</v>
      </c>
      <c r="B250" s="58" t="s">
        <v>250</v>
      </c>
      <c r="C250" s="25"/>
    </row>
    <row r="251" customFormat="false" ht="15" hidden="false" customHeight="true" outlineLevel="4" collapsed="false">
      <c r="A251" s="57" t="s">
        <v>290</v>
      </c>
      <c r="B251" s="58" t="s">
        <v>165</v>
      </c>
      <c r="C251" s="25"/>
    </row>
    <row r="252" customFormat="false" ht="15" hidden="false" customHeight="true" outlineLevel="3" collapsed="false">
      <c r="A252" s="54" t="s">
        <v>1918</v>
      </c>
      <c r="B252" s="55" t="s">
        <v>370</v>
      </c>
      <c r="C252" s="56"/>
    </row>
    <row r="253" customFormat="false" ht="15" hidden="false" customHeight="true" outlineLevel="4" collapsed="false">
      <c r="A253" s="57" t="s">
        <v>291</v>
      </c>
      <c r="B253" s="58" t="s">
        <v>66</v>
      </c>
      <c r="C253" s="25"/>
    </row>
    <row r="254" customFormat="false" ht="15" hidden="false" customHeight="true" outlineLevel="4" collapsed="false">
      <c r="A254" s="57" t="s">
        <v>292</v>
      </c>
      <c r="B254" s="58" t="s">
        <v>280</v>
      </c>
      <c r="C254" s="25"/>
    </row>
    <row r="255" customFormat="false" ht="15" hidden="false" customHeight="true" outlineLevel="4" collapsed="false">
      <c r="A255" s="57" t="s">
        <v>293</v>
      </c>
      <c r="B255" s="58" t="s">
        <v>250</v>
      </c>
      <c r="C255" s="25"/>
    </row>
    <row r="256" customFormat="false" ht="15" hidden="false" customHeight="true" outlineLevel="4" collapsed="false">
      <c r="A256" s="57" t="s">
        <v>294</v>
      </c>
      <c r="B256" s="58" t="s">
        <v>165</v>
      </c>
      <c r="C256" s="25"/>
    </row>
    <row r="257" customFormat="false" ht="15" hidden="false" customHeight="true" outlineLevel="3" collapsed="false">
      <c r="A257" s="54" t="s">
        <v>1919</v>
      </c>
      <c r="B257" s="55" t="s">
        <v>372</v>
      </c>
      <c r="C257" s="56"/>
    </row>
    <row r="258" customFormat="false" ht="15" hidden="false" customHeight="true" outlineLevel="4" collapsed="false">
      <c r="A258" s="57" t="s">
        <v>295</v>
      </c>
      <c r="B258" s="58" t="s">
        <v>66</v>
      </c>
      <c r="C258" s="25"/>
    </row>
    <row r="259" customFormat="false" ht="15" hidden="false" customHeight="true" outlineLevel="4" collapsed="false">
      <c r="A259" s="57" t="s">
        <v>296</v>
      </c>
      <c r="B259" s="58" t="s">
        <v>280</v>
      </c>
      <c r="C259" s="25"/>
    </row>
    <row r="260" customFormat="false" ht="15" hidden="false" customHeight="true" outlineLevel="3" collapsed="false">
      <c r="A260" s="54" t="s">
        <v>1920</v>
      </c>
      <c r="B260" s="55" t="s">
        <v>374</v>
      </c>
      <c r="C260" s="56"/>
    </row>
    <row r="261" customFormat="false" ht="15" hidden="false" customHeight="true" outlineLevel="4" collapsed="false">
      <c r="A261" s="57" t="s">
        <v>297</v>
      </c>
      <c r="B261" s="58" t="s">
        <v>66</v>
      </c>
      <c r="C261" s="25"/>
    </row>
    <row r="262" customFormat="false" ht="15" hidden="false" customHeight="true" outlineLevel="4" collapsed="false">
      <c r="A262" s="57" t="s">
        <v>298</v>
      </c>
      <c r="B262" s="58" t="s">
        <v>280</v>
      </c>
      <c r="C262" s="25"/>
    </row>
    <row r="263" customFormat="false" ht="15" hidden="false" customHeight="true" outlineLevel="4" collapsed="false">
      <c r="A263" s="57" t="s">
        <v>299</v>
      </c>
      <c r="B263" s="58" t="s">
        <v>250</v>
      </c>
      <c r="C263" s="25"/>
    </row>
    <row r="264" customFormat="false" ht="15" hidden="false" customHeight="true" outlineLevel="3" collapsed="false">
      <c r="A264" s="54" t="s">
        <v>1921</v>
      </c>
      <c r="B264" s="55" t="s">
        <v>381</v>
      </c>
      <c r="C264" s="56"/>
    </row>
    <row r="265" customFormat="false" ht="15" hidden="false" customHeight="true" outlineLevel="4" collapsed="false">
      <c r="A265" s="57" t="s">
        <v>300</v>
      </c>
      <c r="B265" s="58" t="s">
        <v>66</v>
      </c>
      <c r="C265" s="25"/>
    </row>
    <row r="266" customFormat="false" ht="15" hidden="false" customHeight="true" outlineLevel="4" collapsed="false">
      <c r="A266" s="57" t="s">
        <v>301</v>
      </c>
      <c r="B266" s="58" t="s">
        <v>280</v>
      </c>
      <c r="C266" s="25"/>
    </row>
    <row r="267" customFormat="false" ht="15" hidden="false" customHeight="true" outlineLevel="4" collapsed="false">
      <c r="A267" s="57" t="s">
        <v>299</v>
      </c>
      <c r="B267" s="58" t="s">
        <v>250</v>
      </c>
      <c r="C267" s="25"/>
    </row>
    <row r="268" customFormat="false" ht="15" hidden="false" customHeight="true" outlineLevel="3" collapsed="false">
      <c r="A268" s="54" t="s">
        <v>1922</v>
      </c>
      <c r="B268" s="55" t="s">
        <v>383</v>
      </c>
      <c r="C268" s="56"/>
    </row>
    <row r="269" customFormat="false" ht="15" hidden="false" customHeight="true" outlineLevel="4" collapsed="false">
      <c r="A269" s="57" t="s">
        <v>302</v>
      </c>
      <c r="B269" s="58" t="s">
        <v>66</v>
      </c>
      <c r="C269" s="25"/>
    </row>
    <row r="270" customFormat="false" ht="15" hidden="false" customHeight="true" outlineLevel="4" collapsed="false">
      <c r="A270" s="57" t="s">
        <v>303</v>
      </c>
      <c r="B270" s="58" t="s">
        <v>280</v>
      </c>
      <c r="C270" s="25"/>
    </row>
    <row r="271" customFormat="false" ht="15" hidden="false" customHeight="true" outlineLevel="3" collapsed="false">
      <c r="A271" s="54" t="s">
        <v>1923</v>
      </c>
      <c r="B271" s="55" t="s">
        <v>385</v>
      </c>
      <c r="C271" s="56"/>
    </row>
    <row r="272" customFormat="false" ht="15" hidden="false" customHeight="true" outlineLevel="4" collapsed="false">
      <c r="A272" s="57" t="s">
        <v>304</v>
      </c>
      <c r="B272" s="58" t="s">
        <v>66</v>
      </c>
      <c r="C272" s="25"/>
    </row>
    <row r="273" customFormat="false" ht="15" hidden="false" customHeight="true" outlineLevel="4" collapsed="false">
      <c r="A273" s="57" t="s">
        <v>305</v>
      </c>
      <c r="B273" s="58" t="s">
        <v>280</v>
      </c>
      <c r="C273" s="25"/>
    </row>
    <row r="274" customFormat="false" ht="15" hidden="false" customHeight="true" outlineLevel="3" collapsed="false">
      <c r="A274" s="54" t="s">
        <v>1924</v>
      </c>
      <c r="B274" s="55" t="s">
        <v>387</v>
      </c>
      <c r="C274" s="56"/>
    </row>
    <row r="275" customFormat="false" ht="15" hidden="false" customHeight="true" outlineLevel="4" collapsed="false">
      <c r="A275" s="57" t="s">
        <v>306</v>
      </c>
      <c r="B275" s="58" t="s">
        <v>66</v>
      </c>
      <c r="C275" s="25"/>
    </row>
    <row r="276" customFormat="false" ht="15" hidden="false" customHeight="true" outlineLevel="4" collapsed="false">
      <c r="A276" s="57" t="s">
        <v>307</v>
      </c>
      <c r="B276" s="58" t="s">
        <v>280</v>
      </c>
      <c r="C276" s="25"/>
    </row>
    <row r="277" customFormat="false" ht="15" hidden="false" customHeight="true" outlineLevel="3" collapsed="false">
      <c r="A277" s="54" t="s">
        <v>1925</v>
      </c>
      <c r="B277" s="55" t="s">
        <v>389</v>
      </c>
      <c r="C277" s="56"/>
    </row>
    <row r="278" customFormat="false" ht="15" hidden="false" customHeight="true" outlineLevel="4" collapsed="false">
      <c r="A278" s="57" t="s">
        <v>308</v>
      </c>
      <c r="B278" s="58" t="s">
        <v>66</v>
      </c>
      <c r="C278" s="25"/>
    </row>
    <row r="279" customFormat="false" ht="15" hidden="false" customHeight="true" outlineLevel="4" collapsed="false">
      <c r="A279" s="57" t="s">
        <v>309</v>
      </c>
      <c r="B279" s="58" t="s">
        <v>280</v>
      </c>
      <c r="C279" s="25"/>
    </row>
    <row r="280" customFormat="false" ht="15" hidden="false" customHeight="true" outlineLevel="3" collapsed="false">
      <c r="A280" s="54" t="s">
        <v>1926</v>
      </c>
      <c r="B280" s="55" t="s">
        <v>1927</v>
      </c>
      <c r="C280" s="56"/>
    </row>
    <row r="281" customFormat="false" ht="15" hidden="false" customHeight="true" outlineLevel="4" collapsed="false">
      <c r="A281" s="57" t="s">
        <v>310</v>
      </c>
      <c r="B281" s="58" t="s">
        <v>66</v>
      </c>
      <c r="C281" s="25"/>
    </row>
    <row r="282" customFormat="false" ht="15" hidden="false" customHeight="true" outlineLevel="4" collapsed="false">
      <c r="A282" s="57" t="s">
        <v>311</v>
      </c>
      <c r="B282" s="58" t="s">
        <v>280</v>
      </c>
      <c r="C282" s="25"/>
    </row>
    <row r="283" customFormat="false" ht="15" hidden="false" customHeight="true" outlineLevel="2" collapsed="false">
      <c r="A283" s="51" t="s">
        <v>1928</v>
      </c>
      <c r="B283" s="52" t="s">
        <v>158</v>
      </c>
      <c r="C283" s="53"/>
    </row>
    <row r="284" customFormat="false" ht="15" hidden="false" customHeight="true" outlineLevel="3" collapsed="false">
      <c r="A284" s="54" t="s">
        <v>1929</v>
      </c>
      <c r="B284" s="55" t="s">
        <v>1930</v>
      </c>
      <c r="C284" s="56"/>
    </row>
    <row r="285" customFormat="false" ht="15" hidden="false" customHeight="true" outlineLevel="4" collapsed="false">
      <c r="A285" s="57" t="s">
        <v>312</v>
      </c>
      <c r="B285" s="58" t="s">
        <v>66</v>
      </c>
      <c r="C285" s="25"/>
    </row>
    <row r="286" customFormat="false" ht="15" hidden="false" customHeight="true" outlineLevel="4" collapsed="false">
      <c r="A286" s="57" t="s">
        <v>313</v>
      </c>
      <c r="B286" s="58" t="s">
        <v>280</v>
      </c>
      <c r="C286" s="25"/>
    </row>
    <row r="287" customFormat="false" ht="15" hidden="false" customHeight="true" outlineLevel="3" collapsed="false">
      <c r="A287" s="54" t="s">
        <v>1931</v>
      </c>
      <c r="B287" s="55" t="s">
        <v>393</v>
      </c>
      <c r="C287" s="56"/>
    </row>
    <row r="288" customFormat="false" ht="15" hidden="false" customHeight="true" outlineLevel="4" collapsed="false">
      <c r="A288" s="57" t="s">
        <v>314</v>
      </c>
      <c r="B288" s="58" t="s">
        <v>66</v>
      </c>
      <c r="C288" s="25"/>
    </row>
    <row r="289" customFormat="false" ht="15" hidden="false" customHeight="true" outlineLevel="4" collapsed="false">
      <c r="A289" s="57" t="s">
        <v>315</v>
      </c>
      <c r="B289" s="58" t="s">
        <v>280</v>
      </c>
      <c r="C289" s="25"/>
    </row>
    <row r="290" customFormat="false" ht="15" hidden="false" customHeight="true" outlineLevel="3" collapsed="false">
      <c r="A290" s="54" t="s">
        <v>1932</v>
      </c>
      <c r="B290" s="55" t="s">
        <v>395</v>
      </c>
      <c r="C290" s="56"/>
    </row>
    <row r="291" customFormat="false" ht="15" hidden="false" customHeight="true" outlineLevel="4" collapsed="false">
      <c r="A291" s="57" t="s">
        <v>316</v>
      </c>
      <c r="B291" s="58" t="s">
        <v>66</v>
      </c>
      <c r="C291" s="25"/>
    </row>
    <row r="292" customFormat="false" ht="15" hidden="false" customHeight="true" outlineLevel="4" collapsed="false">
      <c r="A292" s="57" t="s">
        <v>317</v>
      </c>
      <c r="B292" s="58" t="s">
        <v>280</v>
      </c>
      <c r="C292" s="25"/>
    </row>
    <row r="293" customFormat="false" ht="15" hidden="false" customHeight="true" outlineLevel="3" collapsed="false">
      <c r="A293" s="54" t="s">
        <v>1933</v>
      </c>
      <c r="B293" s="55" t="s">
        <v>397</v>
      </c>
      <c r="C293" s="56"/>
    </row>
    <row r="294" customFormat="false" ht="15" hidden="false" customHeight="true" outlineLevel="4" collapsed="false">
      <c r="A294" s="57" t="s">
        <v>318</v>
      </c>
      <c r="B294" s="58" t="s">
        <v>66</v>
      </c>
      <c r="C294" s="25"/>
    </row>
    <row r="295" customFormat="false" ht="15" hidden="false" customHeight="true" outlineLevel="4" collapsed="false">
      <c r="A295" s="57" t="s">
        <v>319</v>
      </c>
      <c r="B295" s="58" t="s">
        <v>280</v>
      </c>
      <c r="C295" s="25"/>
    </row>
    <row r="296" customFormat="false" ht="15" hidden="false" customHeight="true" outlineLevel="3" collapsed="false">
      <c r="A296" s="54" t="s">
        <v>1934</v>
      </c>
      <c r="B296" s="55" t="s">
        <v>399</v>
      </c>
      <c r="C296" s="56"/>
    </row>
    <row r="297" customFormat="false" ht="15" hidden="false" customHeight="true" outlineLevel="4" collapsed="false">
      <c r="A297" s="57" t="s">
        <v>320</v>
      </c>
      <c r="B297" s="58" t="s">
        <v>66</v>
      </c>
      <c r="C297" s="25"/>
    </row>
    <row r="298" customFormat="false" ht="15" hidden="false" customHeight="true" outlineLevel="4" collapsed="false">
      <c r="A298" s="57" t="s">
        <v>321</v>
      </c>
      <c r="B298" s="58" t="s">
        <v>280</v>
      </c>
      <c r="C298" s="25"/>
    </row>
    <row r="299" customFormat="false" ht="15" hidden="false" customHeight="true" outlineLevel="3" collapsed="false">
      <c r="A299" s="54" t="s">
        <v>1935</v>
      </c>
      <c r="B299" s="55" t="s">
        <v>401</v>
      </c>
      <c r="C299" s="56"/>
    </row>
    <row r="300" customFormat="false" ht="15" hidden="false" customHeight="true" outlineLevel="4" collapsed="false">
      <c r="A300" s="57" t="s">
        <v>322</v>
      </c>
      <c r="B300" s="58" t="s">
        <v>66</v>
      </c>
      <c r="C300" s="25"/>
    </row>
    <row r="301" customFormat="false" ht="15" hidden="false" customHeight="true" outlineLevel="4" collapsed="false">
      <c r="A301" s="57" t="s">
        <v>323</v>
      </c>
      <c r="B301" s="58" t="s">
        <v>280</v>
      </c>
      <c r="C301" s="25"/>
    </row>
    <row r="302" customFormat="false" ht="15" hidden="false" customHeight="true" outlineLevel="2" collapsed="false">
      <c r="A302" s="51" t="s">
        <v>1936</v>
      </c>
      <c r="B302" s="52" t="s">
        <v>160</v>
      </c>
      <c r="C302" s="53"/>
    </row>
    <row r="303" customFormat="false" ht="15" hidden="false" customHeight="true" outlineLevel="3" collapsed="false">
      <c r="A303" s="54" t="s">
        <v>1937</v>
      </c>
      <c r="B303" s="55" t="s">
        <v>403</v>
      </c>
      <c r="C303" s="56"/>
    </row>
    <row r="304" customFormat="false" ht="15" hidden="false" customHeight="true" outlineLevel="4" collapsed="false">
      <c r="A304" s="57" t="s">
        <v>324</v>
      </c>
      <c r="B304" s="58" t="s">
        <v>66</v>
      </c>
      <c r="C304" s="25"/>
    </row>
    <row r="305" customFormat="false" ht="15" hidden="false" customHeight="true" outlineLevel="4" collapsed="false">
      <c r="A305" s="57" t="s">
        <v>325</v>
      </c>
      <c r="B305" s="58" t="s">
        <v>285</v>
      </c>
      <c r="C305" s="25"/>
    </row>
    <row r="306" customFormat="false" ht="15" hidden="false" customHeight="true" outlineLevel="4" collapsed="false">
      <c r="A306" s="57" t="s">
        <v>326</v>
      </c>
      <c r="B306" s="58" t="s">
        <v>165</v>
      </c>
      <c r="C306" s="25"/>
    </row>
    <row r="307" customFormat="false" ht="15" hidden="false" customHeight="true" outlineLevel="3" collapsed="false">
      <c r="A307" s="54" t="s">
        <v>1938</v>
      </c>
      <c r="B307" s="55" t="s">
        <v>405</v>
      </c>
      <c r="C307" s="56"/>
    </row>
    <row r="308" customFormat="false" ht="15" hidden="false" customHeight="true" outlineLevel="4" collapsed="false">
      <c r="A308" s="57" t="s">
        <v>327</v>
      </c>
      <c r="B308" s="58" t="s">
        <v>66</v>
      </c>
      <c r="C308" s="25"/>
    </row>
    <row r="309" customFormat="false" ht="15" hidden="false" customHeight="true" outlineLevel="4" collapsed="false">
      <c r="A309" s="57" t="s">
        <v>328</v>
      </c>
      <c r="B309" s="58" t="s">
        <v>285</v>
      </c>
      <c r="C309" s="25"/>
    </row>
    <row r="310" customFormat="false" ht="15" hidden="false" customHeight="true" outlineLevel="4" collapsed="false">
      <c r="A310" s="57" t="s">
        <v>329</v>
      </c>
      <c r="B310" s="58" t="s">
        <v>165</v>
      </c>
      <c r="C310" s="25"/>
    </row>
    <row r="311" customFormat="false" ht="15" hidden="false" customHeight="true" outlineLevel="2" collapsed="false">
      <c r="A311" s="51" t="s">
        <v>1939</v>
      </c>
      <c r="B311" s="52" t="s">
        <v>1940</v>
      </c>
      <c r="C311" s="53"/>
    </row>
    <row r="312" customFormat="false" ht="15" hidden="false" customHeight="true" outlineLevel="3" collapsed="false">
      <c r="A312" s="54" t="s">
        <v>1941</v>
      </c>
      <c r="B312" s="55" t="s">
        <v>374</v>
      </c>
      <c r="C312" s="56"/>
    </row>
    <row r="313" customFormat="false" ht="15" hidden="false" customHeight="true" outlineLevel="4" collapsed="false">
      <c r="A313" s="57" t="s">
        <v>330</v>
      </c>
      <c r="B313" s="58" t="s">
        <v>66</v>
      </c>
      <c r="C313" s="25"/>
    </row>
    <row r="314" customFormat="false" ht="15" hidden="false" customHeight="true" outlineLevel="4" collapsed="false">
      <c r="A314" s="57" t="s">
        <v>331</v>
      </c>
      <c r="B314" s="58" t="s">
        <v>280</v>
      </c>
      <c r="C314" s="25"/>
    </row>
    <row r="315" customFormat="false" ht="15" hidden="false" customHeight="true" outlineLevel="4" collapsed="false">
      <c r="A315" s="57" t="s">
        <v>332</v>
      </c>
      <c r="B315" s="58" t="s">
        <v>250</v>
      </c>
      <c r="C315" s="25"/>
    </row>
    <row r="316" customFormat="false" ht="15" hidden="false" customHeight="true" outlineLevel="2" collapsed="false">
      <c r="A316" s="51" t="s">
        <v>1942</v>
      </c>
      <c r="B316" s="52" t="s">
        <v>1943</v>
      </c>
      <c r="C316" s="53"/>
    </row>
    <row r="317" customFormat="false" ht="15" hidden="false" customHeight="true" outlineLevel="3" collapsed="false">
      <c r="A317" s="54" t="s">
        <v>1944</v>
      </c>
      <c r="B317" s="55" t="s">
        <v>368</v>
      </c>
      <c r="C317" s="56"/>
    </row>
    <row r="318" customFormat="false" ht="15" hidden="false" customHeight="true" outlineLevel="4" collapsed="false">
      <c r="A318" s="57" t="s">
        <v>333</v>
      </c>
      <c r="B318" s="58" t="s">
        <v>66</v>
      </c>
      <c r="C318" s="25"/>
    </row>
    <row r="319" customFormat="false" ht="15" hidden="false" customHeight="true" outlineLevel="4" collapsed="false">
      <c r="A319" s="57" t="s">
        <v>334</v>
      </c>
      <c r="B319" s="58" t="s">
        <v>280</v>
      </c>
      <c r="C319" s="25"/>
    </row>
    <row r="320" customFormat="false" ht="15" hidden="false" customHeight="true" outlineLevel="4" collapsed="false">
      <c r="A320" s="57" t="s">
        <v>335</v>
      </c>
      <c r="B320" s="58" t="s">
        <v>250</v>
      </c>
      <c r="C320" s="25"/>
    </row>
    <row r="321" customFormat="false" ht="15" hidden="false" customHeight="true" outlineLevel="4" collapsed="false">
      <c r="A321" s="57" t="s">
        <v>336</v>
      </c>
      <c r="B321" s="58" t="s">
        <v>165</v>
      </c>
      <c r="C321" s="25"/>
    </row>
    <row r="322" customFormat="false" ht="15" hidden="false" customHeight="true" outlineLevel="3" collapsed="false">
      <c r="A322" s="54" t="s">
        <v>1945</v>
      </c>
      <c r="B322" s="55" t="s">
        <v>374</v>
      </c>
      <c r="C322" s="56"/>
    </row>
    <row r="323" customFormat="false" ht="15" hidden="false" customHeight="true" outlineLevel="4" collapsed="false">
      <c r="A323" s="57" t="s">
        <v>337</v>
      </c>
      <c r="B323" s="58" t="s">
        <v>66</v>
      </c>
      <c r="C323" s="25"/>
    </row>
    <row r="324" customFormat="false" ht="15" hidden="false" customHeight="true" outlineLevel="4" collapsed="false">
      <c r="A324" s="57" t="s">
        <v>338</v>
      </c>
      <c r="B324" s="58" t="s">
        <v>280</v>
      </c>
      <c r="C324" s="25"/>
    </row>
    <row r="325" customFormat="false" ht="15" hidden="false" customHeight="true" outlineLevel="4" collapsed="false">
      <c r="A325" s="57" t="s">
        <v>339</v>
      </c>
      <c r="B325" s="58" t="s">
        <v>250</v>
      </c>
      <c r="C325" s="25"/>
    </row>
    <row r="326" customFormat="false" ht="15" hidden="false" customHeight="true" outlineLevel="3" collapsed="false">
      <c r="A326" s="54" t="s">
        <v>1946</v>
      </c>
      <c r="B326" s="55" t="s">
        <v>1947</v>
      </c>
      <c r="C326" s="56"/>
    </row>
    <row r="327" customFormat="false" ht="15" hidden="false" customHeight="true" outlineLevel="4" collapsed="false">
      <c r="A327" s="57" t="s">
        <v>340</v>
      </c>
      <c r="B327" s="58" t="s">
        <v>66</v>
      </c>
      <c r="C327" s="25"/>
    </row>
    <row r="328" customFormat="false" ht="15" hidden="false" customHeight="true" outlineLevel="4" collapsed="false">
      <c r="A328" s="57" t="s">
        <v>341</v>
      </c>
      <c r="B328" s="58" t="s">
        <v>280</v>
      </c>
      <c r="C328" s="25"/>
    </row>
    <row r="329" customFormat="false" ht="15" hidden="false" customHeight="true" outlineLevel="4" collapsed="false">
      <c r="A329" s="57" t="s">
        <v>342</v>
      </c>
      <c r="B329" s="58" t="s">
        <v>250</v>
      </c>
      <c r="C329" s="25"/>
    </row>
    <row r="330" customFormat="false" ht="15" hidden="false" customHeight="true" outlineLevel="3" collapsed="false">
      <c r="A330" s="54" t="s">
        <v>1948</v>
      </c>
      <c r="B330" s="55" t="s">
        <v>383</v>
      </c>
      <c r="C330" s="56"/>
    </row>
    <row r="331" customFormat="false" ht="15" hidden="false" customHeight="true" outlineLevel="4" collapsed="false">
      <c r="A331" s="57" t="s">
        <v>343</v>
      </c>
      <c r="B331" s="58" t="s">
        <v>66</v>
      </c>
      <c r="C331" s="25"/>
    </row>
    <row r="332" customFormat="false" ht="15" hidden="false" customHeight="true" outlineLevel="4" collapsed="false">
      <c r="A332" s="57" t="s">
        <v>344</v>
      </c>
      <c r="B332" s="58" t="s">
        <v>280</v>
      </c>
      <c r="C332" s="25"/>
    </row>
    <row r="333" customFormat="false" ht="15" hidden="false" customHeight="true" outlineLevel="3" collapsed="false">
      <c r="A333" s="54" t="s">
        <v>1949</v>
      </c>
      <c r="B333" s="55" t="s">
        <v>385</v>
      </c>
      <c r="C333" s="56"/>
    </row>
    <row r="334" customFormat="false" ht="15" hidden="false" customHeight="true" outlineLevel="4" collapsed="false">
      <c r="A334" s="57" t="s">
        <v>345</v>
      </c>
      <c r="B334" s="58" t="s">
        <v>66</v>
      </c>
      <c r="C334" s="25"/>
    </row>
    <row r="335" customFormat="false" ht="15" hidden="false" customHeight="true" outlineLevel="4" collapsed="false">
      <c r="A335" s="57" t="s">
        <v>346</v>
      </c>
      <c r="B335" s="58" t="s">
        <v>280</v>
      </c>
      <c r="C335" s="25"/>
    </row>
    <row r="336" customFormat="false" ht="15" hidden="false" customHeight="true" outlineLevel="3" collapsed="false">
      <c r="A336" s="54" t="s">
        <v>1950</v>
      </c>
      <c r="B336" s="55" t="s">
        <v>387</v>
      </c>
      <c r="C336" s="56"/>
    </row>
    <row r="337" customFormat="false" ht="15" hidden="false" customHeight="true" outlineLevel="4" collapsed="false">
      <c r="A337" s="57" t="s">
        <v>347</v>
      </c>
      <c r="B337" s="58" t="s">
        <v>66</v>
      </c>
      <c r="C337" s="25"/>
    </row>
    <row r="338" customFormat="false" ht="15" hidden="false" customHeight="true" outlineLevel="4" collapsed="false">
      <c r="A338" s="57" t="s">
        <v>348</v>
      </c>
      <c r="B338" s="58" t="s">
        <v>280</v>
      </c>
      <c r="C338" s="25"/>
    </row>
    <row r="339" customFormat="false" ht="15" hidden="false" customHeight="true" outlineLevel="3" collapsed="false">
      <c r="A339" s="54" t="s">
        <v>1951</v>
      </c>
      <c r="B339" s="55" t="s">
        <v>389</v>
      </c>
      <c r="C339" s="56"/>
    </row>
    <row r="340" customFormat="false" ht="15" hidden="false" customHeight="true" outlineLevel="4" collapsed="false">
      <c r="A340" s="57" t="s">
        <v>349</v>
      </c>
      <c r="B340" s="58" t="s">
        <v>66</v>
      </c>
      <c r="C340" s="25"/>
    </row>
    <row r="341" customFormat="false" ht="15" hidden="false" customHeight="true" outlineLevel="4" collapsed="false">
      <c r="A341" s="57" t="s">
        <v>350</v>
      </c>
      <c r="B341" s="58" t="s">
        <v>280</v>
      </c>
      <c r="C341" s="25"/>
    </row>
    <row r="342" customFormat="false" ht="15" hidden="false" customHeight="true" outlineLevel="2" collapsed="false">
      <c r="A342" s="51" t="s">
        <v>1952</v>
      </c>
      <c r="B342" s="52" t="s">
        <v>1953</v>
      </c>
      <c r="C342" s="53"/>
    </row>
    <row r="343" customFormat="false" ht="15" hidden="false" customHeight="true" outlineLevel="3" collapsed="false">
      <c r="A343" s="54" t="s">
        <v>1954</v>
      </c>
      <c r="B343" s="55" t="s">
        <v>1930</v>
      </c>
      <c r="C343" s="56"/>
    </row>
    <row r="344" customFormat="false" ht="15" hidden="false" customHeight="true" outlineLevel="4" collapsed="false">
      <c r="A344" s="57" t="s">
        <v>351</v>
      </c>
      <c r="B344" s="58" t="s">
        <v>66</v>
      </c>
      <c r="C344" s="25"/>
    </row>
    <row r="345" customFormat="false" ht="15" hidden="false" customHeight="true" outlineLevel="4" collapsed="false">
      <c r="A345" s="57" t="s">
        <v>352</v>
      </c>
      <c r="B345" s="58" t="s">
        <v>280</v>
      </c>
      <c r="C345" s="25"/>
    </row>
    <row r="346" customFormat="false" ht="15" hidden="false" customHeight="true" outlineLevel="3" collapsed="false">
      <c r="A346" s="54" t="s">
        <v>1955</v>
      </c>
      <c r="B346" s="55" t="s">
        <v>393</v>
      </c>
      <c r="C346" s="56"/>
    </row>
    <row r="347" customFormat="false" ht="15" hidden="false" customHeight="true" outlineLevel="4" collapsed="false">
      <c r="A347" s="57" t="s">
        <v>353</v>
      </c>
      <c r="B347" s="58" t="s">
        <v>66</v>
      </c>
      <c r="C347" s="25"/>
    </row>
    <row r="348" customFormat="false" ht="15" hidden="false" customHeight="true" outlineLevel="4" collapsed="false">
      <c r="A348" s="57" t="s">
        <v>354</v>
      </c>
      <c r="B348" s="58" t="s">
        <v>280</v>
      </c>
      <c r="C348" s="25"/>
    </row>
    <row r="349" customFormat="false" ht="15" hidden="false" customHeight="true" outlineLevel="3" collapsed="false">
      <c r="A349" s="54" t="s">
        <v>1956</v>
      </c>
      <c r="B349" s="55" t="s">
        <v>395</v>
      </c>
      <c r="C349" s="56"/>
    </row>
    <row r="350" customFormat="false" ht="15" hidden="false" customHeight="true" outlineLevel="4" collapsed="false">
      <c r="A350" s="57" t="s">
        <v>355</v>
      </c>
      <c r="B350" s="58" t="s">
        <v>66</v>
      </c>
      <c r="C350" s="25"/>
    </row>
    <row r="351" customFormat="false" ht="15" hidden="false" customHeight="true" outlineLevel="4" collapsed="false">
      <c r="A351" s="57" t="s">
        <v>356</v>
      </c>
      <c r="B351" s="58" t="s">
        <v>280</v>
      </c>
      <c r="C351" s="25"/>
    </row>
    <row r="352" customFormat="false" ht="15" hidden="false" customHeight="true" outlineLevel="3" collapsed="false">
      <c r="A352" s="54" t="s">
        <v>1957</v>
      </c>
      <c r="B352" s="55" t="s">
        <v>397</v>
      </c>
      <c r="C352" s="56"/>
    </row>
    <row r="353" customFormat="false" ht="15" hidden="false" customHeight="true" outlineLevel="4" collapsed="false">
      <c r="A353" s="57" t="s">
        <v>357</v>
      </c>
      <c r="B353" s="58" t="s">
        <v>66</v>
      </c>
      <c r="C353" s="25"/>
    </row>
    <row r="354" customFormat="false" ht="15" hidden="false" customHeight="true" outlineLevel="4" collapsed="false">
      <c r="A354" s="57" t="s">
        <v>358</v>
      </c>
      <c r="B354" s="58" t="s">
        <v>280</v>
      </c>
      <c r="C354" s="25"/>
    </row>
    <row r="355" customFormat="false" ht="15" hidden="false" customHeight="true" outlineLevel="3" collapsed="false">
      <c r="A355" s="54" t="s">
        <v>1958</v>
      </c>
      <c r="B355" s="55" t="s">
        <v>399</v>
      </c>
      <c r="C355" s="56"/>
    </row>
    <row r="356" customFormat="false" ht="15" hidden="false" customHeight="true" outlineLevel="4" collapsed="false">
      <c r="A356" s="57" t="s">
        <v>359</v>
      </c>
      <c r="B356" s="58" t="s">
        <v>66</v>
      </c>
      <c r="C356" s="25"/>
    </row>
    <row r="357" customFormat="false" ht="15" hidden="false" customHeight="true" outlineLevel="4" collapsed="false">
      <c r="A357" s="57" t="s">
        <v>360</v>
      </c>
      <c r="B357" s="58" t="s">
        <v>280</v>
      </c>
      <c r="C357" s="25"/>
    </row>
    <row r="358" customFormat="false" ht="15" hidden="false" customHeight="true" outlineLevel="3" collapsed="false">
      <c r="A358" s="54" t="s">
        <v>1959</v>
      </c>
      <c r="B358" s="55" t="s">
        <v>401</v>
      </c>
      <c r="C358" s="56"/>
    </row>
    <row r="359" customFormat="false" ht="15" hidden="false" customHeight="true" outlineLevel="4" collapsed="false">
      <c r="A359" s="57" t="s">
        <v>361</v>
      </c>
      <c r="B359" s="58" t="s">
        <v>66</v>
      </c>
      <c r="C359" s="25"/>
    </row>
    <row r="360" customFormat="false" ht="15" hidden="false" customHeight="true" outlineLevel="4" collapsed="false">
      <c r="A360" s="57" t="s">
        <v>362</v>
      </c>
      <c r="B360" s="58" t="s">
        <v>280</v>
      </c>
      <c r="C360" s="25"/>
    </row>
    <row r="361" customFormat="false" ht="15" hidden="false" customHeight="true" outlineLevel="2" collapsed="false">
      <c r="A361" s="51" t="s">
        <v>1960</v>
      </c>
      <c r="B361" s="52" t="s">
        <v>1961</v>
      </c>
      <c r="C361" s="53"/>
    </row>
    <row r="362" customFormat="false" ht="15" hidden="false" customHeight="true" outlineLevel="3" collapsed="false">
      <c r="A362" s="54" t="s">
        <v>1962</v>
      </c>
      <c r="B362" s="55" t="s">
        <v>403</v>
      </c>
      <c r="C362" s="56"/>
    </row>
    <row r="363" customFormat="false" ht="15" hidden="false" customHeight="true" outlineLevel="4" collapsed="false">
      <c r="A363" s="57" t="s">
        <v>363</v>
      </c>
      <c r="B363" s="58" t="s">
        <v>66</v>
      </c>
      <c r="C363" s="25"/>
    </row>
    <row r="364" customFormat="false" ht="15" hidden="false" customHeight="true" outlineLevel="4" collapsed="false">
      <c r="A364" s="57" t="s">
        <v>364</v>
      </c>
      <c r="B364" s="58" t="s">
        <v>250</v>
      </c>
      <c r="C364" s="25"/>
    </row>
    <row r="365" customFormat="false" ht="15" hidden="false" customHeight="true" outlineLevel="3" collapsed="false">
      <c r="A365" s="54" t="s">
        <v>1963</v>
      </c>
      <c r="B365" s="55" t="s">
        <v>405</v>
      </c>
      <c r="C365" s="56"/>
    </row>
    <row r="366" customFormat="false" ht="15" hidden="false" customHeight="true" outlineLevel="4" collapsed="false">
      <c r="A366" s="57" t="s">
        <v>365</v>
      </c>
      <c r="B366" s="58" t="s">
        <v>66</v>
      </c>
      <c r="C366" s="25"/>
    </row>
    <row r="367" customFormat="false" ht="15" hidden="false" customHeight="true" outlineLevel="4" collapsed="false">
      <c r="A367" s="57" t="s">
        <v>366</v>
      </c>
      <c r="B367" s="58" t="s">
        <v>250</v>
      </c>
      <c r="C367" s="25"/>
    </row>
    <row r="368" customFormat="false" ht="15" hidden="false" customHeight="true" outlineLevel="2" collapsed="false">
      <c r="A368" s="51" t="s">
        <v>1964</v>
      </c>
      <c r="B368" s="52" t="s">
        <v>1965</v>
      </c>
      <c r="C368" s="53"/>
    </row>
    <row r="369" customFormat="false" ht="15" hidden="false" customHeight="true" outlineLevel="3" collapsed="false">
      <c r="A369" s="54" t="s">
        <v>1966</v>
      </c>
      <c r="B369" s="55" t="s">
        <v>1231</v>
      </c>
      <c r="C369" s="56"/>
    </row>
    <row r="370" customFormat="false" ht="15" hidden="false" customHeight="true" outlineLevel="4" collapsed="false">
      <c r="A370" s="57" t="s">
        <v>367</v>
      </c>
      <c r="B370" s="58" t="s">
        <v>368</v>
      </c>
      <c r="C370" s="25"/>
    </row>
    <row r="371" customFormat="false" ht="15" hidden="false" customHeight="true" outlineLevel="4" collapsed="false">
      <c r="A371" s="57" t="s">
        <v>369</v>
      </c>
      <c r="B371" s="58" t="s">
        <v>370</v>
      </c>
      <c r="C371" s="25"/>
    </row>
    <row r="372" customFormat="false" ht="15" hidden="false" customHeight="true" outlineLevel="4" collapsed="false">
      <c r="A372" s="57" t="s">
        <v>371</v>
      </c>
      <c r="B372" s="58" t="s">
        <v>372</v>
      </c>
      <c r="C372" s="25"/>
    </row>
    <row r="373" customFormat="false" ht="15" hidden="false" customHeight="true" outlineLevel="4" collapsed="false">
      <c r="A373" s="57" t="s">
        <v>373</v>
      </c>
      <c r="B373" s="58" t="s">
        <v>374</v>
      </c>
      <c r="C373" s="25"/>
    </row>
    <row r="374" customFormat="false" ht="15" hidden="false" customHeight="true" outlineLevel="3" collapsed="false">
      <c r="A374" s="54" t="s">
        <v>1967</v>
      </c>
      <c r="B374" s="55" t="s">
        <v>156</v>
      </c>
      <c r="C374" s="56"/>
    </row>
    <row r="375" customFormat="false" ht="15" hidden="false" customHeight="true" outlineLevel="4" collapsed="false">
      <c r="A375" s="57" t="s">
        <v>375</v>
      </c>
      <c r="B375" s="58" t="s">
        <v>376</v>
      </c>
      <c r="C375" s="25"/>
    </row>
    <row r="376" customFormat="false" ht="15" hidden="false" customHeight="true" outlineLevel="4" collapsed="false">
      <c r="A376" s="57" t="s">
        <v>377</v>
      </c>
      <c r="B376" s="58" t="s">
        <v>370</v>
      </c>
      <c r="C376" s="25"/>
    </row>
    <row r="377" customFormat="false" ht="15" hidden="false" customHeight="true" outlineLevel="4" collapsed="false">
      <c r="A377" s="57" t="s">
        <v>378</v>
      </c>
      <c r="B377" s="58" t="s">
        <v>372</v>
      </c>
      <c r="C377" s="25"/>
    </row>
    <row r="378" customFormat="false" ht="15" hidden="false" customHeight="true" outlineLevel="4" collapsed="false">
      <c r="A378" s="57" t="s">
        <v>379</v>
      </c>
      <c r="B378" s="58" t="s">
        <v>374</v>
      </c>
      <c r="C378" s="25"/>
    </row>
    <row r="379" customFormat="false" ht="15" hidden="false" customHeight="true" outlineLevel="4" collapsed="false">
      <c r="A379" s="57" t="s">
        <v>380</v>
      </c>
      <c r="B379" s="58" t="s">
        <v>381</v>
      </c>
      <c r="C379" s="25"/>
    </row>
    <row r="380" customFormat="false" ht="15" hidden="false" customHeight="true" outlineLevel="4" collapsed="false">
      <c r="A380" s="57" t="s">
        <v>382</v>
      </c>
      <c r="B380" s="58" t="s">
        <v>383</v>
      </c>
      <c r="C380" s="25"/>
    </row>
    <row r="381" customFormat="false" ht="15" hidden="false" customHeight="true" outlineLevel="4" collapsed="false">
      <c r="A381" s="57" t="s">
        <v>384</v>
      </c>
      <c r="B381" s="58" t="s">
        <v>385</v>
      </c>
      <c r="C381" s="25"/>
    </row>
    <row r="382" customFormat="false" ht="15" hidden="false" customHeight="true" outlineLevel="4" collapsed="false">
      <c r="A382" s="57" t="s">
        <v>386</v>
      </c>
      <c r="B382" s="58" t="s">
        <v>387</v>
      </c>
      <c r="C382" s="25"/>
    </row>
    <row r="383" customFormat="false" ht="15" hidden="false" customHeight="true" outlineLevel="4" collapsed="false">
      <c r="A383" s="57" t="s">
        <v>388</v>
      </c>
      <c r="B383" s="58" t="s">
        <v>389</v>
      </c>
      <c r="C383" s="25"/>
    </row>
    <row r="384" customFormat="false" ht="15" hidden="false" customHeight="true" outlineLevel="3" collapsed="false">
      <c r="A384" s="54" t="s">
        <v>1968</v>
      </c>
      <c r="B384" s="55" t="s">
        <v>158</v>
      </c>
      <c r="C384" s="56"/>
    </row>
    <row r="385" customFormat="false" ht="15" hidden="false" customHeight="true" outlineLevel="4" collapsed="false">
      <c r="A385" s="57" t="s">
        <v>390</v>
      </c>
      <c r="B385" s="58" t="s">
        <v>391</v>
      </c>
      <c r="C385" s="25"/>
    </row>
    <row r="386" customFormat="false" ht="15" hidden="false" customHeight="true" outlineLevel="4" collapsed="false">
      <c r="A386" s="57" t="s">
        <v>392</v>
      </c>
      <c r="B386" s="58" t="s">
        <v>393</v>
      </c>
      <c r="C386" s="25"/>
    </row>
    <row r="387" customFormat="false" ht="15" hidden="false" customHeight="true" outlineLevel="4" collapsed="false">
      <c r="A387" s="57" t="s">
        <v>394</v>
      </c>
      <c r="B387" s="58" t="s">
        <v>395</v>
      </c>
      <c r="C387" s="25"/>
    </row>
    <row r="388" customFormat="false" ht="15" hidden="false" customHeight="true" outlineLevel="4" collapsed="false">
      <c r="A388" s="57" t="s">
        <v>396</v>
      </c>
      <c r="B388" s="58" t="s">
        <v>397</v>
      </c>
      <c r="C388" s="25"/>
    </row>
    <row r="389" customFormat="false" ht="15" hidden="false" customHeight="true" outlineLevel="4" collapsed="false">
      <c r="A389" s="57" t="s">
        <v>398</v>
      </c>
      <c r="B389" s="58" t="s">
        <v>399</v>
      </c>
      <c r="C389" s="25"/>
    </row>
    <row r="390" customFormat="false" ht="15" hidden="false" customHeight="true" outlineLevel="4" collapsed="false">
      <c r="A390" s="57" t="s">
        <v>400</v>
      </c>
      <c r="B390" s="58" t="s">
        <v>401</v>
      </c>
      <c r="C390" s="25"/>
    </row>
    <row r="391" customFormat="false" ht="15" hidden="false" customHeight="true" outlineLevel="3" collapsed="false">
      <c r="A391" s="54" t="s">
        <v>1969</v>
      </c>
      <c r="B391" s="55" t="s">
        <v>160</v>
      </c>
      <c r="C391" s="56"/>
    </row>
    <row r="392" customFormat="false" ht="15" hidden="false" customHeight="true" outlineLevel="4" collapsed="false">
      <c r="A392" s="57" t="s">
        <v>402</v>
      </c>
      <c r="B392" s="58" t="s">
        <v>403</v>
      </c>
      <c r="C392" s="25"/>
    </row>
    <row r="393" customFormat="false" ht="15" hidden="false" customHeight="true" outlineLevel="4" collapsed="false">
      <c r="A393" s="57" t="s">
        <v>404</v>
      </c>
      <c r="B393" s="58" t="s">
        <v>405</v>
      </c>
      <c r="C393" s="25"/>
    </row>
    <row r="394" customFormat="false" ht="15" hidden="false" customHeight="true" outlineLevel="1" collapsed="false">
      <c r="A394" s="49" t="s">
        <v>1970</v>
      </c>
      <c r="B394" s="49" t="s">
        <v>1971</v>
      </c>
      <c r="C394" s="50"/>
    </row>
    <row r="395" customFormat="false" ht="15" hidden="false" customHeight="true" outlineLevel="2" collapsed="false">
      <c r="A395" s="51" t="s">
        <v>406</v>
      </c>
      <c r="B395" s="52" t="s">
        <v>407</v>
      </c>
      <c r="C395" s="25"/>
    </row>
    <row r="396" customFormat="false" ht="15" hidden="false" customHeight="true" outlineLevel="2" collapsed="false">
      <c r="A396" s="51" t="s">
        <v>408</v>
      </c>
      <c r="B396" s="52" t="s">
        <v>409</v>
      </c>
      <c r="C396" s="25"/>
    </row>
    <row r="397" customFormat="false" ht="15" hidden="false" customHeight="true" outlineLevel="2" collapsed="false">
      <c r="A397" s="51" t="s">
        <v>410</v>
      </c>
      <c r="B397" s="52" t="s">
        <v>411</v>
      </c>
      <c r="C397" s="25"/>
    </row>
    <row r="398" customFormat="false" ht="15" hidden="false" customHeight="true" outlineLevel="2" collapsed="false">
      <c r="A398" s="51" t="s">
        <v>412</v>
      </c>
      <c r="B398" s="52" t="s">
        <v>413</v>
      </c>
      <c r="C398" s="25"/>
    </row>
    <row r="399" customFormat="false" ht="15" hidden="false" customHeight="true" outlineLevel="1" collapsed="false">
      <c r="A399" s="49" t="s">
        <v>1972</v>
      </c>
      <c r="B399" s="49" t="s">
        <v>1973</v>
      </c>
      <c r="C399" s="50"/>
    </row>
    <row r="400" customFormat="false" ht="15" hidden="false" customHeight="true" outlineLevel="2" collapsed="false">
      <c r="A400" s="51" t="s">
        <v>1974</v>
      </c>
      <c r="B400" s="52" t="s">
        <v>407</v>
      </c>
      <c r="C400" s="53"/>
    </row>
    <row r="401" customFormat="false" ht="15" hidden="false" customHeight="true" outlineLevel="3" collapsed="false">
      <c r="A401" s="54" t="s">
        <v>1975</v>
      </c>
      <c r="B401" s="55" t="s">
        <v>407</v>
      </c>
      <c r="C401" s="56"/>
    </row>
    <row r="402" customFormat="false" ht="15" hidden="false" customHeight="true" outlineLevel="4" collapsed="false">
      <c r="A402" s="57" t="s">
        <v>414</v>
      </c>
      <c r="B402" s="58" t="s">
        <v>66</v>
      </c>
      <c r="C402" s="25"/>
    </row>
    <row r="403" customFormat="false" ht="15" hidden="false" customHeight="true" outlineLevel="2" collapsed="false">
      <c r="A403" s="51" t="s">
        <v>1976</v>
      </c>
      <c r="B403" s="52" t="s">
        <v>1328</v>
      </c>
      <c r="C403" s="53"/>
    </row>
    <row r="404" customFormat="false" ht="15" hidden="false" customHeight="true" outlineLevel="3" collapsed="false">
      <c r="A404" s="54" t="s">
        <v>1977</v>
      </c>
      <c r="B404" s="55" t="s">
        <v>1328</v>
      </c>
      <c r="C404" s="56"/>
    </row>
    <row r="405" customFormat="false" ht="15" hidden="false" customHeight="true" outlineLevel="4" collapsed="false">
      <c r="A405" s="57" t="s">
        <v>415</v>
      </c>
      <c r="B405" s="58" t="s">
        <v>66</v>
      </c>
      <c r="C405" s="25"/>
    </row>
    <row r="406" customFormat="false" ht="15" hidden="false" customHeight="true" outlineLevel="4" collapsed="false">
      <c r="A406" s="57" t="s">
        <v>416</v>
      </c>
      <c r="B406" s="58" t="s">
        <v>250</v>
      </c>
      <c r="C406" s="25"/>
    </row>
    <row r="407" customFormat="false" ht="15" hidden="false" customHeight="true" outlineLevel="3" collapsed="false">
      <c r="A407" s="54" t="s">
        <v>1978</v>
      </c>
      <c r="B407" s="55" t="s">
        <v>1890</v>
      </c>
      <c r="C407" s="56"/>
    </row>
    <row r="408" customFormat="false" ht="15" hidden="false" customHeight="true" outlineLevel="4" collapsed="false">
      <c r="A408" s="57" t="s">
        <v>417</v>
      </c>
      <c r="B408" s="58" t="s">
        <v>66</v>
      </c>
      <c r="C408" s="25"/>
    </row>
    <row r="409" customFormat="false" ht="15" hidden="false" customHeight="true" outlineLevel="2" collapsed="false">
      <c r="A409" s="51" t="s">
        <v>1979</v>
      </c>
      <c r="B409" s="52" t="s">
        <v>1528</v>
      </c>
      <c r="C409" s="53"/>
    </row>
    <row r="410" customFormat="false" ht="15" hidden="false" customHeight="true" outlineLevel="3" collapsed="false">
      <c r="A410" s="54" t="s">
        <v>418</v>
      </c>
      <c r="B410" s="55" t="s">
        <v>254</v>
      </c>
      <c r="C410" s="25"/>
    </row>
    <row r="411" customFormat="false" ht="15" hidden="false" customHeight="true" outlineLevel="3" collapsed="false">
      <c r="A411" s="54" t="s">
        <v>419</v>
      </c>
      <c r="B411" s="55" t="s">
        <v>256</v>
      </c>
      <c r="C411" s="25"/>
    </row>
    <row r="412" customFormat="false" ht="15" hidden="false" customHeight="true" outlineLevel="2" collapsed="false">
      <c r="A412" s="51" t="s">
        <v>1980</v>
      </c>
      <c r="B412" s="52" t="s">
        <v>1530</v>
      </c>
      <c r="C412" s="53"/>
    </row>
    <row r="413" customFormat="false" ht="15" hidden="false" customHeight="true" outlineLevel="3" collapsed="false">
      <c r="A413" s="54" t="s">
        <v>1981</v>
      </c>
      <c r="B413" s="55" t="s">
        <v>1530</v>
      </c>
      <c r="C413" s="56"/>
    </row>
    <row r="414" customFormat="false" ht="15" hidden="false" customHeight="true" outlineLevel="4" collapsed="false">
      <c r="A414" s="57" t="s">
        <v>420</v>
      </c>
      <c r="B414" s="58" t="s">
        <v>66</v>
      </c>
      <c r="C414" s="25"/>
    </row>
    <row r="415" customFormat="false" ht="15" hidden="false" customHeight="true" outlineLevel="4" collapsed="false">
      <c r="A415" s="57" t="s">
        <v>421</v>
      </c>
      <c r="B415" s="58" t="s">
        <v>250</v>
      </c>
      <c r="C415" s="25"/>
    </row>
    <row r="416" customFormat="false" ht="15" hidden="false" customHeight="true" outlineLevel="3" collapsed="false">
      <c r="A416" s="54" t="s">
        <v>422</v>
      </c>
      <c r="B416" s="55" t="s">
        <v>423</v>
      </c>
      <c r="C416" s="25"/>
    </row>
    <row r="417" customFormat="false" ht="15" hidden="false" customHeight="true" outlineLevel="2" collapsed="false">
      <c r="A417" s="51" t="s">
        <v>1982</v>
      </c>
      <c r="B417" s="52" t="s">
        <v>409</v>
      </c>
      <c r="C417" s="53"/>
    </row>
    <row r="418" customFormat="false" ht="15" hidden="false" customHeight="true" outlineLevel="3" collapsed="false">
      <c r="A418" s="54" t="s">
        <v>1983</v>
      </c>
      <c r="B418" s="55" t="s">
        <v>409</v>
      </c>
      <c r="C418" s="56"/>
    </row>
    <row r="419" customFormat="false" ht="15" hidden="false" customHeight="true" outlineLevel="4" collapsed="false">
      <c r="A419" s="57" t="s">
        <v>424</v>
      </c>
      <c r="B419" s="58" t="s">
        <v>66</v>
      </c>
      <c r="C419" s="25"/>
    </row>
    <row r="420" customFormat="false" ht="15" hidden="false" customHeight="true" outlineLevel="2" collapsed="false">
      <c r="A420" s="51" t="s">
        <v>1984</v>
      </c>
      <c r="B420" s="52" t="s">
        <v>411</v>
      </c>
      <c r="C420" s="53"/>
    </row>
    <row r="421" customFormat="false" ht="15" hidden="false" customHeight="true" outlineLevel="3" collapsed="false">
      <c r="A421" s="54" t="s">
        <v>425</v>
      </c>
      <c r="B421" s="55" t="s">
        <v>263</v>
      </c>
      <c r="C421" s="25"/>
    </row>
    <row r="422" customFormat="false" ht="15" hidden="false" customHeight="true" outlineLevel="3" collapsed="false">
      <c r="A422" s="54" t="s">
        <v>426</v>
      </c>
      <c r="B422" s="55" t="s">
        <v>427</v>
      </c>
      <c r="C422" s="25"/>
    </row>
    <row r="423" customFormat="false" ht="15" hidden="false" customHeight="true" outlineLevel="3" collapsed="false">
      <c r="A423" s="54" t="s">
        <v>428</v>
      </c>
      <c r="B423" s="55" t="s">
        <v>273</v>
      </c>
      <c r="C423" s="25"/>
    </row>
    <row r="424" customFormat="false" ht="15" hidden="false" customHeight="true" outlineLevel="2" collapsed="false">
      <c r="A424" s="51" t="s">
        <v>1985</v>
      </c>
      <c r="B424" s="52" t="s">
        <v>413</v>
      </c>
      <c r="C424" s="53"/>
    </row>
    <row r="425" customFormat="false" ht="15" hidden="false" customHeight="true" outlineLevel="3" collapsed="false">
      <c r="A425" s="54" t="s">
        <v>429</v>
      </c>
      <c r="B425" s="55" t="s">
        <v>275</v>
      </c>
      <c r="C425" s="25"/>
    </row>
    <row r="426" customFormat="false" ht="15" hidden="false" customHeight="true" outlineLevel="3" collapsed="false">
      <c r="A426" s="54" t="s">
        <v>430</v>
      </c>
      <c r="B426" s="55" t="s">
        <v>277</v>
      </c>
      <c r="C426" s="25"/>
    </row>
    <row r="427" customFormat="false" ht="15" hidden="false" customHeight="true" outlineLevel="2" collapsed="false">
      <c r="A427" s="51" t="s">
        <v>1986</v>
      </c>
      <c r="B427" s="52" t="s">
        <v>1987</v>
      </c>
      <c r="C427" s="53"/>
    </row>
    <row r="428" customFormat="false" ht="15" hidden="false" customHeight="true" outlineLevel="3" collapsed="false">
      <c r="A428" s="54" t="s">
        <v>431</v>
      </c>
      <c r="B428" s="55" t="s">
        <v>407</v>
      </c>
      <c r="C428" s="25"/>
    </row>
    <row r="429" customFormat="false" ht="15" hidden="false" customHeight="true" outlineLevel="3" collapsed="false">
      <c r="A429" s="54" t="s">
        <v>432</v>
      </c>
      <c r="B429" s="55" t="s">
        <v>409</v>
      </c>
      <c r="C429" s="25"/>
    </row>
    <row r="430" customFormat="false" ht="15" hidden="false" customHeight="true" outlineLevel="3" collapsed="false">
      <c r="A430" s="54" t="s">
        <v>433</v>
      </c>
      <c r="B430" s="55" t="s">
        <v>411</v>
      </c>
      <c r="C430" s="25"/>
    </row>
    <row r="431" customFormat="false" ht="15" hidden="false" customHeight="true" outlineLevel="3" collapsed="false">
      <c r="A431" s="54" t="s">
        <v>434</v>
      </c>
      <c r="B431" s="55" t="s">
        <v>413</v>
      </c>
      <c r="C431" s="25"/>
    </row>
    <row r="432" customFormat="false" ht="19.5" hidden="false" customHeight="true" outlineLevel="0" collapsed="false">
      <c r="A432" s="48" t="s">
        <v>1988</v>
      </c>
      <c r="B432" s="48"/>
      <c r="C432" s="48"/>
    </row>
    <row r="433" customFormat="false" ht="15" hidden="false" customHeight="true" outlineLevel="1" collapsed="false">
      <c r="A433" s="49" t="s">
        <v>1989</v>
      </c>
      <c r="B433" s="49" t="s">
        <v>1990</v>
      </c>
      <c r="C433" s="50"/>
    </row>
    <row r="434" customFormat="false" ht="15" hidden="false" customHeight="true" outlineLevel="2" collapsed="false">
      <c r="A434" s="51" t="s">
        <v>1991</v>
      </c>
      <c r="B434" s="52" t="s">
        <v>1446</v>
      </c>
      <c r="C434" s="53"/>
    </row>
    <row r="435" customFormat="false" ht="15" hidden="false" customHeight="true" outlineLevel="3" collapsed="false">
      <c r="A435" s="54" t="s">
        <v>435</v>
      </c>
      <c r="B435" s="55" t="s">
        <v>436</v>
      </c>
      <c r="C435" s="25"/>
    </row>
    <row r="436" customFormat="false" ht="15" hidden="false" customHeight="true" outlineLevel="4" collapsed="false">
      <c r="A436" s="57" t="s">
        <v>438</v>
      </c>
      <c r="B436" s="58" t="s">
        <v>66</v>
      </c>
      <c r="C436" s="25"/>
    </row>
    <row r="437" customFormat="false" ht="15" hidden="false" customHeight="true" outlineLevel="4" collapsed="false">
      <c r="A437" s="57" t="s">
        <v>439</v>
      </c>
      <c r="B437" s="58" t="s">
        <v>165</v>
      </c>
      <c r="C437" s="25"/>
    </row>
    <row r="438" customFormat="false" ht="15" hidden="false" customHeight="true" outlineLevel="2" collapsed="false">
      <c r="A438" s="51" t="s">
        <v>1992</v>
      </c>
      <c r="B438" s="52" t="s">
        <v>1448</v>
      </c>
      <c r="C438" s="53"/>
    </row>
    <row r="439" customFormat="false" ht="15" hidden="false" customHeight="true" outlineLevel="3" collapsed="false">
      <c r="A439" s="54" t="s">
        <v>440</v>
      </c>
      <c r="B439" s="55" t="s">
        <v>441</v>
      </c>
      <c r="C439" s="25"/>
    </row>
    <row r="440" customFormat="false" ht="15" hidden="false" customHeight="true" outlineLevel="3" collapsed="false">
      <c r="A440" s="54" t="s">
        <v>1993</v>
      </c>
      <c r="B440" s="55" t="s">
        <v>1994</v>
      </c>
      <c r="C440" s="56"/>
    </row>
    <row r="441" customFormat="false" ht="15" hidden="false" customHeight="true" outlineLevel="4" collapsed="false">
      <c r="A441" s="57" t="s">
        <v>438</v>
      </c>
      <c r="B441" s="58" t="s">
        <v>66</v>
      </c>
      <c r="C441" s="25"/>
    </row>
    <row r="442" customFormat="false" ht="15" hidden="false" customHeight="true" outlineLevel="4" collapsed="false">
      <c r="A442" s="57" t="s">
        <v>439</v>
      </c>
      <c r="B442" s="58" t="s">
        <v>165</v>
      </c>
      <c r="C442" s="25"/>
    </row>
    <row r="443" customFormat="false" ht="15" hidden="false" customHeight="true" outlineLevel="4" collapsed="false">
      <c r="A443" s="57" t="s">
        <v>442</v>
      </c>
      <c r="B443" s="58" t="s">
        <v>443</v>
      </c>
      <c r="C443" s="25"/>
    </row>
    <row r="444" customFormat="false" ht="15" hidden="false" customHeight="true" outlineLevel="3" collapsed="false">
      <c r="A444" s="54" t="s">
        <v>1995</v>
      </c>
      <c r="B444" s="55" t="s">
        <v>1996</v>
      </c>
      <c r="C444" s="56"/>
    </row>
    <row r="445" customFormat="false" ht="15" hidden="false" customHeight="true" outlineLevel="4" collapsed="false">
      <c r="A445" s="57" t="s">
        <v>444</v>
      </c>
      <c r="B445" s="58" t="s">
        <v>66</v>
      </c>
      <c r="C445" s="25"/>
    </row>
    <row r="446" customFormat="false" ht="15" hidden="false" customHeight="true" outlineLevel="4" collapsed="false">
      <c r="A446" s="57" t="s">
        <v>445</v>
      </c>
      <c r="B446" s="58" t="s">
        <v>165</v>
      </c>
      <c r="C446" s="25"/>
    </row>
    <row r="447" customFormat="false" ht="15" hidden="false" customHeight="true" outlineLevel="4" collapsed="false">
      <c r="A447" s="57" t="s">
        <v>446</v>
      </c>
      <c r="B447" s="58" t="s">
        <v>443</v>
      </c>
      <c r="C447" s="25"/>
    </row>
    <row r="448" customFormat="false" ht="15" hidden="false" customHeight="true" outlineLevel="3" collapsed="false">
      <c r="A448" s="54" t="s">
        <v>1997</v>
      </c>
      <c r="B448" s="55" t="s">
        <v>1060</v>
      </c>
      <c r="C448" s="56"/>
    </row>
    <row r="449" customFormat="false" ht="15" hidden="false" customHeight="true" outlineLevel="4" collapsed="false">
      <c r="A449" s="57" t="s">
        <v>447</v>
      </c>
      <c r="B449" s="58" t="s">
        <v>66</v>
      </c>
      <c r="C449" s="25"/>
    </row>
    <row r="450" customFormat="false" ht="15" hidden="false" customHeight="true" outlineLevel="4" collapsed="false">
      <c r="A450" s="57" t="s">
        <v>448</v>
      </c>
      <c r="B450" s="58" t="s">
        <v>165</v>
      </c>
      <c r="C450" s="25"/>
    </row>
    <row r="451" customFormat="false" ht="15" hidden="false" customHeight="true" outlineLevel="4" collapsed="false">
      <c r="A451" s="57" t="s">
        <v>449</v>
      </c>
      <c r="B451" s="58" t="s">
        <v>443</v>
      </c>
      <c r="C451" s="25"/>
    </row>
    <row r="452" customFormat="false" ht="15" hidden="false" customHeight="true" outlineLevel="3" collapsed="false">
      <c r="A452" s="54" t="s">
        <v>1998</v>
      </c>
      <c r="B452" s="55" t="s">
        <v>1999</v>
      </c>
      <c r="C452" s="56"/>
    </row>
    <row r="453" customFormat="false" ht="15" hidden="false" customHeight="true" outlineLevel="4" collapsed="false">
      <c r="A453" s="57" t="s">
        <v>450</v>
      </c>
      <c r="B453" s="58" t="s">
        <v>66</v>
      </c>
      <c r="C453" s="25"/>
    </row>
    <row r="454" customFormat="false" ht="15" hidden="false" customHeight="true" outlineLevel="4" collapsed="false">
      <c r="A454" s="57" t="s">
        <v>451</v>
      </c>
      <c r="B454" s="58" t="s">
        <v>165</v>
      </c>
      <c r="C454" s="25"/>
    </row>
    <row r="455" customFormat="false" ht="15" hidden="false" customHeight="true" outlineLevel="4" collapsed="false">
      <c r="A455" s="57" t="s">
        <v>452</v>
      </c>
      <c r="B455" s="58" t="s">
        <v>443</v>
      </c>
      <c r="C455" s="25"/>
    </row>
    <row r="456" customFormat="false" ht="15" hidden="false" customHeight="true" outlineLevel="2" collapsed="false">
      <c r="A456" s="51" t="s">
        <v>2000</v>
      </c>
      <c r="B456" s="52" t="s">
        <v>2001</v>
      </c>
      <c r="C456" s="53"/>
    </row>
    <row r="457" customFormat="false" ht="15" hidden="false" customHeight="true" outlineLevel="3" collapsed="false">
      <c r="A457" s="54" t="s">
        <v>2002</v>
      </c>
      <c r="B457" s="55" t="s">
        <v>2003</v>
      </c>
      <c r="C457" s="56"/>
    </row>
    <row r="458" customFormat="false" ht="15" hidden="false" customHeight="true" outlineLevel="4" collapsed="false">
      <c r="A458" s="57" t="s">
        <v>453</v>
      </c>
      <c r="B458" s="58" t="s">
        <v>66</v>
      </c>
      <c r="C458" s="25"/>
    </row>
    <row r="459" customFormat="false" ht="15" hidden="false" customHeight="true" outlineLevel="4" collapsed="false">
      <c r="A459" s="57" t="s">
        <v>454</v>
      </c>
      <c r="B459" s="58" t="s">
        <v>165</v>
      </c>
      <c r="C459" s="25"/>
    </row>
    <row r="460" customFormat="false" ht="15" hidden="false" customHeight="true" outlineLevel="3" collapsed="false">
      <c r="A460" s="54" t="s">
        <v>2004</v>
      </c>
      <c r="B460" s="55" t="s">
        <v>2005</v>
      </c>
      <c r="C460" s="56"/>
    </row>
    <row r="461" customFormat="false" ht="15" hidden="false" customHeight="true" outlineLevel="4" collapsed="false">
      <c r="A461" s="57" t="s">
        <v>455</v>
      </c>
      <c r="B461" s="58" t="s">
        <v>66</v>
      </c>
      <c r="C461" s="25"/>
    </row>
    <row r="462" customFormat="false" ht="15" hidden="false" customHeight="true" outlineLevel="4" collapsed="false">
      <c r="A462" s="57" t="s">
        <v>456</v>
      </c>
      <c r="B462" s="58" t="s">
        <v>165</v>
      </c>
      <c r="C462" s="25"/>
    </row>
    <row r="463" customFormat="false" ht="15" hidden="false" customHeight="true" outlineLevel="2" collapsed="false">
      <c r="A463" s="51" t="s">
        <v>2006</v>
      </c>
      <c r="B463" s="52" t="s">
        <v>2007</v>
      </c>
      <c r="C463" s="53"/>
    </row>
    <row r="464" customFormat="false" ht="15" hidden="false" customHeight="true" outlineLevel="3" collapsed="false">
      <c r="A464" s="54" t="s">
        <v>2008</v>
      </c>
      <c r="B464" s="55" t="s">
        <v>2009</v>
      </c>
      <c r="C464" s="56"/>
    </row>
    <row r="465" customFormat="false" ht="15" hidden="false" customHeight="true" outlineLevel="4" collapsed="false">
      <c r="A465" s="57" t="s">
        <v>457</v>
      </c>
      <c r="B465" s="58" t="s">
        <v>66</v>
      </c>
      <c r="C465" s="25"/>
    </row>
    <row r="466" customFormat="false" ht="15" hidden="false" customHeight="true" outlineLevel="4" collapsed="false">
      <c r="A466" s="57" t="s">
        <v>458</v>
      </c>
      <c r="B466" s="58" t="s">
        <v>165</v>
      </c>
      <c r="C466" s="25"/>
    </row>
    <row r="467" customFormat="false" ht="15" hidden="false" customHeight="true" outlineLevel="4" collapsed="false">
      <c r="A467" s="57" t="s">
        <v>459</v>
      </c>
      <c r="B467" s="58" t="s">
        <v>443</v>
      </c>
      <c r="C467" s="25"/>
    </row>
    <row r="468" customFormat="false" ht="15" hidden="false" customHeight="true" outlineLevel="3" collapsed="false">
      <c r="A468" s="54" t="s">
        <v>2010</v>
      </c>
      <c r="B468" s="55" t="s">
        <v>2011</v>
      </c>
      <c r="C468" s="56"/>
    </row>
    <row r="469" customFormat="false" ht="15" hidden="false" customHeight="true" outlineLevel="4" collapsed="false">
      <c r="A469" s="57" t="s">
        <v>460</v>
      </c>
      <c r="B469" s="58" t="s">
        <v>66</v>
      </c>
      <c r="C469" s="25"/>
    </row>
    <row r="470" customFormat="false" ht="15" hidden="false" customHeight="true" outlineLevel="4" collapsed="false">
      <c r="A470" s="57" t="s">
        <v>461</v>
      </c>
      <c r="B470" s="58" t="s">
        <v>165</v>
      </c>
      <c r="C470" s="25"/>
    </row>
    <row r="471" customFormat="false" ht="15" hidden="false" customHeight="true" outlineLevel="4" collapsed="false">
      <c r="A471" s="57" t="s">
        <v>462</v>
      </c>
      <c r="B471" s="58" t="s">
        <v>443</v>
      </c>
      <c r="C471" s="25"/>
    </row>
    <row r="472" customFormat="false" ht="15" hidden="false" customHeight="true" outlineLevel="2" collapsed="false">
      <c r="A472" s="51" t="s">
        <v>2012</v>
      </c>
      <c r="B472" s="52" t="s">
        <v>2013</v>
      </c>
      <c r="C472" s="53"/>
    </row>
    <row r="473" customFormat="false" ht="15" hidden="false" customHeight="true" outlineLevel="3" collapsed="false">
      <c r="A473" s="54" t="s">
        <v>2014</v>
      </c>
      <c r="B473" s="55" t="s">
        <v>2015</v>
      </c>
      <c r="C473" s="56"/>
    </row>
    <row r="474" customFormat="false" ht="15" hidden="false" customHeight="true" outlineLevel="4" collapsed="false">
      <c r="A474" s="57" t="s">
        <v>463</v>
      </c>
      <c r="B474" s="58" t="s">
        <v>66</v>
      </c>
      <c r="C474" s="25"/>
    </row>
    <row r="475" customFormat="false" ht="15" hidden="false" customHeight="true" outlineLevel="4" collapsed="false">
      <c r="A475" s="57" t="s">
        <v>464</v>
      </c>
      <c r="B475" s="58" t="s">
        <v>165</v>
      </c>
      <c r="C475" s="25"/>
    </row>
    <row r="476" customFormat="false" ht="15" hidden="false" customHeight="true" outlineLevel="3" collapsed="false">
      <c r="A476" s="54" t="s">
        <v>2016</v>
      </c>
      <c r="B476" s="55" t="s">
        <v>2017</v>
      </c>
      <c r="C476" s="56"/>
    </row>
    <row r="477" customFormat="false" ht="15" hidden="false" customHeight="true" outlineLevel="4" collapsed="false">
      <c r="A477" s="57" t="s">
        <v>465</v>
      </c>
      <c r="B477" s="58" t="s">
        <v>66</v>
      </c>
      <c r="C477" s="25"/>
    </row>
    <row r="478" customFormat="false" ht="15" hidden="false" customHeight="true" outlineLevel="4" collapsed="false">
      <c r="A478" s="57" t="s">
        <v>466</v>
      </c>
      <c r="B478" s="58" t="s">
        <v>165</v>
      </c>
      <c r="C478" s="25"/>
    </row>
    <row r="479" customFormat="false" ht="15" hidden="false" customHeight="true" outlineLevel="1" collapsed="false">
      <c r="A479" s="49" t="s">
        <v>2018</v>
      </c>
      <c r="B479" s="49" t="s">
        <v>2019</v>
      </c>
      <c r="C479" s="50"/>
    </row>
    <row r="480" customFormat="false" ht="15" hidden="false" customHeight="true" outlineLevel="2" collapsed="false">
      <c r="A480" s="51" t="s">
        <v>2020</v>
      </c>
      <c r="B480" s="52" t="s">
        <v>372</v>
      </c>
      <c r="C480" s="53"/>
    </row>
    <row r="481" customFormat="false" ht="15" hidden="false" customHeight="true" outlineLevel="3" collapsed="false">
      <c r="A481" s="54" t="s">
        <v>2021</v>
      </c>
      <c r="B481" s="55" t="s">
        <v>2022</v>
      </c>
      <c r="C481" s="56"/>
    </row>
    <row r="482" customFormat="false" ht="15" hidden="false" customHeight="true" outlineLevel="4" collapsed="false">
      <c r="A482" s="57" t="s">
        <v>467</v>
      </c>
      <c r="B482" s="58" t="s">
        <v>66</v>
      </c>
      <c r="C482" s="25"/>
    </row>
    <row r="483" customFormat="false" ht="15" hidden="false" customHeight="true" outlineLevel="4" collapsed="false">
      <c r="A483" s="57" t="s">
        <v>468</v>
      </c>
      <c r="B483" s="58" t="s">
        <v>280</v>
      </c>
      <c r="C483" s="25"/>
    </row>
    <row r="484" customFormat="false" ht="15" hidden="false" customHeight="true" outlineLevel="4" collapsed="false">
      <c r="A484" s="57" t="s">
        <v>469</v>
      </c>
      <c r="B484" s="58" t="s">
        <v>165</v>
      </c>
      <c r="C484" s="25"/>
    </row>
    <row r="485" customFormat="false" ht="15" hidden="false" customHeight="true" outlineLevel="3" collapsed="false">
      <c r="A485" s="54" t="s">
        <v>2023</v>
      </c>
      <c r="B485" s="55" t="s">
        <v>2024</v>
      </c>
      <c r="C485" s="56"/>
    </row>
    <row r="486" customFormat="false" ht="15" hidden="false" customHeight="true" outlineLevel="4" collapsed="false">
      <c r="A486" s="57" t="s">
        <v>470</v>
      </c>
      <c r="B486" s="58" t="s">
        <v>66</v>
      </c>
      <c r="C486" s="25"/>
    </row>
    <row r="487" customFormat="false" ht="15" hidden="false" customHeight="true" outlineLevel="4" collapsed="false">
      <c r="A487" s="57" t="s">
        <v>471</v>
      </c>
      <c r="B487" s="58" t="s">
        <v>280</v>
      </c>
      <c r="C487" s="25"/>
    </row>
    <row r="488" customFormat="false" ht="15" hidden="false" customHeight="true" outlineLevel="4" collapsed="false">
      <c r="A488" s="57" t="s">
        <v>472</v>
      </c>
      <c r="B488" s="58" t="s">
        <v>165</v>
      </c>
      <c r="C488" s="25"/>
    </row>
    <row r="489" customFormat="false" ht="15" hidden="false" customHeight="true" outlineLevel="2" collapsed="false">
      <c r="A489" s="51" t="s">
        <v>2025</v>
      </c>
      <c r="B489" s="52" t="s">
        <v>374</v>
      </c>
      <c r="C489" s="53"/>
    </row>
    <row r="490" customFormat="false" ht="15" hidden="false" customHeight="true" outlineLevel="3" collapsed="false">
      <c r="A490" s="54" t="s">
        <v>2026</v>
      </c>
      <c r="B490" s="55" t="s">
        <v>374</v>
      </c>
      <c r="C490" s="56"/>
    </row>
    <row r="491" customFormat="false" ht="15" hidden="false" customHeight="true" outlineLevel="4" collapsed="false">
      <c r="A491" s="57" t="s">
        <v>473</v>
      </c>
      <c r="B491" s="58" t="s">
        <v>66</v>
      </c>
      <c r="C491" s="25"/>
    </row>
    <row r="492" customFormat="false" ht="15" hidden="false" customHeight="true" outlineLevel="4" collapsed="false">
      <c r="A492" s="57" t="s">
        <v>474</v>
      </c>
      <c r="B492" s="58" t="s">
        <v>280</v>
      </c>
      <c r="C492" s="25"/>
    </row>
    <row r="493" customFormat="false" ht="15" hidden="false" customHeight="true" outlineLevel="4" collapsed="false">
      <c r="A493" s="57" t="s">
        <v>475</v>
      </c>
      <c r="B493" s="58" t="s">
        <v>285</v>
      </c>
      <c r="C493" s="25"/>
    </row>
    <row r="494" customFormat="false" ht="15" hidden="false" customHeight="true" outlineLevel="4" collapsed="false">
      <c r="A494" s="57" t="s">
        <v>476</v>
      </c>
      <c r="B494" s="58" t="s">
        <v>165</v>
      </c>
      <c r="C494" s="25"/>
    </row>
    <row r="495" customFormat="false" ht="15" hidden="false" customHeight="true" outlineLevel="2" collapsed="false">
      <c r="A495" s="51" t="s">
        <v>2027</v>
      </c>
      <c r="B495" s="52" t="s">
        <v>1451</v>
      </c>
      <c r="C495" s="53"/>
    </row>
    <row r="496" customFormat="false" ht="15" hidden="false" customHeight="true" outlineLevel="3" collapsed="false">
      <c r="A496" s="54" t="s">
        <v>2028</v>
      </c>
      <c r="B496" s="55" t="s">
        <v>374</v>
      </c>
      <c r="C496" s="56"/>
    </row>
    <row r="497" customFormat="false" ht="15" hidden="false" customHeight="true" outlineLevel="4" collapsed="false">
      <c r="A497" s="57" t="s">
        <v>477</v>
      </c>
      <c r="B497" s="58" t="s">
        <v>66</v>
      </c>
      <c r="C497" s="25"/>
    </row>
    <row r="498" customFormat="false" ht="15" hidden="false" customHeight="true" outlineLevel="4" collapsed="false">
      <c r="A498" s="57" t="s">
        <v>478</v>
      </c>
      <c r="B498" s="58" t="s">
        <v>280</v>
      </c>
      <c r="C498" s="25"/>
    </row>
    <row r="499" customFormat="false" ht="15" hidden="false" customHeight="true" outlineLevel="4" collapsed="false">
      <c r="A499" s="57" t="s">
        <v>479</v>
      </c>
      <c r="B499" s="58" t="s">
        <v>285</v>
      </c>
      <c r="C499" s="25"/>
    </row>
    <row r="500" customFormat="false" ht="15" hidden="false" customHeight="true" outlineLevel="4" collapsed="false">
      <c r="A500" s="57" t="s">
        <v>480</v>
      </c>
      <c r="B500" s="58" t="s">
        <v>165</v>
      </c>
      <c r="C500" s="25"/>
    </row>
    <row r="501" customFormat="false" ht="15" hidden="false" customHeight="true" outlineLevel="1" collapsed="false">
      <c r="A501" s="49" t="s">
        <v>2029</v>
      </c>
      <c r="B501" s="49" t="s">
        <v>2030</v>
      </c>
      <c r="C501" s="50"/>
    </row>
    <row r="502" customFormat="false" ht="15" hidden="false" customHeight="true" outlineLevel="2" collapsed="false">
      <c r="A502" s="51" t="s">
        <v>2031</v>
      </c>
      <c r="B502" s="52" t="s">
        <v>2032</v>
      </c>
      <c r="C502" s="53"/>
    </row>
    <row r="503" customFormat="false" ht="15" hidden="false" customHeight="true" outlineLevel="3" collapsed="false">
      <c r="A503" s="54" t="s">
        <v>2033</v>
      </c>
      <c r="B503" s="55" t="s">
        <v>372</v>
      </c>
      <c r="C503" s="56"/>
    </row>
    <row r="504" customFormat="false" ht="15" hidden="false" customHeight="true" outlineLevel="4" collapsed="false">
      <c r="A504" s="57" t="s">
        <v>481</v>
      </c>
      <c r="B504" s="58" t="s">
        <v>66</v>
      </c>
      <c r="C504" s="25"/>
    </row>
    <row r="505" customFormat="false" ht="15" hidden="false" customHeight="true" outlineLevel="4" collapsed="false">
      <c r="A505" s="57" t="s">
        <v>482</v>
      </c>
      <c r="B505" s="58" t="s">
        <v>280</v>
      </c>
      <c r="C505" s="25"/>
    </row>
    <row r="506" customFormat="false" ht="15" hidden="false" customHeight="true" outlineLevel="4" collapsed="false">
      <c r="A506" s="57" t="s">
        <v>483</v>
      </c>
      <c r="B506" s="58" t="s">
        <v>165</v>
      </c>
      <c r="C506" s="25"/>
    </row>
    <row r="507" customFormat="false" ht="15" hidden="false" customHeight="true" outlineLevel="3" collapsed="false">
      <c r="A507" s="54" t="s">
        <v>2034</v>
      </c>
      <c r="B507" s="55" t="s">
        <v>374</v>
      </c>
      <c r="C507" s="56"/>
    </row>
    <row r="508" customFormat="false" ht="15" hidden="false" customHeight="true" outlineLevel="4" collapsed="false">
      <c r="A508" s="57" t="s">
        <v>484</v>
      </c>
      <c r="B508" s="58" t="s">
        <v>66</v>
      </c>
      <c r="C508" s="25"/>
    </row>
    <row r="509" customFormat="false" ht="15" hidden="false" customHeight="true" outlineLevel="4" collapsed="false">
      <c r="A509" s="57" t="s">
        <v>485</v>
      </c>
      <c r="B509" s="58" t="s">
        <v>280</v>
      </c>
      <c r="C509" s="25"/>
    </row>
    <row r="510" customFormat="false" ht="15" hidden="false" customHeight="true" outlineLevel="4" collapsed="false">
      <c r="A510" s="57" t="s">
        <v>486</v>
      </c>
      <c r="B510" s="58" t="s">
        <v>250</v>
      </c>
      <c r="C510" s="25"/>
    </row>
    <row r="511" customFormat="false" ht="15" hidden="false" customHeight="true" outlineLevel="4" collapsed="false">
      <c r="A511" s="57" t="s">
        <v>487</v>
      </c>
      <c r="B511" s="58" t="s">
        <v>165</v>
      </c>
      <c r="C511" s="25"/>
    </row>
    <row r="512" customFormat="false" ht="15" hidden="false" customHeight="true" outlineLevel="2" collapsed="false">
      <c r="A512" s="51" t="s">
        <v>2035</v>
      </c>
      <c r="B512" s="52" t="s">
        <v>2036</v>
      </c>
      <c r="C512" s="53"/>
    </row>
    <row r="513" customFormat="false" ht="15" hidden="false" customHeight="true" outlineLevel="3" collapsed="false">
      <c r="A513" s="54" t="s">
        <v>2037</v>
      </c>
      <c r="B513" s="55" t="s">
        <v>368</v>
      </c>
      <c r="C513" s="56"/>
    </row>
    <row r="514" customFormat="false" ht="15" hidden="false" customHeight="true" outlineLevel="4" collapsed="false">
      <c r="A514" s="57" t="s">
        <v>488</v>
      </c>
      <c r="B514" s="58" t="s">
        <v>66</v>
      </c>
      <c r="C514" s="25"/>
    </row>
    <row r="515" customFormat="false" ht="15" hidden="false" customHeight="true" outlineLevel="4" collapsed="false">
      <c r="A515" s="57" t="s">
        <v>489</v>
      </c>
      <c r="B515" s="58" t="s">
        <v>280</v>
      </c>
      <c r="C515" s="25"/>
    </row>
    <row r="516" customFormat="false" ht="15" hidden="false" customHeight="true" outlineLevel="4" collapsed="false">
      <c r="A516" s="57" t="s">
        <v>490</v>
      </c>
      <c r="B516" s="58" t="s">
        <v>250</v>
      </c>
      <c r="C516" s="25"/>
    </row>
    <row r="517" customFormat="false" ht="15" hidden="false" customHeight="true" outlineLevel="3" collapsed="false">
      <c r="A517" s="54" t="s">
        <v>2038</v>
      </c>
      <c r="B517" s="55" t="s">
        <v>370</v>
      </c>
      <c r="C517" s="56"/>
    </row>
    <row r="518" customFormat="false" ht="15" hidden="false" customHeight="true" outlineLevel="4" collapsed="false">
      <c r="A518" s="57" t="s">
        <v>491</v>
      </c>
      <c r="B518" s="58" t="s">
        <v>66</v>
      </c>
      <c r="C518" s="25"/>
    </row>
    <row r="519" customFormat="false" ht="15" hidden="false" customHeight="true" outlineLevel="4" collapsed="false">
      <c r="A519" s="57" t="s">
        <v>492</v>
      </c>
      <c r="B519" s="58" t="s">
        <v>280</v>
      </c>
      <c r="C519" s="25"/>
    </row>
    <row r="520" customFormat="false" ht="15" hidden="false" customHeight="true" outlineLevel="4" collapsed="false">
      <c r="A520" s="57" t="s">
        <v>493</v>
      </c>
      <c r="B520" s="58" t="s">
        <v>250</v>
      </c>
      <c r="C520" s="25"/>
    </row>
    <row r="521" customFormat="false" ht="15" hidden="false" customHeight="true" outlineLevel="3" collapsed="false">
      <c r="A521" s="54" t="s">
        <v>2039</v>
      </c>
      <c r="B521" s="55" t="s">
        <v>372</v>
      </c>
      <c r="C521" s="56"/>
    </row>
    <row r="522" customFormat="false" ht="15" hidden="false" customHeight="true" outlineLevel="4" collapsed="false">
      <c r="A522" s="57" t="s">
        <v>494</v>
      </c>
      <c r="B522" s="58" t="s">
        <v>66</v>
      </c>
      <c r="C522" s="25"/>
    </row>
    <row r="523" customFormat="false" ht="15" hidden="false" customHeight="true" outlineLevel="4" collapsed="false">
      <c r="A523" s="57" t="s">
        <v>495</v>
      </c>
      <c r="B523" s="58" t="s">
        <v>280</v>
      </c>
      <c r="C523" s="25"/>
    </row>
    <row r="524" customFormat="false" ht="15" hidden="false" customHeight="true" outlineLevel="3" collapsed="false">
      <c r="A524" s="54" t="s">
        <v>2040</v>
      </c>
      <c r="B524" s="55" t="s">
        <v>374</v>
      </c>
      <c r="C524" s="56"/>
    </row>
    <row r="525" customFormat="false" ht="15" hidden="false" customHeight="true" outlineLevel="4" collapsed="false">
      <c r="A525" s="57" t="s">
        <v>496</v>
      </c>
      <c r="B525" s="58" t="s">
        <v>66</v>
      </c>
      <c r="C525" s="25"/>
    </row>
    <row r="526" customFormat="false" ht="15" hidden="false" customHeight="true" outlineLevel="4" collapsed="false">
      <c r="A526" s="57" t="s">
        <v>497</v>
      </c>
      <c r="B526" s="58" t="s">
        <v>280</v>
      </c>
      <c r="C526" s="25"/>
    </row>
    <row r="527" customFormat="false" ht="15" hidden="false" customHeight="true" outlineLevel="4" collapsed="false">
      <c r="A527" s="57" t="s">
        <v>498</v>
      </c>
      <c r="B527" s="58" t="s">
        <v>250</v>
      </c>
      <c r="C527" s="25"/>
    </row>
    <row r="528" customFormat="false" ht="15" hidden="false" customHeight="true" outlineLevel="3" collapsed="false">
      <c r="A528" s="54" t="s">
        <v>2041</v>
      </c>
      <c r="B528" s="55" t="s">
        <v>567</v>
      </c>
      <c r="C528" s="56"/>
    </row>
    <row r="529" customFormat="false" ht="15" hidden="false" customHeight="true" outlineLevel="4" collapsed="false">
      <c r="A529" s="57" t="s">
        <v>499</v>
      </c>
      <c r="B529" s="58" t="s">
        <v>66</v>
      </c>
      <c r="C529" s="25"/>
    </row>
    <row r="530" customFormat="false" ht="15" hidden="false" customHeight="true" outlineLevel="4" collapsed="false">
      <c r="A530" s="57" t="s">
        <v>500</v>
      </c>
      <c r="B530" s="58" t="s">
        <v>280</v>
      </c>
      <c r="C530" s="25"/>
    </row>
    <row r="531" customFormat="false" ht="15" hidden="false" customHeight="true" outlineLevel="4" collapsed="false">
      <c r="A531" s="57" t="s">
        <v>501</v>
      </c>
      <c r="B531" s="58" t="s">
        <v>250</v>
      </c>
      <c r="C531" s="25"/>
    </row>
    <row r="532" customFormat="false" ht="15" hidden="false" customHeight="true" outlineLevel="3" collapsed="false">
      <c r="A532" s="54" t="s">
        <v>2042</v>
      </c>
      <c r="B532" s="55" t="s">
        <v>383</v>
      </c>
      <c r="C532" s="56"/>
    </row>
    <row r="533" customFormat="false" ht="15" hidden="false" customHeight="true" outlineLevel="4" collapsed="false">
      <c r="A533" s="57" t="s">
        <v>502</v>
      </c>
      <c r="B533" s="58" t="s">
        <v>66</v>
      </c>
      <c r="C533" s="25"/>
    </row>
    <row r="534" customFormat="false" ht="15" hidden="false" customHeight="true" outlineLevel="4" collapsed="false">
      <c r="A534" s="57" t="s">
        <v>503</v>
      </c>
      <c r="B534" s="58" t="s">
        <v>280</v>
      </c>
      <c r="C534" s="25"/>
    </row>
    <row r="535" customFormat="false" ht="15" hidden="false" customHeight="true" outlineLevel="3" collapsed="false">
      <c r="A535" s="54" t="s">
        <v>2043</v>
      </c>
      <c r="B535" s="55" t="s">
        <v>385</v>
      </c>
      <c r="C535" s="56"/>
    </row>
    <row r="536" customFormat="false" ht="15" hidden="false" customHeight="true" outlineLevel="4" collapsed="false">
      <c r="A536" s="57" t="s">
        <v>504</v>
      </c>
      <c r="B536" s="58" t="s">
        <v>66</v>
      </c>
      <c r="C536" s="25"/>
    </row>
    <row r="537" customFormat="false" ht="15" hidden="false" customHeight="true" outlineLevel="4" collapsed="false">
      <c r="A537" s="57" t="s">
        <v>505</v>
      </c>
      <c r="B537" s="58" t="s">
        <v>280</v>
      </c>
      <c r="C537" s="25"/>
    </row>
    <row r="538" customFormat="false" ht="15" hidden="false" customHeight="true" outlineLevel="3" collapsed="false">
      <c r="A538" s="54" t="s">
        <v>2044</v>
      </c>
      <c r="B538" s="55" t="s">
        <v>387</v>
      </c>
      <c r="C538" s="56"/>
    </row>
    <row r="539" customFormat="false" ht="15" hidden="false" customHeight="true" outlineLevel="4" collapsed="false">
      <c r="A539" s="57" t="s">
        <v>506</v>
      </c>
      <c r="B539" s="58" t="s">
        <v>66</v>
      </c>
      <c r="C539" s="25"/>
    </row>
    <row r="540" customFormat="false" ht="15" hidden="false" customHeight="true" outlineLevel="4" collapsed="false">
      <c r="A540" s="57" t="s">
        <v>507</v>
      </c>
      <c r="B540" s="58" t="s">
        <v>280</v>
      </c>
      <c r="C540" s="25"/>
    </row>
    <row r="541" customFormat="false" ht="15" hidden="false" customHeight="true" outlineLevel="3" collapsed="false">
      <c r="A541" s="54" t="s">
        <v>2045</v>
      </c>
      <c r="B541" s="55" t="s">
        <v>389</v>
      </c>
      <c r="C541" s="56"/>
    </row>
    <row r="542" customFormat="false" ht="15" hidden="false" customHeight="true" outlineLevel="4" collapsed="false">
      <c r="A542" s="57" t="s">
        <v>508</v>
      </c>
      <c r="B542" s="58" t="s">
        <v>66</v>
      </c>
      <c r="C542" s="25"/>
    </row>
    <row r="543" customFormat="false" ht="15" hidden="false" customHeight="true" outlineLevel="4" collapsed="false">
      <c r="A543" s="57" t="s">
        <v>509</v>
      </c>
      <c r="B543" s="58" t="s">
        <v>280</v>
      </c>
      <c r="C543" s="25"/>
    </row>
    <row r="544" customFormat="false" ht="15" hidden="false" customHeight="true" outlineLevel="2" collapsed="false">
      <c r="A544" s="51" t="s">
        <v>2046</v>
      </c>
      <c r="B544" s="52" t="s">
        <v>2047</v>
      </c>
      <c r="C544" s="53"/>
    </row>
    <row r="545" customFormat="false" ht="15" hidden="false" customHeight="true" outlineLevel="3" collapsed="false">
      <c r="A545" s="54" t="s">
        <v>2048</v>
      </c>
      <c r="B545" s="55" t="s">
        <v>368</v>
      </c>
      <c r="C545" s="56"/>
    </row>
    <row r="546" customFormat="false" ht="15" hidden="false" customHeight="true" outlineLevel="4" collapsed="false">
      <c r="A546" s="57" t="s">
        <v>510</v>
      </c>
      <c r="B546" s="58" t="s">
        <v>66</v>
      </c>
      <c r="C546" s="25"/>
    </row>
    <row r="547" customFormat="false" ht="15" hidden="false" customHeight="true" outlineLevel="4" collapsed="false">
      <c r="A547" s="57" t="s">
        <v>511</v>
      </c>
      <c r="B547" s="58" t="s">
        <v>280</v>
      </c>
      <c r="C547" s="25"/>
    </row>
    <row r="548" customFormat="false" ht="15" hidden="false" customHeight="true" outlineLevel="3" collapsed="false">
      <c r="A548" s="54" t="s">
        <v>2049</v>
      </c>
      <c r="B548" s="55" t="s">
        <v>372</v>
      </c>
      <c r="C548" s="56"/>
    </row>
    <row r="549" customFormat="false" ht="15" hidden="false" customHeight="true" outlineLevel="4" collapsed="false">
      <c r="A549" s="57" t="s">
        <v>512</v>
      </c>
      <c r="B549" s="58" t="s">
        <v>66</v>
      </c>
      <c r="C549" s="25"/>
    </row>
    <row r="550" customFormat="false" ht="15" hidden="false" customHeight="true" outlineLevel="3" collapsed="false">
      <c r="A550" s="54" t="s">
        <v>2050</v>
      </c>
      <c r="B550" s="55" t="s">
        <v>374</v>
      </c>
      <c r="C550" s="56"/>
    </row>
    <row r="551" customFormat="false" ht="15" hidden="false" customHeight="true" outlineLevel="4" collapsed="false">
      <c r="A551" s="57" t="s">
        <v>513</v>
      </c>
      <c r="B551" s="58" t="s">
        <v>66</v>
      </c>
      <c r="C551" s="25"/>
    </row>
    <row r="552" customFormat="false" ht="15" hidden="false" customHeight="true" outlineLevel="4" collapsed="false">
      <c r="A552" s="57" t="s">
        <v>514</v>
      </c>
      <c r="B552" s="58" t="s">
        <v>280</v>
      </c>
      <c r="C552" s="25"/>
    </row>
    <row r="553" customFormat="false" ht="15" hidden="false" customHeight="true" outlineLevel="3" collapsed="false">
      <c r="A553" s="54" t="s">
        <v>2051</v>
      </c>
      <c r="B553" s="55" t="s">
        <v>567</v>
      </c>
      <c r="C553" s="56"/>
    </row>
    <row r="554" customFormat="false" ht="15" hidden="false" customHeight="true" outlineLevel="4" collapsed="false">
      <c r="A554" s="57" t="s">
        <v>515</v>
      </c>
      <c r="B554" s="58" t="s">
        <v>66</v>
      </c>
      <c r="C554" s="25"/>
    </row>
    <row r="555" customFormat="false" ht="15" hidden="false" customHeight="true" outlineLevel="4" collapsed="false">
      <c r="A555" s="57" t="s">
        <v>516</v>
      </c>
      <c r="B555" s="58" t="s">
        <v>280</v>
      </c>
      <c r="C555" s="25"/>
    </row>
    <row r="556" customFormat="false" ht="15" hidden="false" customHeight="true" outlineLevel="3" collapsed="false">
      <c r="A556" s="54" t="s">
        <v>2052</v>
      </c>
      <c r="B556" s="55" t="s">
        <v>383</v>
      </c>
      <c r="C556" s="56"/>
    </row>
    <row r="557" customFormat="false" ht="15" hidden="false" customHeight="true" outlineLevel="4" collapsed="false">
      <c r="A557" s="57" t="s">
        <v>517</v>
      </c>
      <c r="B557" s="58" t="s">
        <v>66</v>
      </c>
      <c r="C557" s="25"/>
    </row>
    <row r="558" customFormat="false" ht="15" hidden="false" customHeight="true" outlineLevel="4" collapsed="false">
      <c r="A558" s="57" t="s">
        <v>518</v>
      </c>
      <c r="B558" s="58" t="s">
        <v>280</v>
      </c>
      <c r="C558" s="25"/>
    </row>
    <row r="559" customFormat="false" ht="15" hidden="false" customHeight="true" outlineLevel="3" collapsed="false">
      <c r="A559" s="54" t="s">
        <v>2053</v>
      </c>
      <c r="B559" s="55" t="s">
        <v>387</v>
      </c>
      <c r="C559" s="56"/>
    </row>
    <row r="560" customFormat="false" ht="15" hidden="false" customHeight="true" outlineLevel="4" collapsed="false">
      <c r="A560" s="57" t="s">
        <v>519</v>
      </c>
      <c r="B560" s="58" t="s">
        <v>66</v>
      </c>
      <c r="C560" s="25"/>
    </row>
    <row r="561" customFormat="false" ht="15" hidden="false" customHeight="true" outlineLevel="4" collapsed="false">
      <c r="A561" s="57" t="s">
        <v>520</v>
      </c>
      <c r="B561" s="58" t="s">
        <v>280</v>
      </c>
      <c r="C561" s="25"/>
    </row>
    <row r="562" customFormat="false" ht="15" hidden="false" customHeight="true" outlineLevel="1" collapsed="false">
      <c r="A562" s="49" t="s">
        <v>2054</v>
      </c>
      <c r="B562" s="49" t="s">
        <v>2055</v>
      </c>
      <c r="C562" s="50"/>
    </row>
    <row r="563" customFormat="false" ht="15" hidden="false" customHeight="true" outlineLevel="2" collapsed="false">
      <c r="A563" s="51" t="s">
        <v>2056</v>
      </c>
      <c r="B563" s="52" t="s">
        <v>1576</v>
      </c>
      <c r="C563" s="53"/>
    </row>
    <row r="564" customFormat="false" ht="15" hidden="false" customHeight="true" outlineLevel="3" collapsed="false">
      <c r="A564" s="54" t="s">
        <v>2057</v>
      </c>
      <c r="B564" s="55" t="s">
        <v>368</v>
      </c>
      <c r="C564" s="56"/>
    </row>
    <row r="565" customFormat="false" ht="15" hidden="false" customHeight="true" outlineLevel="4" collapsed="false">
      <c r="A565" s="57" t="s">
        <v>521</v>
      </c>
      <c r="B565" s="58" t="s">
        <v>66</v>
      </c>
      <c r="C565" s="25"/>
    </row>
    <row r="566" customFormat="false" ht="15" hidden="false" customHeight="true" outlineLevel="4" collapsed="false">
      <c r="A566" s="57" t="s">
        <v>522</v>
      </c>
      <c r="B566" s="58" t="s">
        <v>280</v>
      </c>
      <c r="C566" s="25"/>
    </row>
    <row r="567" customFormat="false" ht="15" hidden="false" customHeight="true" outlineLevel="4" collapsed="false">
      <c r="A567" s="57" t="s">
        <v>523</v>
      </c>
      <c r="B567" s="58" t="s">
        <v>250</v>
      </c>
      <c r="C567" s="25"/>
    </row>
    <row r="568" customFormat="false" ht="15" hidden="false" customHeight="true" outlineLevel="4" collapsed="false">
      <c r="A568" s="57" t="s">
        <v>524</v>
      </c>
      <c r="B568" s="58" t="s">
        <v>165</v>
      </c>
      <c r="C568" s="25"/>
    </row>
    <row r="569" customFormat="false" ht="15" hidden="false" customHeight="true" outlineLevel="3" collapsed="false">
      <c r="A569" s="54" t="s">
        <v>2058</v>
      </c>
      <c r="B569" s="55" t="s">
        <v>370</v>
      </c>
      <c r="C569" s="56"/>
    </row>
    <row r="570" customFormat="false" ht="15" hidden="false" customHeight="true" outlineLevel="4" collapsed="false">
      <c r="A570" s="57" t="s">
        <v>525</v>
      </c>
      <c r="B570" s="58" t="s">
        <v>66</v>
      </c>
      <c r="C570" s="25"/>
    </row>
    <row r="571" customFormat="false" ht="15" hidden="false" customHeight="true" outlineLevel="4" collapsed="false">
      <c r="A571" s="57" t="s">
        <v>526</v>
      </c>
      <c r="B571" s="58" t="s">
        <v>280</v>
      </c>
      <c r="C571" s="25"/>
    </row>
    <row r="572" customFormat="false" ht="15" hidden="false" customHeight="true" outlineLevel="4" collapsed="false">
      <c r="A572" s="57" t="s">
        <v>527</v>
      </c>
      <c r="B572" s="58" t="s">
        <v>250</v>
      </c>
      <c r="C572" s="25"/>
    </row>
    <row r="573" customFormat="false" ht="15" hidden="false" customHeight="true" outlineLevel="4" collapsed="false">
      <c r="A573" s="57" t="s">
        <v>528</v>
      </c>
      <c r="B573" s="58" t="s">
        <v>165</v>
      </c>
      <c r="C573" s="25"/>
    </row>
    <row r="574" customFormat="false" ht="15" hidden="false" customHeight="true" outlineLevel="2" collapsed="false">
      <c r="A574" s="51" t="s">
        <v>2059</v>
      </c>
      <c r="B574" s="52" t="s">
        <v>372</v>
      </c>
      <c r="C574" s="53"/>
    </row>
    <row r="575" customFormat="false" ht="15" hidden="false" customHeight="true" outlineLevel="3" collapsed="false">
      <c r="A575" s="54" t="s">
        <v>2060</v>
      </c>
      <c r="B575" s="55" t="s">
        <v>372</v>
      </c>
      <c r="C575" s="56"/>
    </row>
    <row r="576" customFormat="false" ht="15" hidden="false" customHeight="true" outlineLevel="4" collapsed="false">
      <c r="A576" s="57" t="s">
        <v>529</v>
      </c>
      <c r="B576" s="58" t="s">
        <v>66</v>
      </c>
      <c r="C576" s="25"/>
    </row>
    <row r="577" customFormat="false" ht="15" hidden="false" customHeight="true" outlineLevel="4" collapsed="false">
      <c r="A577" s="57" t="s">
        <v>530</v>
      </c>
      <c r="B577" s="58" t="s">
        <v>280</v>
      </c>
      <c r="C577" s="25"/>
    </row>
    <row r="578" customFormat="false" ht="15" hidden="false" customHeight="true" outlineLevel="2" collapsed="false">
      <c r="A578" s="51" t="s">
        <v>2061</v>
      </c>
      <c r="B578" s="52" t="s">
        <v>374</v>
      </c>
      <c r="C578" s="53"/>
    </row>
    <row r="579" customFormat="false" ht="15" hidden="false" customHeight="true" outlineLevel="3" collapsed="false">
      <c r="A579" s="54" t="s">
        <v>2062</v>
      </c>
      <c r="B579" s="55" t="s">
        <v>374</v>
      </c>
      <c r="C579" s="56"/>
    </row>
    <row r="580" customFormat="false" ht="15" hidden="false" customHeight="true" outlineLevel="4" collapsed="false">
      <c r="A580" s="57" t="s">
        <v>531</v>
      </c>
      <c r="B580" s="58" t="s">
        <v>66</v>
      </c>
      <c r="C580" s="25"/>
    </row>
    <row r="581" customFormat="false" ht="15" hidden="false" customHeight="true" outlineLevel="4" collapsed="false">
      <c r="A581" s="57" t="s">
        <v>532</v>
      </c>
      <c r="B581" s="58" t="s">
        <v>280</v>
      </c>
      <c r="C581" s="25"/>
    </row>
    <row r="582" customFormat="false" ht="15" hidden="false" customHeight="true" outlineLevel="4" collapsed="false">
      <c r="A582" s="57" t="s">
        <v>533</v>
      </c>
      <c r="B582" s="58" t="s">
        <v>250</v>
      </c>
      <c r="C582" s="25"/>
    </row>
    <row r="583" customFormat="false" ht="15" hidden="false" customHeight="true" outlineLevel="3" collapsed="false">
      <c r="A583" s="54" t="s">
        <v>2063</v>
      </c>
      <c r="B583" s="55" t="s">
        <v>772</v>
      </c>
      <c r="C583" s="56"/>
    </row>
    <row r="584" customFormat="false" ht="15" hidden="false" customHeight="true" outlineLevel="4" collapsed="false">
      <c r="A584" s="57" t="s">
        <v>534</v>
      </c>
      <c r="B584" s="58" t="s">
        <v>66</v>
      </c>
      <c r="C584" s="25"/>
    </row>
    <row r="585" customFormat="false" ht="15" hidden="false" customHeight="true" outlineLevel="4" collapsed="false">
      <c r="A585" s="57" t="s">
        <v>535</v>
      </c>
      <c r="B585" s="58" t="s">
        <v>280</v>
      </c>
      <c r="C585" s="25"/>
    </row>
    <row r="586" customFormat="false" ht="15" hidden="false" customHeight="true" outlineLevel="4" collapsed="false">
      <c r="A586" s="57" t="s">
        <v>536</v>
      </c>
      <c r="B586" s="58" t="s">
        <v>250</v>
      </c>
      <c r="C586" s="25"/>
    </row>
    <row r="587" customFormat="false" ht="15" hidden="false" customHeight="true" outlineLevel="3" collapsed="false">
      <c r="A587" s="54" t="s">
        <v>2064</v>
      </c>
      <c r="B587" s="55" t="s">
        <v>2065</v>
      </c>
      <c r="C587" s="56"/>
    </row>
    <row r="588" customFormat="false" ht="15" hidden="false" customHeight="true" outlineLevel="4" collapsed="false">
      <c r="A588" s="57" t="s">
        <v>537</v>
      </c>
      <c r="B588" s="58" t="s">
        <v>66</v>
      </c>
      <c r="C588" s="25"/>
    </row>
    <row r="589" customFormat="false" ht="15" hidden="false" customHeight="true" outlineLevel="4" collapsed="false">
      <c r="A589" s="57" t="s">
        <v>538</v>
      </c>
      <c r="B589" s="58" t="s">
        <v>280</v>
      </c>
      <c r="C589" s="25"/>
    </row>
    <row r="590" customFormat="false" ht="15" hidden="false" customHeight="true" outlineLevel="4" collapsed="false">
      <c r="A590" s="57" t="s">
        <v>539</v>
      </c>
      <c r="B590" s="58" t="s">
        <v>540</v>
      </c>
      <c r="C590" s="25"/>
    </row>
    <row r="591" customFormat="false" ht="15" hidden="false" customHeight="true" outlineLevel="2" collapsed="false">
      <c r="A591" s="51" t="s">
        <v>2066</v>
      </c>
      <c r="B591" s="52" t="s">
        <v>567</v>
      </c>
      <c r="C591" s="53"/>
    </row>
    <row r="592" customFormat="false" ht="15" hidden="false" customHeight="true" outlineLevel="3" collapsed="false">
      <c r="A592" s="54" t="s">
        <v>2067</v>
      </c>
      <c r="B592" s="55" t="s">
        <v>567</v>
      </c>
      <c r="C592" s="56"/>
    </row>
    <row r="593" customFormat="false" ht="15" hidden="false" customHeight="true" outlineLevel="4" collapsed="false">
      <c r="A593" s="57" t="s">
        <v>541</v>
      </c>
      <c r="B593" s="58" t="s">
        <v>66</v>
      </c>
      <c r="C593" s="25"/>
    </row>
    <row r="594" customFormat="false" ht="15" hidden="false" customHeight="true" outlineLevel="4" collapsed="false">
      <c r="A594" s="57" t="s">
        <v>542</v>
      </c>
      <c r="B594" s="58" t="s">
        <v>280</v>
      </c>
      <c r="C594" s="25"/>
    </row>
    <row r="595" customFormat="false" ht="15" hidden="false" customHeight="true" outlineLevel="4" collapsed="false">
      <c r="A595" s="57" t="s">
        <v>543</v>
      </c>
      <c r="B595" s="58" t="s">
        <v>250</v>
      </c>
      <c r="C595" s="25"/>
    </row>
    <row r="596" customFormat="false" ht="15" hidden="false" customHeight="true" outlineLevel="2" collapsed="false">
      <c r="A596" s="51" t="s">
        <v>2068</v>
      </c>
      <c r="B596" s="52" t="s">
        <v>383</v>
      </c>
      <c r="C596" s="53"/>
    </row>
    <row r="597" customFormat="false" ht="15" hidden="false" customHeight="true" outlineLevel="3" collapsed="false">
      <c r="A597" s="54" t="s">
        <v>2069</v>
      </c>
      <c r="B597" s="55" t="s">
        <v>2070</v>
      </c>
      <c r="C597" s="56"/>
    </row>
    <row r="598" customFormat="false" ht="15" hidden="false" customHeight="true" outlineLevel="4" collapsed="false">
      <c r="A598" s="57" t="s">
        <v>544</v>
      </c>
      <c r="B598" s="58" t="s">
        <v>66</v>
      </c>
      <c r="C598" s="25"/>
    </row>
    <row r="599" customFormat="false" ht="15" hidden="false" customHeight="true" outlineLevel="4" collapsed="false">
      <c r="A599" s="57" t="s">
        <v>545</v>
      </c>
      <c r="B599" s="58" t="s">
        <v>280</v>
      </c>
      <c r="C599" s="25"/>
    </row>
    <row r="600" customFormat="false" ht="15" hidden="false" customHeight="true" outlineLevel="3" collapsed="false">
      <c r="A600" s="54" t="s">
        <v>2071</v>
      </c>
      <c r="B600" s="55" t="s">
        <v>2072</v>
      </c>
      <c r="C600" s="56"/>
    </row>
    <row r="601" customFormat="false" ht="15" hidden="false" customHeight="true" outlineLevel="4" collapsed="false">
      <c r="A601" s="57" t="s">
        <v>546</v>
      </c>
      <c r="B601" s="58" t="s">
        <v>66</v>
      </c>
      <c r="C601" s="25"/>
    </row>
    <row r="602" customFormat="false" ht="15" hidden="false" customHeight="true" outlineLevel="4" collapsed="false">
      <c r="A602" s="57" t="s">
        <v>547</v>
      </c>
      <c r="B602" s="58" t="s">
        <v>280</v>
      </c>
      <c r="C602" s="25"/>
    </row>
    <row r="603" customFormat="false" ht="15" hidden="false" customHeight="true" outlineLevel="2" collapsed="false">
      <c r="A603" s="51" t="s">
        <v>2073</v>
      </c>
      <c r="B603" s="52" t="s">
        <v>385</v>
      </c>
      <c r="C603" s="53"/>
    </row>
    <row r="604" customFormat="false" ht="15" hidden="false" customHeight="true" outlineLevel="3" collapsed="false">
      <c r="A604" s="54" t="s">
        <v>2074</v>
      </c>
      <c r="B604" s="55" t="s">
        <v>2075</v>
      </c>
      <c r="C604" s="56"/>
    </row>
    <row r="605" customFormat="false" ht="15" hidden="false" customHeight="true" outlineLevel="4" collapsed="false">
      <c r="A605" s="57" t="s">
        <v>548</v>
      </c>
      <c r="B605" s="58" t="s">
        <v>66</v>
      </c>
      <c r="C605" s="25"/>
    </row>
    <row r="606" customFormat="false" ht="15" hidden="false" customHeight="true" outlineLevel="4" collapsed="false">
      <c r="A606" s="57" t="s">
        <v>549</v>
      </c>
      <c r="B606" s="58" t="s">
        <v>280</v>
      </c>
      <c r="C606" s="25"/>
    </row>
    <row r="607" customFormat="false" ht="15" hidden="false" customHeight="true" outlineLevel="3" collapsed="false">
      <c r="A607" s="54" t="s">
        <v>2076</v>
      </c>
      <c r="B607" s="55" t="s">
        <v>2077</v>
      </c>
      <c r="C607" s="56"/>
    </row>
    <row r="608" customFormat="false" ht="15" hidden="false" customHeight="true" outlineLevel="4" collapsed="false">
      <c r="A608" s="57" t="s">
        <v>550</v>
      </c>
      <c r="B608" s="58" t="s">
        <v>66</v>
      </c>
      <c r="C608" s="25"/>
    </row>
    <row r="609" customFormat="false" ht="15" hidden="false" customHeight="true" outlineLevel="4" collapsed="false">
      <c r="A609" s="57" t="s">
        <v>551</v>
      </c>
      <c r="B609" s="58" t="s">
        <v>280</v>
      </c>
      <c r="C609" s="25"/>
    </row>
    <row r="610" customFormat="false" ht="15" hidden="false" customHeight="true" outlineLevel="2" collapsed="false">
      <c r="A610" s="51" t="s">
        <v>2078</v>
      </c>
      <c r="B610" s="52" t="s">
        <v>387</v>
      </c>
      <c r="C610" s="53"/>
    </row>
    <row r="611" customFormat="false" ht="15" hidden="false" customHeight="true" outlineLevel="3" collapsed="false">
      <c r="A611" s="54" t="s">
        <v>2079</v>
      </c>
      <c r="B611" s="55" t="s">
        <v>2080</v>
      </c>
      <c r="C611" s="56"/>
    </row>
    <row r="612" customFormat="false" ht="15" hidden="false" customHeight="true" outlineLevel="4" collapsed="false">
      <c r="A612" s="57" t="s">
        <v>552</v>
      </c>
      <c r="B612" s="58" t="s">
        <v>66</v>
      </c>
      <c r="C612" s="25"/>
    </row>
    <row r="613" customFormat="false" ht="15" hidden="false" customHeight="true" outlineLevel="4" collapsed="false">
      <c r="A613" s="57" t="s">
        <v>553</v>
      </c>
      <c r="B613" s="58" t="s">
        <v>280</v>
      </c>
      <c r="C613" s="25"/>
    </row>
    <row r="614" customFormat="false" ht="15" hidden="false" customHeight="true" outlineLevel="3" collapsed="false">
      <c r="A614" s="54" t="s">
        <v>2081</v>
      </c>
      <c r="B614" s="55" t="s">
        <v>2082</v>
      </c>
      <c r="C614" s="56"/>
    </row>
    <row r="615" customFormat="false" ht="15" hidden="false" customHeight="true" outlineLevel="4" collapsed="false">
      <c r="A615" s="57" t="s">
        <v>554</v>
      </c>
      <c r="B615" s="58" t="s">
        <v>66</v>
      </c>
      <c r="C615" s="25"/>
    </row>
    <row r="616" customFormat="false" ht="15" hidden="false" customHeight="true" outlineLevel="4" collapsed="false">
      <c r="A616" s="57" t="s">
        <v>555</v>
      </c>
      <c r="B616" s="58" t="s">
        <v>280</v>
      </c>
      <c r="C616" s="25"/>
    </row>
    <row r="617" customFormat="false" ht="15" hidden="false" customHeight="true" outlineLevel="3" collapsed="false">
      <c r="A617" s="54" t="s">
        <v>2083</v>
      </c>
      <c r="B617" s="55" t="s">
        <v>2084</v>
      </c>
      <c r="C617" s="56"/>
    </row>
    <row r="618" customFormat="false" ht="15" hidden="false" customHeight="true" outlineLevel="4" collapsed="false">
      <c r="A618" s="57" t="s">
        <v>556</v>
      </c>
      <c r="B618" s="58" t="s">
        <v>66</v>
      </c>
      <c r="C618" s="25"/>
    </row>
    <row r="619" customFormat="false" ht="15" hidden="false" customHeight="true" outlineLevel="4" collapsed="false">
      <c r="A619" s="57" t="s">
        <v>557</v>
      </c>
      <c r="B619" s="58" t="s">
        <v>280</v>
      </c>
      <c r="C619" s="25"/>
    </row>
    <row r="620" customFormat="false" ht="15" hidden="false" customHeight="true" outlineLevel="3" collapsed="false">
      <c r="A620" s="54" t="s">
        <v>2085</v>
      </c>
      <c r="B620" s="55" t="s">
        <v>2086</v>
      </c>
      <c r="C620" s="56"/>
    </row>
    <row r="621" customFormat="false" ht="15" hidden="false" customHeight="true" outlineLevel="4" collapsed="false">
      <c r="A621" s="57" t="s">
        <v>558</v>
      </c>
      <c r="B621" s="58" t="s">
        <v>66</v>
      </c>
      <c r="C621" s="25"/>
    </row>
    <row r="622" customFormat="false" ht="15" hidden="false" customHeight="true" outlineLevel="4" collapsed="false">
      <c r="A622" s="57" t="s">
        <v>559</v>
      </c>
      <c r="B622" s="58" t="s">
        <v>280</v>
      </c>
      <c r="C622" s="25"/>
    </row>
    <row r="623" customFormat="false" ht="15" hidden="false" customHeight="true" outlineLevel="3" collapsed="false">
      <c r="A623" s="54" t="s">
        <v>2087</v>
      </c>
      <c r="B623" s="55" t="s">
        <v>2088</v>
      </c>
      <c r="C623" s="56"/>
    </row>
    <row r="624" customFormat="false" ht="15" hidden="false" customHeight="true" outlineLevel="4" collapsed="false">
      <c r="A624" s="57" t="s">
        <v>560</v>
      </c>
      <c r="B624" s="58" t="s">
        <v>66</v>
      </c>
      <c r="C624" s="25"/>
    </row>
    <row r="625" customFormat="false" ht="15" hidden="false" customHeight="true" outlineLevel="4" collapsed="false">
      <c r="A625" s="57" t="s">
        <v>561</v>
      </c>
      <c r="B625" s="58" t="s">
        <v>280</v>
      </c>
      <c r="C625" s="25"/>
    </row>
    <row r="626" customFormat="false" ht="15" hidden="false" customHeight="true" outlineLevel="2" collapsed="false">
      <c r="A626" s="51" t="s">
        <v>2089</v>
      </c>
      <c r="B626" s="52" t="s">
        <v>389</v>
      </c>
      <c r="C626" s="53"/>
    </row>
    <row r="627" customFormat="false" ht="15" hidden="false" customHeight="true" outlineLevel="3" collapsed="false">
      <c r="A627" s="54" t="s">
        <v>2090</v>
      </c>
      <c r="B627" s="55" t="s">
        <v>780</v>
      </c>
      <c r="C627" s="56"/>
    </row>
    <row r="628" customFormat="false" ht="15" hidden="false" customHeight="true" outlineLevel="4" collapsed="false">
      <c r="A628" s="57" t="s">
        <v>562</v>
      </c>
      <c r="B628" s="58" t="s">
        <v>66</v>
      </c>
      <c r="C628" s="25"/>
    </row>
    <row r="629" customFormat="false" ht="15" hidden="false" customHeight="true" outlineLevel="4" collapsed="false">
      <c r="A629" s="57" t="s">
        <v>563</v>
      </c>
      <c r="B629" s="58" t="s">
        <v>280</v>
      </c>
      <c r="C629" s="25"/>
    </row>
    <row r="630" customFormat="false" ht="15" hidden="false" customHeight="true" outlineLevel="3" collapsed="false">
      <c r="A630" s="54" t="s">
        <v>2091</v>
      </c>
      <c r="B630" s="55" t="s">
        <v>782</v>
      </c>
      <c r="C630" s="56"/>
    </row>
    <row r="631" customFormat="false" ht="15" hidden="false" customHeight="true" outlineLevel="4" collapsed="false">
      <c r="A631" s="57" t="s">
        <v>564</v>
      </c>
      <c r="B631" s="58" t="s">
        <v>66</v>
      </c>
      <c r="C631" s="25"/>
    </row>
    <row r="632" customFormat="false" ht="15" hidden="false" customHeight="true" outlineLevel="4" collapsed="false">
      <c r="A632" s="57" t="s">
        <v>565</v>
      </c>
      <c r="B632" s="58" t="s">
        <v>280</v>
      </c>
      <c r="C632" s="25"/>
    </row>
    <row r="633" customFormat="false" ht="15" hidden="false" customHeight="true" outlineLevel="2" collapsed="false">
      <c r="A633" s="51" t="s">
        <v>2092</v>
      </c>
      <c r="B633" s="52" t="s">
        <v>2093</v>
      </c>
      <c r="C633" s="53"/>
    </row>
    <row r="634" customFormat="false" ht="15" hidden="false" customHeight="true" outlineLevel="3" collapsed="false">
      <c r="A634" s="54" t="s">
        <v>566</v>
      </c>
      <c r="B634" s="55" t="s">
        <v>567</v>
      </c>
      <c r="C634" s="25"/>
    </row>
    <row r="635" customFormat="false" ht="15" hidden="false" customHeight="true" outlineLevel="3" collapsed="false">
      <c r="A635" s="54" t="s">
        <v>568</v>
      </c>
      <c r="B635" s="55" t="s">
        <v>569</v>
      </c>
      <c r="C635" s="25"/>
    </row>
    <row r="636" customFormat="false" ht="15" hidden="false" customHeight="true" outlineLevel="3" collapsed="false">
      <c r="A636" s="54" t="s">
        <v>570</v>
      </c>
      <c r="B636" s="55" t="s">
        <v>385</v>
      </c>
      <c r="C636" s="25"/>
    </row>
    <row r="637" customFormat="false" ht="15" hidden="false" customHeight="true" outlineLevel="3" collapsed="false">
      <c r="A637" s="54" t="s">
        <v>571</v>
      </c>
      <c r="B637" s="55" t="s">
        <v>387</v>
      </c>
      <c r="C637" s="25"/>
    </row>
    <row r="638" customFormat="false" ht="15" hidden="false" customHeight="true" outlineLevel="3" collapsed="false">
      <c r="A638" s="54" t="s">
        <v>572</v>
      </c>
      <c r="B638" s="55" t="s">
        <v>389</v>
      </c>
      <c r="C638" s="25"/>
    </row>
    <row r="639" customFormat="false" ht="15" hidden="false" customHeight="true" outlineLevel="2" collapsed="false">
      <c r="A639" s="51" t="s">
        <v>2094</v>
      </c>
      <c r="B639" s="52" t="s">
        <v>1927</v>
      </c>
      <c r="C639" s="53"/>
    </row>
    <row r="640" customFormat="false" ht="15" hidden="false" customHeight="true" outlineLevel="3" collapsed="false">
      <c r="A640" s="54" t="s">
        <v>573</v>
      </c>
      <c r="B640" s="55" t="s">
        <v>574</v>
      </c>
      <c r="C640" s="25"/>
    </row>
    <row r="641" customFormat="false" ht="15" hidden="false" customHeight="true" outlineLevel="3" collapsed="false">
      <c r="A641" s="54" t="s">
        <v>2095</v>
      </c>
      <c r="B641" s="55" t="s">
        <v>2096</v>
      </c>
      <c r="C641" s="56"/>
    </row>
    <row r="642" customFormat="false" ht="15" hidden="false" customHeight="true" outlineLevel="4" collapsed="false">
      <c r="A642" s="57" t="s">
        <v>575</v>
      </c>
      <c r="B642" s="58" t="s">
        <v>66</v>
      </c>
      <c r="C642" s="25"/>
    </row>
    <row r="643" customFormat="false" ht="15" hidden="false" customHeight="true" outlineLevel="4" collapsed="false">
      <c r="A643" s="57" t="s">
        <v>576</v>
      </c>
      <c r="B643" s="58" t="s">
        <v>250</v>
      </c>
      <c r="C643" s="25"/>
    </row>
    <row r="644" customFormat="false" ht="15" hidden="false" customHeight="true" outlineLevel="3" collapsed="false">
      <c r="A644" s="54" t="s">
        <v>2097</v>
      </c>
      <c r="B644" s="55" t="s">
        <v>2098</v>
      </c>
      <c r="C644" s="56"/>
    </row>
    <row r="645" customFormat="false" ht="15" hidden="false" customHeight="true" outlineLevel="4" collapsed="false">
      <c r="A645" s="57" t="s">
        <v>577</v>
      </c>
      <c r="B645" s="58" t="s">
        <v>66</v>
      </c>
      <c r="C645" s="25"/>
    </row>
    <row r="646" customFormat="false" ht="15" hidden="false" customHeight="true" outlineLevel="4" collapsed="false">
      <c r="A646" s="57" t="s">
        <v>578</v>
      </c>
      <c r="B646" s="58" t="s">
        <v>250</v>
      </c>
      <c r="C646" s="25"/>
    </row>
    <row r="647" customFormat="false" ht="15" hidden="false" customHeight="true" outlineLevel="1" collapsed="false">
      <c r="A647" s="49" t="s">
        <v>2099</v>
      </c>
      <c r="B647" s="49" t="s">
        <v>2100</v>
      </c>
      <c r="C647" s="50"/>
    </row>
    <row r="648" customFormat="false" ht="15" hidden="false" customHeight="true" outlineLevel="2" collapsed="false">
      <c r="A648" s="51" t="s">
        <v>2101</v>
      </c>
      <c r="B648" s="52" t="s">
        <v>391</v>
      </c>
      <c r="C648" s="53"/>
    </row>
    <row r="649" customFormat="false" ht="15" hidden="false" customHeight="true" outlineLevel="3" collapsed="false">
      <c r="A649" s="54" t="s">
        <v>2102</v>
      </c>
      <c r="B649" s="55" t="s">
        <v>2103</v>
      </c>
      <c r="C649" s="56"/>
    </row>
    <row r="650" customFormat="false" ht="15" hidden="false" customHeight="true" outlineLevel="4" collapsed="false">
      <c r="A650" s="57" t="s">
        <v>579</v>
      </c>
      <c r="B650" s="58" t="s">
        <v>66</v>
      </c>
      <c r="C650" s="25"/>
    </row>
    <row r="651" customFormat="false" ht="15" hidden="false" customHeight="true" outlineLevel="4" collapsed="false">
      <c r="A651" s="57" t="s">
        <v>580</v>
      </c>
      <c r="B651" s="58" t="s">
        <v>280</v>
      </c>
      <c r="C651" s="25"/>
    </row>
    <row r="652" customFormat="false" ht="15" hidden="false" customHeight="true" outlineLevel="3" collapsed="false">
      <c r="A652" s="54" t="s">
        <v>2104</v>
      </c>
      <c r="B652" s="55" t="s">
        <v>2105</v>
      </c>
      <c r="C652" s="56"/>
    </row>
    <row r="653" customFormat="false" ht="15" hidden="false" customHeight="true" outlineLevel="4" collapsed="false">
      <c r="A653" s="57" t="s">
        <v>581</v>
      </c>
      <c r="B653" s="58" t="s">
        <v>66</v>
      </c>
      <c r="C653" s="25"/>
    </row>
    <row r="654" customFormat="false" ht="15" hidden="false" customHeight="true" outlineLevel="4" collapsed="false">
      <c r="A654" s="57" t="s">
        <v>582</v>
      </c>
      <c r="B654" s="58" t="s">
        <v>280</v>
      </c>
      <c r="C654" s="25"/>
    </row>
    <row r="655" customFormat="false" ht="15" hidden="false" customHeight="true" outlineLevel="3" collapsed="false">
      <c r="A655" s="54" t="s">
        <v>2106</v>
      </c>
      <c r="B655" s="55" t="s">
        <v>2107</v>
      </c>
      <c r="C655" s="56"/>
    </row>
    <row r="656" customFormat="false" ht="15" hidden="false" customHeight="true" outlineLevel="4" collapsed="false">
      <c r="A656" s="57" t="s">
        <v>583</v>
      </c>
      <c r="B656" s="58" t="s">
        <v>66</v>
      </c>
      <c r="C656" s="25"/>
    </row>
    <row r="657" customFormat="false" ht="15" hidden="false" customHeight="true" outlineLevel="4" collapsed="false">
      <c r="A657" s="57" t="s">
        <v>584</v>
      </c>
      <c r="B657" s="58" t="s">
        <v>280</v>
      </c>
      <c r="C657" s="25"/>
    </row>
    <row r="658" customFormat="false" ht="15" hidden="false" customHeight="true" outlineLevel="2" collapsed="false">
      <c r="A658" s="51" t="s">
        <v>2108</v>
      </c>
      <c r="B658" s="52" t="s">
        <v>393</v>
      </c>
      <c r="C658" s="53"/>
    </row>
    <row r="659" customFormat="false" ht="15" hidden="false" customHeight="true" outlineLevel="3" collapsed="false">
      <c r="A659" s="54" t="s">
        <v>2109</v>
      </c>
      <c r="B659" s="55" t="s">
        <v>2110</v>
      </c>
      <c r="C659" s="56"/>
    </row>
    <row r="660" customFormat="false" ht="15" hidden="false" customHeight="true" outlineLevel="4" collapsed="false">
      <c r="A660" s="57" t="s">
        <v>585</v>
      </c>
      <c r="B660" s="58" t="s">
        <v>66</v>
      </c>
      <c r="C660" s="25"/>
    </row>
    <row r="661" customFormat="false" ht="15" hidden="false" customHeight="true" outlineLevel="4" collapsed="false">
      <c r="A661" s="57" t="s">
        <v>586</v>
      </c>
      <c r="B661" s="58" t="s">
        <v>280</v>
      </c>
      <c r="C661" s="25"/>
    </row>
    <row r="662" customFormat="false" ht="15" hidden="false" customHeight="true" outlineLevel="3" collapsed="false">
      <c r="A662" s="54" t="s">
        <v>2111</v>
      </c>
      <c r="B662" s="55" t="s">
        <v>2112</v>
      </c>
      <c r="C662" s="56"/>
    </row>
    <row r="663" customFormat="false" ht="15" hidden="false" customHeight="true" outlineLevel="4" collapsed="false">
      <c r="A663" s="57" t="s">
        <v>587</v>
      </c>
      <c r="B663" s="58" t="s">
        <v>66</v>
      </c>
      <c r="C663" s="25"/>
    </row>
    <row r="664" customFormat="false" ht="15" hidden="false" customHeight="true" outlineLevel="4" collapsed="false">
      <c r="A664" s="57" t="s">
        <v>588</v>
      </c>
      <c r="B664" s="58" t="s">
        <v>280</v>
      </c>
      <c r="C664" s="25"/>
    </row>
    <row r="665" customFormat="false" ht="15" hidden="false" customHeight="true" outlineLevel="2" collapsed="false">
      <c r="A665" s="51" t="s">
        <v>2113</v>
      </c>
      <c r="B665" s="52" t="s">
        <v>395</v>
      </c>
      <c r="C665" s="53"/>
    </row>
    <row r="666" customFormat="false" ht="15" hidden="false" customHeight="true" outlineLevel="3" collapsed="false">
      <c r="A666" s="54" t="s">
        <v>2114</v>
      </c>
      <c r="B666" s="55" t="s">
        <v>2115</v>
      </c>
      <c r="C666" s="56"/>
    </row>
    <row r="667" customFormat="false" ht="15" hidden="false" customHeight="true" outlineLevel="4" collapsed="false">
      <c r="A667" s="57" t="s">
        <v>589</v>
      </c>
      <c r="B667" s="58" t="s">
        <v>66</v>
      </c>
      <c r="C667" s="25"/>
    </row>
    <row r="668" customFormat="false" ht="15" hidden="false" customHeight="true" outlineLevel="4" collapsed="false">
      <c r="A668" s="57" t="s">
        <v>590</v>
      </c>
      <c r="B668" s="58" t="s">
        <v>280</v>
      </c>
      <c r="C668" s="25"/>
    </row>
    <row r="669" customFormat="false" ht="15" hidden="false" customHeight="true" outlineLevel="2" collapsed="false">
      <c r="A669" s="51" t="s">
        <v>2116</v>
      </c>
      <c r="B669" s="52" t="s">
        <v>397</v>
      </c>
      <c r="C669" s="53"/>
    </row>
    <row r="670" customFormat="false" ht="15" hidden="false" customHeight="true" outlineLevel="3" collapsed="false">
      <c r="A670" s="54" t="s">
        <v>2117</v>
      </c>
      <c r="B670" s="55" t="s">
        <v>811</v>
      </c>
      <c r="C670" s="56"/>
    </row>
    <row r="671" customFormat="false" ht="15" hidden="false" customHeight="true" outlineLevel="4" collapsed="false">
      <c r="A671" s="57" t="s">
        <v>591</v>
      </c>
      <c r="B671" s="58" t="s">
        <v>66</v>
      </c>
      <c r="C671" s="25"/>
    </row>
    <row r="672" customFormat="false" ht="15" hidden="false" customHeight="true" outlineLevel="4" collapsed="false">
      <c r="A672" s="57" t="s">
        <v>592</v>
      </c>
      <c r="B672" s="58" t="s">
        <v>280</v>
      </c>
      <c r="C672" s="25"/>
    </row>
    <row r="673" customFormat="false" ht="15" hidden="false" customHeight="true" outlineLevel="4" collapsed="false">
      <c r="A673" s="57" t="s">
        <v>593</v>
      </c>
      <c r="B673" s="58" t="s">
        <v>250</v>
      </c>
      <c r="C673" s="25"/>
    </row>
    <row r="674" customFormat="false" ht="15" hidden="false" customHeight="true" outlineLevel="3" collapsed="false">
      <c r="A674" s="54" t="s">
        <v>2118</v>
      </c>
      <c r="B674" s="55" t="s">
        <v>813</v>
      </c>
      <c r="C674" s="56"/>
    </row>
    <row r="675" customFormat="false" ht="15" hidden="false" customHeight="true" outlineLevel="4" collapsed="false">
      <c r="A675" s="57" t="s">
        <v>594</v>
      </c>
      <c r="B675" s="58" t="s">
        <v>66</v>
      </c>
      <c r="C675" s="25"/>
    </row>
    <row r="676" customFormat="false" ht="15" hidden="false" customHeight="true" outlineLevel="4" collapsed="false">
      <c r="A676" s="57" t="s">
        <v>595</v>
      </c>
      <c r="B676" s="58" t="s">
        <v>280</v>
      </c>
      <c r="C676" s="25"/>
    </row>
    <row r="677" customFormat="false" ht="15" hidden="false" customHeight="true" outlineLevel="4" collapsed="false">
      <c r="A677" s="57" t="s">
        <v>596</v>
      </c>
      <c r="B677" s="58" t="s">
        <v>250</v>
      </c>
      <c r="C677" s="25"/>
    </row>
    <row r="678" customFormat="false" ht="15" hidden="false" customHeight="true" outlineLevel="2" collapsed="false">
      <c r="A678" s="51" t="s">
        <v>2119</v>
      </c>
      <c r="B678" s="52" t="s">
        <v>399</v>
      </c>
      <c r="C678" s="53"/>
    </row>
    <row r="679" customFormat="false" ht="15" hidden="false" customHeight="true" outlineLevel="3" collapsed="false">
      <c r="A679" s="54" t="s">
        <v>2120</v>
      </c>
      <c r="B679" s="55" t="s">
        <v>2121</v>
      </c>
      <c r="C679" s="56"/>
    </row>
    <row r="680" customFormat="false" ht="15" hidden="false" customHeight="true" outlineLevel="4" collapsed="false">
      <c r="A680" s="57" t="s">
        <v>597</v>
      </c>
      <c r="B680" s="58" t="s">
        <v>66</v>
      </c>
      <c r="C680" s="25"/>
    </row>
    <row r="681" customFormat="false" ht="15" hidden="false" customHeight="true" outlineLevel="4" collapsed="false">
      <c r="A681" s="57" t="s">
        <v>598</v>
      </c>
      <c r="B681" s="58" t="s">
        <v>280</v>
      </c>
      <c r="C681" s="25"/>
    </row>
    <row r="682" customFormat="false" ht="15" hidden="false" customHeight="true" outlineLevel="3" collapsed="false">
      <c r="A682" s="54" t="s">
        <v>2122</v>
      </c>
      <c r="B682" s="55" t="s">
        <v>2123</v>
      </c>
      <c r="C682" s="56"/>
    </row>
    <row r="683" customFormat="false" ht="15" hidden="false" customHeight="true" outlineLevel="4" collapsed="false">
      <c r="A683" s="57" t="s">
        <v>599</v>
      </c>
      <c r="B683" s="58" t="s">
        <v>66</v>
      </c>
      <c r="C683" s="25"/>
    </row>
    <row r="684" customFormat="false" ht="15" hidden="false" customHeight="true" outlineLevel="4" collapsed="false">
      <c r="A684" s="57" t="s">
        <v>600</v>
      </c>
      <c r="B684" s="58" t="s">
        <v>280</v>
      </c>
      <c r="C684" s="25"/>
    </row>
    <row r="685" customFormat="false" ht="15" hidden="false" customHeight="true" outlineLevel="2" collapsed="false">
      <c r="A685" s="51" t="s">
        <v>2124</v>
      </c>
      <c r="B685" s="52" t="s">
        <v>602</v>
      </c>
      <c r="C685" s="53"/>
    </row>
    <row r="686" customFormat="false" ht="15" hidden="false" customHeight="true" outlineLevel="3" collapsed="false">
      <c r="A686" s="54" t="s">
        <v>601</v>
      </c>
      <c r="B686" s="55" t="s">
        <v>602</v>
      </c>
      <c r="C686" s="25"/>
    </row>
    <row r="687" customFormat="false" ht="15" hidden="false" customHeight="true" outlineLevel="2" collapsed="false">
      <c r="A687" s="51" t="s">
        <v>2125</v>
      </c>
      <c r="B687" s="52" t="s">
        <v>401</v>
      </c>
      <c r="C687" s="53"/>
    </row>
    <row r="688" customFormat="false" ht="15" hidden="false" customHeight="true" outlineLevel="3" collapsed="false">
      <c r="A688" s="54" t="s">
        <v>2126</v>
      </c>
      <c r="B688" s="55" t="s">
        <v>401</v>
      </c>
      <c r="C688" s="56"/>
    </row>
    <row r="689" customFormat="false" ht="15" hidden="false" customHeight="true" outlineLevel="4" collapsed="false">
      <c r="A689" s="57" t="s">
        <v>603</v>
      </c>
      <c r="B689" s="58" t="s">
        <v>66</v>
      </c>
      <c r="C689" s="25"/>
    </row>
    <row r="690" customFormat="false" ht="15" hidden="false" customHeight="true" outlineLevel="4" collapsed="false">
      <c r="A690" s="57" t="s">
        <v>604</v>
      </c>
      <c r="B690" s="58" t="s">
        <v>280</v>
      </c>
      <c r="C690" s="25"/>
    </row>
    <row r="691" customFormat="false" ht="15" hidden="false" customHeight="true" outlineLevel="1" collapsed="false">
      <c r="A691" s="49" t="s">
        <v>2127</v>
      </c>
      <c r="B691" s="49" t="s">
        <v>2128</v>
      </c>
      <c r="C691" s="50"/>
    </row>
    <row r="692" customFormat="false" ht="15" hidden="false" customHeight="true" outlineLevel="2" collapsed="false">
      <c r="A692" s="51" t="s">
        <v>2129</v>
      </c>
      <c r="B692" s="52" t="s">
        <v>403</v>
      </c>
      <c r="C692" s="53"/>
    </row>
    <row r="693" customFormat="false" ht="15" hidden="false" customHeight="true" outlineLevel="3" collapsed="false">
      <c r="A693" s="54" t="s">
        <v>2130</v>
      </c>
      <c r="B693" s="55" t="s">
        <v>2131</v>
      </c>
      <c r="C693" s="56"/>
    </row>
    <row r="694" customFormat="false" ht="15" hidden="false" customHeight="true" outlineLevel="4" collapsed="false">
      <c r="A694" s="57" t="s">
        <v>605</v>
      </c>
      <c r="B694" s="58" t="s">
        <v>66</v>
      </c>
      <c r="C694" s="25"/>
    </row>
    <row r="695" customFormat="false" ht="15" hidden="false" customHeight="true" outlineLevel="4" collapsed="false">
      <c r="A695" s="57" t="s">
        <v>606</v>
      </c>
      <c r="B695" s="58" t="s">
        <v>250</v>
      </c>
      <c r="C695" s="25"/>
    </row>
    <row r="696" customFormat="false" ht="15" hidden="false" customHeight="true" outlineLevel="4" collapsed="false">
      <c r="A696" s="57" t="s">
        <v>607</v>
      </c>
      <c r="B696" s="58" t="s">
        <v>165</v>
      </c>
      <c r="C696" s="25"/>
    </row>
    <row r="697" customFormat="false" ht="15" hidden="false" customHeight="true" outlineLevel="3" collapsed="false">
      <c r="A697" s="54" t="s">
        <v>2132</v>
      </c>
      <c r="B697" s="55" t="s">
        <v>2133</v>
      </c>
      <c r="C697" s="56"/>
    </row>
    <row r="698" customFormat="false" ht="15" hidden="false" customHeight="true" outlineLevel="4" collapsed="false">
      <c r="A698" s="57" t="s">
        <v>608</v>
      </c>
      <c r="B698" s="58" t="s">
        <v>66</v>
      </c>
      <c r="C698" s="25"/>
    </row>
    <row r="699" customFormat="false" ht="15" hidden="false" customHeight="true" outlineLevel="4" collapsed="false">
      <c r="A699" s="57" t="s">
        <v>609</v>
      </c>
      <c r="B699" s="58" t="s">
        <v>250</v>
      </c>
      <c r="C699" s="25"/>
    </row>
    <row r="700" customFormat="false" ht="15" hidden="false" customHeight="true" outlineLevel="4" collapsed="false">
      <c r="A700" s="57" t="s">
        <v>610</v>
      </c>
      <c r="B700" s="58" t="s">
        <v>165</v>
      </c>
      <c r="C700" s="25"/>
    </row>
    <row r="701" customFormat="false" ht="15" hidden="false" customHeight="true" outlineLevel="2" collapsed="false">
      <c r="A701" s="51" t="s">
        <v>2134</v>
      </c>
      <c r="B701" s="52" t="s">
        <v>405</v>
      </c>
      <c r="C701" s="53"/>
    </row>
    <row r="702" customFormat="false" ht="15" hidden="false" customHeight="true" outlineLevel="3" collapsed="false">
      <c r="A702" s="54" t="s">
        <v>2135</v>
      </c>
      <c r="B702" s="55" t="s">
        <v>2131</v>
      </c>
      <c r="C702" s="56"/>
    </row>
    <row r="703" customFormat="false" ht="15" hidden="false" customHeight="true" outlineLevel="4" collapsed="false">
      <c r="A703" s="57" t="s">
        <v>611</v>
      </c>
      <c r="B703" s="58" t="s">
        <v>66</v>
      </c>
      <c r="C703" s="25"/>
    </row>
    <row r="704" customFormat="false" ht="15" hidden="false" customHeight="true" outlineLevel="4" collapsed="false">
      <c r="A704" s="57" t="s">
        <v>612</v>
      </c>
      <c r="B704" s="58" t="s">
        <v>250</v>
      </c>
      <c r="C704" s="25"/>
    </row>
    <row r="705" customFormat="false" ht="15" hidden="false" customHeight="true" outlineLevel="4" collapsed="false">
      <c r="A705" s="57" t="s">
        <v>613</v>
      </c>
      <c r="B705" s="58" t="s">
        <v>165</v>
      </c>
      <c r="C705" s="25"/>
    </row>
    <row r="706" customFormat="false" ht="15" hidden="false" customHeight="true" outlineLevel="3" collapsed="false">
      <c r="A706" s="54" t="s">
        <v>2136</v>
      </c>
      <c r="B706" s="55" t="s">
        <v>2133</v>
      </c>
      <c r="C706" s="56"/>
    </row>
    <row r="707" customFormat="false" ht="15" hidden="false" customHeight="true" outlineLevel="4" collapsed="false">
      <c r="A707" s="57" t="s">
        <v>614</v>
      </c>
      <c r="B707" s="58" t="s">
        <v>66</v>
      </c>
      <c r="C707" s="25"/>
    </row>
    <row r="708" customFormat="false" ht="15" hidden="false" customHeight="true" outlineLevel="4" collapsed="false">
      <c r="A708" s="57" t="s">
        <v>615</v>
      </c>
      <c r="B708" s="58" t="s">
        <v>250</v>
      </c>
      <c r="C708" s="25"/>
    </row>
    <row r="709" customFormat="false" ht="15" hidden="false" customHeight="true" outlineLevel="4" collapsed="false">
      <c r="A709" s="57" t="s">
        <v>616</v>
      </c>
      <c r="B709" s="58" t="s">
        <v>165</v>
      </c>
      <c r="C709" s="25"/>
    </row>
    <row r="710" customFormat="false" ht="15" hidden="false" customHeight="true" outlineLevel="1" collapsed="false">
      <c r="A710" s="49" t="s">
        <v>2137</v>
      </c>
      <c r="B710" s="49" t="s">
        <v>2138</v>
      </c>
      <c r="C710" s="50"/>
    </row>
    <row r="711" customFormat="false" ht="15" hidden="false" customHeight="true" outlineLevel="2" collapsed="false">
      <c r="A711" s="51" t="s">
        <v>2139</v>
      </c>
      <c r="B711" s="52" t="s">
        <v>2140</v>
      </c>
      <c r="C711" s="53"/>
    </row>
    <row r="712" customFormat="false" ht="15" hidden="false" customHeight="true" outlineLevel="3" collapsed="false">
      <c r="A712" s="54" t="s">
        <v>2141</v>
      </c>
      <c r="B712" s="55" t="s">
        <v>372</v>
      </c>
      <c r="C712" s="56"/>
    </row>
    <row r="713" customFormat="false" ht="15" hidden="false" customHeight="true" outlineLevel="4" collapsed="false">
      <c r="A713" s="57" t="s">
        <v>617</v>
      </c>
      <c r="B713" s="58" t="s">
        <v>66</v>
      </c>
      <c r="C713" s="25"/>
    </row>
    <row r="714" customFormat="false" ht="15" hidden="false" customHeight="true" outlineLevel="4" collapsed="false">
      <c r="A714" s="57" t="s">
        <v>618</v>
      </c>
      <c r="B714" s="58" t="s">
        <v>280</v>
      </c>
      <c r="C714" s="25"/>
    </row>
    <row r="715" customFormat="false" ht="15" hidden="false" customHeight="true" outlineLevel="3" collapsed="false">
      <c r="A715" s="54" t="s">
        <v>2142</v>
      </c>
      <c r="B715" s="55" t="s">
        <v>374</v>
      </c>
      <c r="C715" s="56"/>
    </row>
    <row r="716" customFormat="false" ht="15" hidden="false" customHeight="true" outlineLevel="4" collapsed="false">
      <c r="A716" s="57" t="s">
        <v>619</v>
      </c>
      <c r="B716" s="58" t="s">
        <v>66</v>
      </c>
      <c r="C716" s="25"/>
    </row>
    <row r="717" customFormat="false" ht="15" hidden="false" customHeight="true" outlineLevel="4" collapsed="false">
      <c r="A717" s="57" t="s">
        <v>620</v>
      </c>
      <c r="B717" s="58" t="s">
        <v>280</v>
      </c>
      <c r="C717" s="25"/>
    </row>
    <row r="718" customFormat="false" ht="15" hidden="false" customHeight="true" outlineLevel="4" collapsed="false">
      <c r="A718" s="57" t="s">
        <v>621</v>
      </c>
      <c r="B718" s="58" t="s">
        <v>250</v>
      </c>
      <c r="C718" s="25"/>
    </row>
    <row r="719" customFormat="false" ht="15" hidden="false" customHeight="true" outlineLevel="3" collapsed="false">
      <c r="A719" s="54" t="s">
        <v>2143</v>
      </c>
      <c r="B719" s="55" t="s">
        <v>2144</v>
      </c>
      <c r="C719" s="56"/>
    </row>
    <row r="720" customFormat="false" ht="15" hidden="false" customHeight="true" outlineLevel="4" collapsed="false">
      <c r="A720" s="57" t="s">
        <v>622</v>
      </c>
      <c r="B720" s="58" t="s">
        <v>66</v>
      </c>
      <c r="C720" s="25"/>
    </row>
    <row r="721" customFormat="false" ht="15" hidden="false" customHeight="true" outlineLevel="4" collapsed="false">
      <c r="A721" s="57" t="s">
        <v>623</v>
      </c>
      <c r="B721" s="58" t="s">
        <v>280</v>
      </c>
      <c r="C721" s="25"/>
    </row>
    <row r="722" customFormat="false" ht="15" hidden="false" customHeight="true" outlineLevel="4" collapsed="false">
      <c r="A722" s="57" t="s">
        <v>624</v>
      </c>
      <c r="B722" s="58" t="s">
        <v>250</v>
      </c>
      <c r="C722" s="25"/>
    </row>
    <row r="723" customFormat="false" ht="15" hidden="false" customHeight="true" outlineLevel="2" collapsed="false">
      <c r="A723" s="51" t="s">
        <v>2145</v>
      </c>
      <c r="B723" s="52" t="s">
        <v>2146</v>
      </c>
      <c r="C723" s="53"/>
    </row>
    <row r="724" customFormat="false" ht="15" hidden="false" customHeight="true" outlineLevel="3" collapsed="false">
      <c r="A724" s="54" t="s">
        <v>2147</v>
      </c>
      <c r="B724" s="55" t="s">
        <v>372</v>
      </c>
      <c r="C724" s="56"/>
    </row>
    <row r="725" customFormat="false" ht="15" hidden="false" customHeight="true" outlineLevel="4" collapsed="false">
      <c r="A725" s="57" t="s">
        <v>625</v>
      </c>
      <c r="B725" s="58" t="s">
        <v>66</v>
      </c>
      <c r="C725" s="25"/>
    </row>
    <row r="726" customFormat="false" ht="15" hidden="false" customHeight="true" outlineLevel="4" collapsed="false">
      <c r="A726" s="57" t="s">
        <v>626</v>
      </c>
      <c r="B726" s="58" t="s">
        <v>280</v>
      </c>
      <c r="C726" s="25"/>
    </row>
    <row r="727" customFormat="false" ht="15" hidden="false" customHeight="true" outlineLevel="3" collapsed="false">
      <c r="A727" s="54" t="s">
        <v>2148</v>
      </c>
      <c r="B727" s="55" t="s">
        <v>374</v>
      </c>
      <c r="C727" s="56"/>
    </row>
    <row r="728" customFormat="false" ht="15" hidden="false" customHeight="true" outlineLevel="4" collapsed="false">
      <c r="A728" s="57" t="s">
        <v>627</v>
      </c>
      <c r="B728" s="58" t="s">
        <v>66</v>
      </c>
      <c r="C728" s="25"/>
    </row>
    <row r="729" customFormat="false" ht="15" hidden="false" customHeight="true" outlineLevel="4" collapsed="false">
      <c r="A729" s="57" t="s">
        <v>628</v>
      </c>
      <c r="B729" s="58" t="s">
        <v>280</v>
      </c>
      <c r="C729" s="25"/>
    </row>
    <row r="730" customFormat="false" ht="15" hidden="false" customHeight="true" outlineLevel="4" collapsed="false">
      <c r="A730" s="57" t="s">
        <v>629</v>
      </c>
      <c r="B730" s="58" t="s">
        <v>250</v>
      </c>
      <c r="C730" s="25"/>
    </row>
    <row r="731" customFormat="false" ht="15" hidden="false" customHeight="true" outlineLevel="2" collapsed="false">
      <c r="A731" s="51" t="s">
        <v>2149</v>
      </c>
      <c r="B731" s="52" t="s">
        <v>2150</v>
      </c>
      <c r="C731" s="53"/>
    </row>
    <row r="732" customFormat="false" ht="15" hidden="false" customHeight="true" outlineLevel="3" collapsed="false">
      <c r="A732" s="54" t="s">
        <v>2151</v>
      </c>
      <c r="B732" s="55" t="s">
        <v>372</v>
      </c>
      <c r="C732" s="56"/>
    </row>
    <row r="733" customFormat="false" ht="15" hidden="false" customHeight="true" outlineLevel="4" collapsed="false">
      <c r="A733" s="57" t="s">
        <v>630</v>
      </c>
      <c r="B733" s="58" t="s">
        <v>66</v>
      </c>
      <c r="C733" s="25"/>
    </row>
    <row r="734" customFormat="false" ht="15" hidden="false" customHeight="true" outlineLevel="4" collapsed="false">
      <c r="A734" s="57" t="s">
        <v>631</v>
      </c>
      <c r="B734" s="58" t="s">
        <v>280</v>
      </c>
      <c r="C734" s="25"/>
    </row>
    <row r="735" customFormat="false" ht="15" hidden="false" customHeight="true" outlineLevel="3" collapsed="false">
      <c r="A735" s="54" t="s">
        <v>2152</v>
      </c>
      <c r="B735" s="55" t="s">
        <v>374</v>
      </c>
      <c r="C735" s="56"/>
    </row>
    <row r="736" customFormat="false" ht="15" hidden="false" customHeight="true" outlineLevel="4" collapsed="false">
      <c r="A736" s="57" t="s">
        <v>632</v>
      </c>
      <c r="B736" s="58" t="s">
        <v>66</v>
      </c>
      <c r="C736" s="25"/>
    </row>
    <row r="737" customFormat="false" ht="15" hidden="false" customHeight="true" outlineLevel="4" collapsed="false">
      <c r="A737" s="57" t="s">
        <v>633</v>
      </c>
      <c r="B737" s="58" t="s">
        <v>280</v>
      </c>
      <c r="C737" s="25"/>
    </row>
    <row r="738" customFormat="false" ht="15" hidden="false" customHeight="true" outlineLevel="4" collapsed="false">
      <c r="A738" s="57" t="s">
        <v>634</v>
      </c>
      <c r="B738" s="58" t="s">
        <v>250</v>
      </c>
      <c r="C738" s="25"/>
    </row>
    <row r="739" customFormat="false" ht="15" hidden="false" customHeight="true" outlineLevel="3" collapsed="false">
      <c r="A739" s="54" t="s">
        <v>2153</v>
      </c>
      <c r="B739" s="55" t="s">
        <v>567</v>
      </c>
      <c r="C739" s="56"/>
    </row>
    <row r="740" customFormat="false" ht="15" hidden="false" customHeight="true" outlineLevel="4" collapsed="false">
      <c r="A740" s="57" t="s">
        <v>635</v>
      </c>
      <c r="B740" s="58" t="s">
        <v>66</v>
      </c>
      <c r="C740" s="25"/>
    </row>
    <row r="741" customFormat="false" ht="15" hidden="false" customHeight="true" outlineLevel="4" collapsed="false">
      <c r="A741" s="57" t="s">
        <v>636</v>
      </c>
      <c r="B741" s="58" t="s">
        <v>280</v>
      </c>
      <c r="C741" s="25"/>
    </row>
    <row r="742" customFormat="false" ht="15" hidden="false" customHeight="true" outlineLevel="4" collapsed="false">
      <c r="A742" s="57" t="s">
        <v>637</v>
      </c>
      <c r="B742" s="58" t="s">
        <v>250</v>
      </c>
      <c r="C742" s="25"/>
    </row>
    <row r="743" customFormat="false" ht="15" hidden="false" customHeight="true" outlineLevel="3" collapsed="false">
      <c r="A743" s="54" t="s">
        <v>2154</v>
      </c>
      <c r="B743" s="55" t="s">
        <v>383</v>
      </c>
      <c r="C743" s="56"/>
    </row>
    <row r="744" customFormat="false" ht="15" hidden="false" customHeight="true" outlineLevel="4" collapsed="false">
      <c r="A744" s="57" t="s">
        <v>638</v>
      </c>
      <c r="B744" s="58" t="s">
        <v>66</v>
      </c>
      <c r="C744" s="25"/>
    </row>
    <row r="745" customFormat="false" ht="15" hidden="false" customHeight="true" outlineLevel="4" collapsed="false">
      <c r="A745" s="57" t="s">
        <v>639</v>
      </c>
      <c r="B745" s="58" t="s">
        <v>280</v>
      </c>
      <c r="C745" s="25"/>
    </row>
    <row r="746" customFormat="false" ht="15" hidden="false" customHeight="true" outlineLevel="3" collapsed="false">
      <c r="A746" s="54" t="s">
        <v>2155</v>
      </c>
      <c r="B746" s="55" t="s">
        <v>385</v>
      </c>
      <c r="C746" s="56"/>
    </row>
    <row r="747" customFormat="false" ht="15" hidden="false" customHeight="true" outlineLevel="4" collapsed="false">
      <c r="A747" s="57" t="s">
        <v>640</v>
      </c>
      <c r="B747" s="58" t="s">
        <v>66</v>
      </c>
      <c r="C747" s="25"/>
    </row>
    <row r="748" customFormat="false" ht="15" hidden="false" customHeight="true" outlineLevel="4" collapsed="false">
      <c r="A748" s="57" t="s">
        <v>641</v>
      </c>
      <c r="B748" s="58" t="s">
        <v>280</v>
      </c>
      <c r="C748" s="25"/>
    </row>
    <row r="749" customFormat="false" ht="15" hidden="false" customHeight="true" outlineLevel="3" collapsed="false">
      <c r="A749" s="54" t="s">
        <v>2156</v>
      </c>
      <c r="B749" s="55" t="s">
        <v>387</v>
      </c>
      <c r="C749" s="56"/>
    </row>
    <row r="750" customFormat="false" ht="15" hidden="false" customHeight="true" outlineLevel="4" collapsed="false">
      <c r="A750" s="57" t="s">
        <v>642</v>
      </c>
      <c r="B750" s="58" t="s">
        <v>66</v>
      </c>
      <c r="C750" s="25"/>
    </row>
    <row r="751" customFormat="false" ht="15" hidden="false" customHeight="true" outlineLevel="4" collapsed="false">
      <c r="A751" s="57" t="s">
        <v>643</v>
      </c>
      <c r="B751" s="58" t="s">
        <v>280</v>
      </c>
      <c r="C751" s="25"/>
    </row>
    <row r="752" customFormat="false" ht="15" hidden="false" customHeight="true" outlineLevel="2" collapsed="false">
      <c r="A752" s="51" t="s">
        <v>2157</v>
      </c>
      <c r="B752" s="52" t="s">
        <v>2158</v>
      </c>
      <c r="C752" s="53"/>
    </row>
    <row r="753" customFormat="false" ht="15" hidden="false" customHeight="true" outlineLevel="3" collapsed="false">
      <c r="A753" s="54" t="s">
        <v>2159</v>
      </c>
      <c r="B753" s="55" t="s">
        <v>368</v>
      </c>
      <c r="C753" s="56"/>
    </row>
    <row r="754" customFormat="false" ht="15" hidden="false" customHeight="true" outlineLevel="4" collapsed="false">
      <c r="A754" s="57" t="s">
        <v>644</v>
      </c>
      <c r="B754" s="58" t="s">
        <v>66</v>
      </c>
      <c r="C754" s="25"/>
    </row>
    <row r="755" customFormat="false" ht="15" hidden="false" customHeight="true" outlineLevel="4" collapsed="false">
      <c r="A755" s="57" t="s">
        <v>645</v>
      </c>
      <c r="B755" s="58" t="s">
        <v>646</v>
      </c>
      <c r="C755" s="25"/>
    </row>
    <row r="756" customFormat="false" ht="15" hidden="false" customHeight="true" outlineLevel="4" collapsed="false">
      <c r="A756" s="57" t="s">
        <v>647</v>
      </c>
      <c r="B756" s="58" t="s">
        <v>648</v>
      </c>
      <c r="C756" s="25"/>
    </row>
    <row r="757" customFormat="false" ht="15" hidden="false" customHeight="true" outlineLevel="4" collapsed="false">
      <c r="A757" s="57" t="s">
        <v>649</v>
      </c>
      <c r="B757" s="58" t="s">
        <v>650</v>
      </c>
      <c r="C757" s="25"/>
    </row>
    <row r="758" customFormat="false" ht="15" hidden="false" customHeight="true" outlineLevel="4" collapsed="false">
      <c r="A758" s="57" t="s">
        <v>651</v>
      </c>
      <c r="B758" s="58" t="s">
        <v>652</v>
      </c>
      <c r="C758" s="25"/>
    </row>
    <row r="759" customFormat="false" ht="15" hidden="false" customHeight="true" outlineLevel="4" collapsed="false">
      <c r="A759" s="57" t="s">
        <v>653</v>
      </c>
      <c r="B759" s="58" t="s">
        <v>654</v>
      </c>
      <c r="C759" s="25"/>
    </row>
    <row r="760" customFormat="false" ht="15" hidden="false" customHeight="true" outlineLevel="4" collapsed="false">
      <c r="A760" s="57" t="s">
        <v>655</v>
      </c>
      <c r="B760" s="58" t="s">
        <v>656</v>
      </c>
      <c r="C760" s="25"/>
    </row>
    <row r="761" customFormat="false" ht="15" hidden="false" customHeight="true" outlineLevel="4" collapsed="false">
      <c r="A761" s="57" t="s">
        <v>657</v>
      </c>
      <c r="B761" s="58" t="s">
        <v>658</v>
      </c>
      <c r="C761" s="25"/>
    </row>
    <row r="762" customFormat="false" ht="15" hidden="false" customHeight="true" outlineLevel="3" collapsed="false">
      <c r="A762" s="54" t="s">
        <v>2160</v>
      </c>
      <c r="B762" s="55" t="s">
        <v>372</v>
      </c>
      <c r="C762" s="56"/>
    </row>
    <row r="763" customFormat="false" ht="15" hidden="false" customHeight="true" outlineLevel="4" collapsed="false">
      <c r="A763" s="57" t="s">
        <v>659</v>
      </c>
      <c r="B763" s="58" t="s">
        <v>66</v>
      </c>
      <c r="C763" s="25"/>
    </row>
    <row r="764" customFormat="false" ht="15" hidden="false" customHeight="true" outlineLevel="4" collapsed="false">
      <c r="A764" s="57" t="s">
        <v>660</v>
      </c>
      <c r="B764" s="58" t="s">
        <v>280</v>
      </c>
      <c r="C764" s="25"/>
    </row>
    <row r="765" customFormat="false" ht="15" hidden="false" customHeight="true" outlineLevel="3" collapsed="false">
      <c r="A765" s="54" t="s">
        <v>2161</v>
      </c>
      <c r="B765" s="55" t="s">
        <v>374</v>
      </c>
      <c r="C765" s="56"/>
    </row>
    <row r="766" customFormat="false" ht="15" hidden="false" customHeight="true" outlineLevel="4" collapsed="false">
      <c r="A766" s="57" t="s">
        <v>661</v>
      </c>
      <c r="B766" s="58" t="s">
        <v>662</v>
      </c>
      <c r="C766" s="25"/>
    </row>
    <row r="767" customFormat="false" ht="15" hidden="false" customHeight="true" outlineLevel="4" collapsed="false">
      <c r="A767" s="57" t="s">
        <v>663</v>
      </c>
      <c r="B767" s="58" t="s">
        <v>664</v>
      </c>
      <c r="C767" s="25"/>
    </row>
    <row r="768" customFormat="false" ht="15" hidden="false" customHeight="true" outlineLevel="4" collapsed="false">
      <c r="A768" s="57" t="s">
        <v>665</v>
      </c>
      <c r="B768" s="58" t="s">
        <v>666</v>
      </c>
      <c r="C768" s="25"/>
    </row>
    <row r="769" customFormat="false" ht="15" hidden="false" customHeight="true" outlineLevel="4" collapsed="false">
      <c r="A769" s="57" t="s">
        <v>667</v>
      </c>
      <c r="B769" s="58" t="s">
        <v>668</v>
      </c>
      <c r="C769" s="25"/>
    </row>
    <row r="770" customFormat="false" ht="15" hidden="false" customHeight="true" outlineLevel="4" collapsed="false">
      <c r="A770" s="57" t="s">
        <v>669</v>
      </c>
      <c r="B770" s="58" t="s">
        <v>670</v>
      </c>
      <c r="C770" s="25"/>
    </row>
    <row r="771" customFormat="false" ht="15" hidden="false" customHeight="true" outlineLevel="4" collapsed="false">
      <c r="A771" s="57" t="s">
        <v>671</v>
      </c>
      <c r="B771" s="58" t="s">
        <v>672</v>
      </c>
      <c r="C771" s="25"/>
    </row>
    <row r="772" customFormat="false" ht="15" hidden="false" customHeight="true" outlineLevel="4" collapsed="false">
      <c r="A772" s="57" t="s">
        <v>673</v>
      </c>
      <c r="B772" s="58" t="s">
        <v>674</v>
      </c>
      <c r="C772" s="25"/>
    </row>
    <row r="773" customFormat="false" ht="15" hidden="false" customHeight="true" outlineLevel="4" collapsed="false">
      <c r="A773" s="57" t="s">
        <v>675</v>
      </c>
      <c r="B773" s="58" t="s">
        <v>676</v>
      </c>
      <c r="C773" s="25"/>
    </row>
    <row r="774" customFormat="false" ht="15" hidden="false" customHeight="true" outlineLevel="4" collapsed="false">
      <c r="A774" s="57" t="s">
        <v>677</v>
      </c>
      <c r="B774" s="58" t="s">
        <v>678</v>
      </c>
      <c r="C774" s="25"/>
    </row>
    <row r="775" customFormat="false" ht="15" hidden="false" customHeight="true" outlineLevel="3" collapsed="false">
      <c r="A775" s="54" t="s">
        <v>2162</v>
      </c>
      <c r="B775" s="55" t="s">
        <v>567</v>
      </c>
      <c r="C775" s="56"/>
    </row>
    <row r="776" customFormat="false" ht="15" hidden="false" customHeight="true" outlineLevel="4" collapsed="false">
      <c r="A776" s="57" t="s">
        <v>679</v>
      </c>
      <c r="B776" s="58" t="s">
        <v>66</v>
      </c>
      <c r="C776" s="25"/>
    </row>
    <row r="777" customFormat="false" ht="15" hidden="false" customHeight="true" outlineLevel="4" collapsed="false">
      <c r="A777" s="57" t="s">
        <v>680</v>
      </c>
      <c r="B777" s="58" t="s">
        <v>280</v>
      </c>
      <c r="C777" s="25"/>
    </row>
    <row r="778" customFormat="false" ht="15" hidden="false" customHeight="true" outlineLevel="4" collapsed="false">
      <c r="A778" s="57" t="s">
        <v>681</v>
      </c>
      <c r="B778" s="58" t="s">
        <v>250</v>
      </c>
      <c r="C778" s="25"/>
    </row>
    <row r="779" customFormat="false" ht="15" hidden="false" customHeight="true" outlineLevel="3" collapsed="false">
      <c r="A779" s="54" t="s">
        <v>2163</v>
      </c>
      <c r="B779" s="55" t="s">
        <v>383</v>
      </c>
      <c r="C779" s="56"/>
    </row>
    <row r="780" customFormat="false" ht="15" hidden="false" customHeight="true" outlineLevel="4" collapsed="false">
      <c r="A780" s="57" t="s">
        <v>682</v>
      </c>
      <c r="B780" s="58" t="s">
        <v>66</v>
      </c>
      <c r="C780" s="25"/>
    </row>
    <row r="781" customFormat="false" ht="15" hidden="false" customHeight="true" outlineLevel="4" collapsed="false">
      <c r="A781" s="57" t="s">
        <v>683</v>
      </c>
      <c r="B781" s="58" t="s">
        <v>280</v>
      </c>
      <c r="C781" s="25"/>
    </row>
    <row r="782" customFormat="false" ht="15" hidden="false" customHeight="true" outlineLevel="3" collapsed="false">
      <c r="A782" s="54" t="s">
        <v>2164</v>
      </c>
      <c r="B782" s="55" t="s">
        <v>385</v>
      </c>
      <c r="C782" s="56"/>
    </row>
    <row r="783" customFormat="false" ht="15" hidden="false" customHeight="true" outlineLevel="4" collapsed="false">
      <c r="A783" s="57" t="s">
        <v>684</v>
      </c>
      <c r="B783" s="58" t="s">
        <v>66</v>
      </c>
      <c r="C783" s="25"/>
    </row>
    <row r="784" customFormat="false" ht="15" hidden="false" customHeight="true" outlineLevel="4" collapsed="false">
      <c r="A784" s="57" t="s">
        <v>685</v>
      </c>
      <c r="B784" s="58" t="s">
        <v>280</v>
      </c>
      <c r="C784" s="25"/>
    </row>
    <row r="785" customFormat="false" ht="15" hidden="false" customHeight="true" outlineLevel="3" collapsed="false">
      <c r="A785" s="54" t="s">
        <v>2165</v>
      </c>
      <c r="B785" s="55" t="s">
        <v>387</v>
      </c>
      <c r="C785" s="56"/>
    </row>
    <row r="786" customFormat="false" ht="15" hidden="false" customHeight="true" outlineLevel="4" collapsed="false">
      <c r="A786" s="57" t="s">
        <v>686</v>
      </c>
      <c r="B786" s="58" t="s">
        <v>66</v>
      </c>
      <c r="C786" s="25"/>
    </row>
    <row r="787" customFormat="false" ht="15" hidden="false" customHeight="true" outlineLevel="4" collapsed="false">
      <c r="A787" s="57" t="s">
        <v>687</v>
      </c>
      <c r="B787" s="58" t="s">
        <v>280</v>
      </c>
      <c r="C787" s="25"/>
    </row>
    <row r="788" customFormat="false" ht="15" hidden="false" customHeight="true" outlineLevel="3" collapsed="false">
      <c r="A788" s="54" t="s">
        <v>2166</v>
      </c>
      <c r="B788" s="55" t="s">
        <v>389</v>
      </c>
      <c r="C788" s="56"/>
    </row>
    <row r="789" customFormat="false" ht="15" hidden="false" customHeight="true" outlineLevel="4" collapsed="false">
      <c r="A789" s="57" t="s">
        <v>688</v>
      </c>
      <c r="B789" s="58" t="s">
        <v>689</v>
      </c>
      <c r="C789" s="25"/>
    </row>
    <row r="790" customFormat="false" ht="15" hidden="false" customHeight="true" outlineLevel="4" collapsed="false">
      <c r="A790" s="57" t="s">
        <v>690</v>
      </c>
      <c r="B790" s="58" t="s">
        <v>691</v>
      </c>
      <c r="C790" s="25"/>
    </row>
    <row r="791" customFormat="false" ht="15" hidden="false" customHeight="true" outlineLevel="4" collapsed="false">
      <c r="A791" s="57" t="s">
        <v>692</v>
      </c>
      <c r="B791" s="58" t="s">
        <v>693</v>
      </c>
      <c r="C791" s="25"/>
    </row>
    <row r="792" customFormat="false" ht="15" hidden="false" customHeight="true" outlineLevel="4" collapsed="false">
      <c r="A792" s="57" t="s">
        <v>694</v>
      </c>
      <c r="B792" s="58" t="s">
        <v>695</v>
      </c>
      <c r="C792" s="25"/>
    </row>
    <row r="793" customFormat="false" ht="15" hidden="false" customHeight="true" outlineLevel="3" collapsed="false">
      <c r="A793" s="54" t="s">
        <v>2167</v>
      </c>
      <c r="B793" s="55" t="s">
        <v>1927</v>
      </c>
      <c r="C793" s="56"/>
    </row>
    <row r="794" customFormat="false" ht="15" hidden="false" customHeight="true" outlineLevel="4" collapsed="false">
      <c r="A794" s="57" t="s">
        <v>696</v>
      </c>
      <c r="B794" s="58" t="s">
        <v>66</v>
      </c>
      <c r="C794" s="25"/>
    </row>
    <row r="795" customFormat="false" ht="15" hidden="false" customHeight="true" outlineLevel="4" collapsed="false">
      <c r="A795" s="57" t="s">
        <v>697</v>
      </c>
      <c r="B795" s="58" t="s">
        <v>280</v>
      </c>
      <c r="C795" s="25"/>
    </row>
    <row r="796" customFormat="false" ht="15" hidden="false" customHeight="true" outlineLevel="2" collapsed="false">
      <c r="A796" s="51" t="s">
        <v>2168</v>
      </c>
      <c r="B796" s="52" t="s">
        <v>2169</v>
      </c>
      <c r="C796" s="53"/>
    </row>
    <row r="797" customFormat="false" ht="15" hidden="false" customHeight="true" outlineLevel="3" collapsed="false">
      <c r="A797" s="54" t="s">
        <v>2170</v>
      </c>
      <c r="B797" s="55" t="s">
        <v>391</v>
      </c>
      <c r="C797" s="56"/>
    </row>
    <row r="798" customFormat="false" ht="15" hidden="false" customHeight="true" outlineLevel="4" collapsed="false">
      <c r="A798" s="57" t="s">
        <v>698</v>
      </c>
      <c r="B798" s="58" t="s">
        <v>66</v>
      </c>
      <c r="C798" s="25"/>
    </row>
    <row r="799" customFormat="false" ht="15" hidden="false" customHeight="true" outlineLevel="4" collapsed="false">
      <c r="A799" s="57" t="s">
        <v>699</v>
      </c>
      <c r="B799" s="58" t="s">
        <v>280</v>
      </c>
      <c r="C799" s="25"/>
    </row>
    <row r="800" customFormat="false" ht="15" hidden="false" customHeight="true" outlineLevel="3" collapsed="false">
      <c r="A800" s="54" t="s">
        <v>2171</v>
      </c>
      <c r="B800" s="55" t="s">
        <v>393</v>
      </c>
      <c r="C800" s="56"/>
    </row>
    <row r="801" customFormat="false" ht="15" hidden="false" customHeight="true" outlineLevel="4" collapsed="false">
      <c r="A801" s="57" t="s">
        <v>700</v>
      </c>
      <c r="B801" s="58" t="s">
        <v>66</v>
      </c>
      <c r="C801" s="25"/>
    </row>
    <row r="802" customFormat="false" ht="15" hidden="false" customHeight="true" outlineLevel="4" collapsed="false">
      <c r="A802" s="57" t="s">
        <v>701</v>
      </c>
      <c r="B802" s="58" t="s">
        <v>280</v>
      </c>
      <c r="C802" s="25"/>
    </row>
    <row r="803" customFormat="false" ht="15" hidden="false" customHeight="true" outlineLevel="3" collapsed="false">
      <c r="A803" s="54" t="s">
        <v>2172</v>
      </c>
      <c r="B803" s="55" t="s">
        <v>395</v>
      </c>
      <c r="C803" s="56"/>
    </row>
    <row r="804" customFormat="false" ht="15" hidden="false" customHeight="true" outlineLevel="4" collapsed="false">
      <c r="A804" s="57" t="s">
        <v>702</v>
      </c>
      <c r="B804" s="58" t="s">
        <v>66</v>
      </c>
      <c r="C804" s="25"/>
    </row>
    <row r="805" customFormat="false" ht="15" hidden="false" customHeight="true" outlineLevel="4" collapsed="false">
      <c r="A805" s="57" t="s">
        <v>703</v>
      </c>
      <c r="B805" s="58" t="s">
        <v>280</v>
      </c>
      <c r="C805" s="25"/>
    </row>
    <row r="806" customFormat="false" ht="15" hidden="false" customHeight="true" outlineLevel="3" collapsed="false">
      <c r="A806" s="54" t="s">
        <v>2173</v>
      </c>
      <c r="B806" s="55" t="s">
        <v>397</v>
      </c>
      <c r="C806" s="56"/>
    </row>
    <row r="807" customFormat="false" ht="15" hidden="false" customHeight="true" outlineLevel="4" collapsed="false">
      <c r="A807" s="57" t="s">
        <v>704</v>
      </c>
      <c r="B807" s="58" t="s">
        <v>66</v>
      </c>
      <c r="C807" s="25"/>
    </row>
    <row r="808" customFormat="false" ht="15" hidden="false" customHeight="true" outlineLevel="4" collapsed="false">
      <c r="A808" s="57" t="s">
        <v>705</v>
      </c>
      <c r="B808" s="58" t="s">
        <v>280</v>
      </c>
      <c r="C808" s="25"/>
    </row>
    <row r="809" customFormat="false" ht="15" hidden="false" customHeight="true" outlineLevel="4" collapsed="false">
      <c r="A809" s="57" t="s">
        <v>706</v>
      </c>
      <c r="B809" s="58" t="s">
        <v>250</v>
      </c>
      <c r="C809" s="25"/>
    </row>
    <row r="810" customFormat="false" ht="15" hidden="false" customHeight="true" outlineLevel="3" collapsed="false">
      <c r="A810" s="54" t="s">
        <v>2174</v>
      </c>
      <c r="B810" s="55" t="s">
        <v>399</v>
      </c>
      <c r="C810" s="56"/>
    </row>
    <row r="811" customFormat="false" ht="15" hidden="false" customHeight="true" outlineLevel="4" collapsed="false">
      <c r="A811" s="57" t="s">
        <v>707</v>
      </c>
      <c r="B811" s="58" t="s">
        <v>66</v>
      </c>
      <c r="C811" s="25"/>
    </row>
    <row r="812" customFormat="false" ht="15" hidden="false" customHeight="true" outlineLevel="4" collapsed="false">
      <c r="A812" s="57" t="s">
        <v>708</v>
      </c>
      <c r="B812" s="58" t="s">
        <v>280</v>
      </c>
      <c r="C812" s="25"/>
    </row>
    <row r="813" customFormat="false" ht="15" hidden="false" customHeight="true" outlineLevel="3" collapsed="false">
      <c r="A813" s="54" t="s">
        <v>709</v>
      </c>
      <c r="B813" s="55" t="s">
        <v>602</v>
      </c>
      <c r="C813" s="25"/>
    </row>
    <row r="814" customFormat="false" ht="15" hidden="false" customHeight="true" outlineLevel="3" collapsed="false">
      <c r="A814" s="54" t="s">
        <v>2175</v>
      </c>
      <c r="B814" s="55" t="s">
        <v>401</v>
      </c>
      <c r="C814" s="56"/>
    </row>
    <row r="815" customFormat="false" ht="15" hidden="false" customHeight="true" outlineLevel="4" collapsed="false">
      <c r="A815" s="57" t="s">
        <v>710</v>
      </c>
      <c r="B815" s="58" t="s">
        <v>66</v>
      </c>
      <c r="C815" s="25"/>
    </row>
    <row r="816" customFormat="false" ht="15" hidden="false" customHeight="true" outlineLevel="4" collapsed="false">
      <c r="A816" s="57" t="s">
        <v>711</v>
      </c>
      <c r="B816" s="58" t="s">
        <v>280</v>
      </c>
      <c r="C816" s="25"/>
    </row>
    <row r="817" customFormat="false" ht="15" hidden="false" customHeight="true" outlineLevel="2" collapsed="false">
      <c r="A817" s="51" t="s">
        <v>2176</v>
      </c>
      <c r="B817" s="52" t="s">
        <v>2177</v>
      </c>
      <c r="C817" s="53"/>
    </row>
    <row r="818" customFormat="false" ht="15" hidden="false" customHeight="true" outlineLevel="3" collapsed="false">
      <c r="A818" s="54" t="s">
        <v>2178</v>
      </c>
      <c r="B818" s="55" t="s">
        <v>403</v>
      </c>
      <c r="C818" s="56"/>
    </row>
    <row r="819" customFormat="false" ht="15" hidden="false" customHeight="true" outlineLevel="4" collapsed="false">
      <c r="A819" s="57" t="s">
        <v>712</v>
      </c>
      <c r="B819" s="58" t="s">
        <v>66</v>
      </c>
      <c r="C819" s="25"/>
    </row>
    <row r="820" customFormat="false" ht="15" hidden="false" customHeight="true" outlineLevel="4" collapsed="false">
      <c r="A820" s="57" t="s">
        <v>713</v>
      </c>
      <c r="B820" s="58" t="s">
        <v>250</v>
      </c>
      <c r="C820" s="25"/>
    </row>
    <row r="821" customFormat="false" ht="15" hidden="false" customHeight="true" outlineLevel="3" collapsed="false">
      <c r="A821" s="54" t="s">
        <v>2179</v>
      </c>
      <c r="B821" s="55" t="s">
        <v>405</v>
      </c>
      <c r="C821" s="56"/>
    </row>
    <row r="822" customFormat="false" ht="15" hidden="false" customHeight="true" outlineLevel="4" collapsed="false">
      <c r="A822" s="57" t="s">
        <v>714</v>
      </c>
      <c r="B822" s="58" t="s">
        <v>66</v>
      </c>
      <c r="C822" s="25"/>
    </row>
    <row r="823" customFormat="false" ht="15" hidden="false" customHeight="true" outlineLevel="4" collapsed="false">
      <c r="A823" s="57" t="s">
        <v>715</v>
      </c>
      <c r="B823" s="58" t="s">
        <v>250</v>
      </c>
      <c r="C823" s="25"/>
    </row>
    <row r="824" customFormat="false" ht="15" hidden="false" customHeight="true" outlineLevel="2" collapsed="false">
      <c r="A824" s="51" t="s">
        <v>2180</v>
      </c>
      <c r="B824" s="52" t="s">
        <v>2181</v>
      </c>
      <c r="C824" s="53"/>
    </row>
    <row r="825" customFormat="false" ht="15" hidden="false" customHeight="true" outlineLevel="3" collapsed="false">
      <c r="A825" s="54" t="s">
        <v>2182</v>
      </c>
      <c r="B825" s="55" t="s">
        <v>1446</v>
      </c>
      <c r="C825" s="56"/>
    </row>
    <row r="826" customFormat="false" ht="15" hidden="false" customHeight="true" outlineLevel="4" collapsed="false">
      <c r="A826" s="57" t="s">
        <v>716</v>
      </c>
      <c r="B826" s="58" t="s">
        <v>66</v>
      </c>
      <c r="C826" s="25"/>
    </row>
    <row r="827" customFormat="false" ht="15" hidden="false" customHeight="true" outlineLevel="3" collapsed="false">
      <c r="A827" s="54" t="s">
        <v>2183</v>
      </c>
      <c r="B827" s="55" t="s">
        <v>2184</v>
      </c>
      <c r="C827" s="56"/>
    </row>
    <row r="828" customFormat="false" ht="15" hidden="false" customHeight="true" outlineLevel="4" collapsed="false">
      <c r="A828" s="57" t="s">
        <v>717</v>
      </c>
      <c r="B828" s="58" t="s">
        <v>66</v>
      </c>
      <c r="C828" s="25"/>
    </row>
    <row r="829" customFormat="false" ht="15" hidden="false" customHeight="true" outlineLevel="3" collapsed="false">
      <c r="A829" s="54" t="s">
        <v>2185</v>
      </c>
      <c r="B829" s="55" t="s">
        <v>1363</v>
      </c>
      <c r="C829" s="56"/>
    </row>
    <row r="830" customFormat="false" ht="15" hidden="false" customHeight="true" outlineLevel="4" collapsed="false">
      <c r="A830" s="57" t="s">
        <v>718</v>
      </c>
      <c r="B830" s="58" t="s">
        <v>66</v>
      </c>
      <c r="C830" s="25"/>
    </row>
    <row r="831" customFormat="false" ht="15" hidden="false" customHeight="true" outlineLevel="1" collapsed="false">
      <c r="A831" s="49" t="s">
        <v>2186</v>
      </c>
      <c r="B831" s="49" t="s">
        <v>2187</v>
      </c>
      <c r="C831" s="50"/>
    </row>
    <row r="832" customFormat="false" ht="15" hidden="false" customHeight="true" outlineLevel="2" collapsed="false">
      <c r="A832" s="51" t="s">
        <v>2188</v>
      </c>
      <c r="B832" s="52" t="s">
        <v>2189</v>
      </c>
      <c r="C832" s="53"/>
    </row>
    <row r="833" customFormat="false" ht="15" hidden="false" customHeight="true" outlineLevel="3" collapsed="false">
      <c r="A833" s="54" t="s">
        <v>719</v>
      </c>
      <c r="B833" s="55" t="s">
        <v>720</v>
      </c>
      <c r="C833" s="25"/>
    </row>
    <row r="834" customFormat="false" ht="15" hidden="false" customHeight="true" outlineLevel="3" collapsed="false">
      <c r="A834" s="54" t="s">
        <v>721</v>
      </c>
      <c r="B834" s="55" t="s">
        <v>722</v>
      </c>
      <c r="C834" s="25"/>
    </row>
    <row r="835" customFormat="false" ht="15" hidden="false" customHeight="true" outlineLevel="2" collapsed="false">
      <c r="A835" s="51" t="s">
        <v>2190</v>
      </c>
      <c r="B835" s="52" t="s">
        <v>2191</v>
      </c>
      <c r="C835" s="53"/>
    </row>
    <row r="836" customFormat="false" ht="15" hidden="false" customHeight="true" outlineLevel="3" collapsed="false">
      <c r="A836" s="54" t="s">
        <v>723</v>
      </c>
      <c r="B836" s="55" t="s">
        <v>724</v>
      </c>
      <c r="C836" s="25"/>
    </row>
    <row r="837" customFormat="false" ht="15" hidden="false" customHeight="true" outlineLevel="3" collapsed="false">
      <c r="A837" s="54" t="s">
        <v>725</v>
      </c>
      <c r="B837" s="55" t="s">
        <v>726</v>
      </c>
      <c r="C837" s="25"/>
    </row>
    <row r="838" customFormat="false" ht="15" hidden="false" customHeight="true" outlineLevel="2" collapsed="false">
      <c r="A838" s="51" t="s">
        <v>2192</v>
      </c>
      <c r="B838" s="52" t="s">
        <v>2193</v>
      </c>
      <c r="C838" s="53"/>
    </row>
    <row r="839" customFormat="false" ht="15" hidden="false" customHeight="true" outlineLevel="3" collapsed="false">
      <c r="A839" s="54" t="s">
        <v>727</v>
      </c>
      <c r="B839" s="55" t="s">
        <v>728</v>
      </c>
      <c r="C839" s="25"/>
    </row>
    <row r="840" customFormat="false" ht="15" hidden="false" customHeight="true" outlineLevel="3" collapsed="false">
      <c r="A840" s="54" t="s">
        <v>729</v>
      </c>
      <c r="B840" s="55" t="s">
        <v>730</v>
      </c>
      <c r="C840" s="25"/>
    </row>
    <row r="841" customFormat="false" ht="15" hidden="false" customHeight="true" outlineLevel="1" collapsed="false">
      <c r="A841" s="49" t="s">
        <v>2194</v>
      </c>
      <c r="B841" s="49" t="s">
        <v>2195</v>
      </c>
      <c r="C841" s="50"/>
    </row>
    <row r="842" customFormat="false" ht="15" hidden="false" customHeight="true" outlineLevel="2" collapsed="false">
      <c r="A842" s="51" t="s">
        <v>2196</v>
      </c>
      <c r="B842" s="52" t="s">
        <v>2197</v>
      </c>
      <c r="C842" s="53"/>
    </row>
    <row r="843" customFormat="false" ht="15" hidden="false" customHeight="true" outlineLevel="3" collapsed="false">
      <c r="A843" s="54" t="s">
        <v>731</v>
      </c>
      <c r="B843" s="55" t="s">
        <v>732</v>
      </c>
      <c r="C843" s="25"/>
    </row>
    <row r="844" customFormat="false" ht="15" hidden="false" customHeight="true" outlineLevel="3" collapsed="false">
      <c r="A844" s="54" t="s">
        <v>733</v>
      </c>
      <c r="B844" s="55" t="s">
        <v>734</v>
      </c>
      <c r="C844" s="25"/>
    </row>
    <row r="845" customFormat="false" ht="15" hidden="false" customHeight="true" outlineLevel="3" collapsed="false">
      <c r="A845" s="54" t="s">
        <v>735</v>
      </c>
      <c r="B845" s="55" t="s">
        <v>736</v>
      </c>
      <c r="C845" s="25"/>
    </row>
    <row r="846" customFormat="false" ht="15" hidden="false" customHeight="true" outlineLevel="2" collapsed="false">
      <c r="A846" s="51" t="s">
        <v>2198</v>
      </c>
      <c r="B846" s="52" t="s">
        <v>2199</v>
      </c>
      <c r="C846" s="53"/>
    </row>
    <row r="847" customFormat="false" ht="15" hidden="false" customHeight="true" outlineLevel="3" collapsed="false">
      <c r="A847" s="54" t="s">
        <v>737</v>
      </c>
      <c r="B847" s="55" t="s">
        <v>738</v>
      </c>
      <c r="C847" s="25"/>
    </row>
    <row r="848" customFormat="false" ht="15" hidden="false" customHeight="true" outlineLevel="3" collapsed="false">
      <c r="A848" s="54" t="s">
        <v>739</v>
      </c>
      <c r="B848" s="55" t="s">
        <v>740</v>
      </c>
      <c r="C848" s="25"/>
    </row>
    <row r="849" customFormat="false" ht="15" hidden="false" customHeight="true" outlineLevel="3" collapsed="false">
      <c r="A849" s="54" t="s">
        <v>741</v>
      </c>
      <c r="B849" s="55" t="s">
        <v>742</v>
      </c>
      <c r="C849" s="25"/>
    </row>
    <row r="850" customFormat="false" ht="15" hidden="false" customHeight="true" outlineLevel="3" collapsed="false">
      <c r="A850" s="54" t="s">
        <v>743</v>
      </c>
      <c r="B850" s="55" t="s">
        <v>736</v>
      </c>
      <c r="C850" s="25"/>
    </row>
    <row r="851" customFormat="false" ht="15" hidden="false" customHeight="true" outlineLevel="1" collapsed="false">
      <c r="A851" s="49" t="s">
        <v>2200</v>
      </c>
      <c r="B851" s="49" t="s">
        <v>2201</v>
      </c>
      <c r="C851" s="50"/>
    </row>
    <row r="852" customFormat="false" ht="15" hidden="false" customHeight="true" outlineLevel="2" collapsed="false">
      <c r="A852" s="51" t="s">
        <v>2202</v>
      </c>
      <c r="B852" s="52" t="s">
        <v>2203</v>
      </c>
      <c r="C852" s="53"/>
    </row>
    <row r="853" customFormat="false" ht="15" hidden="false" customHeight="true" outlineLevel="3" collapsed="false">
      <c r="A853" s="54" t="s">
        <v>2204</v>
      </c>
      <c r="B853" s="55" t="s">
        <v>374</v>
      </c>
      <c r="C853" s="56"/>
    </row>
    <row r="854" customFormat="false" ht="15" hidden="false" customHeight="true" outlineLevel="4" collapsed="false">
      <c r="A854" s="57" t="s">
        <v>744</v>
      </c>
      <c r="B854" s="58" t="s">
        <v>66</v>
      </c>
      <c r="C854" s="25"/>
    </row>
    <row r="855" customFormat="false" ht="15" hidden="false" customHeight="true" outlineLevel="4" collapsed="false">
      <c r="A855" s="57" t="s">
        <v>745</v>
      </c>
      <c r="B855" s="58" t="s">
        <v>280</v>
      </c>
      <c r="C855" s="25"/>
    </row>
    <row r="856" customFormat="false" ht="15" hidden="false" customHeight="true" outlineLevel="4" collapsed="false">
      <c r="A856" s="57" t="s">
        <v>746</v>
      </c>
      <c r="B856" s="58" t="s">
        <v>250</v>
      </c>
      <c r="C856" s="25"/>
    </row>
    <row r="857" customFormat="false" ht="15" hidden="false" customHeight="true" outlineLevel="2" collapsed="false">
      <c r="A857" s="51" t="s">
        <v>2205</v>
      </c>
      <c r="B857" s="52" t="s">
        <v>2206</v>
      </c>
      <c r="C857" s="53"/>
    </row>
    <row r="858" customFormat="false" ht="15" hidden="false" customHeight="true" outlineLevel="3" collapsed="false">
      <c r="A858" s="54" t="s">
        <v>2207</v>
      </c>
      <c r="B858" s="55" t="s">
        <v>374</v>
      </c>
      <c r="C858" s="56"/>
    </row>
    <row r="859" customFormat="false" ht="15" hidden="false" customHeight="true" outlineLevel="4" collapsed="false">
      <c r="A859" s="57" t="s">
        <v>747</v>
      </c>
      <c r="B859" s="58" t="s">
        <v>66</v>
      </c>
      <c r="C859" s="25"/>
    </row>
    <row r="860" customFormat="false" ht="15" hidden="false" customHeight="true" outlineLevel="4" collapsed="false">
      <c r="A860" s="57" t="s">
        <v>748</v>
      </c>
      <c r="B860" s="58" t="s">
        <v>280</v>
      </c>
      <c r="C860" s="25"/>
    </row>
    <row r="861" customFormat="false" ht="15" hidden="false" customHeight="true" outlineLevel="4" collapsed="false">
      <c r="A861" s="57" t="s">
        <v>749</v>
      </c>
      <c r="B861" s="58" t="s">
        <v>250</v>
      </c>
      <c r="C861" s="25"/>
    </row>
    <row r="862" customFormat="false" ht="15" hidden="false" customHeight="true" outlineLevel="2" collapsed="false">
      <c r="A862" s="51" t="s">
        <v>2208</v>
      </c>
      <c r="B862" s="52" t="s">
        <v>2209</v>
      </c>
      <c r="C862" s="53"/>
    </row>
    <row r="863" customFormat="false" ht="15" hidden="false" customHeight="true" outlineLevel="3" collapsed="false">
      <c r="A863" s="54" t="s">
        <v>2210</v>
      </c>
      <c r="B863" s="55" t="s">
        <v>374</v>
      </c>
      <c r="C863" s="56"/>
    </row>
    <row r="864" customFormat="false" ht="15" hidden="false" customHeight="true" outlineLevel="4" collapsed="false">
      <c r="A864" s="57" t="s">
        <v>750</v>
      </c>
      <c r="B864" s="58" t="s">
        <v>66</v>
      </c>
      <c r="C864" s="25"/>
    </row>
    <row r="865" customFormat="false" ht="15" hidden="false" customHeight="true" outlineLevel="4" collapsed="false">
      <c r="A865" s="57" t="s">
        <v>751</v>
      </c>
      <c r="B865" s="58" t="s">
        <v>280</v>
      </c>
      <c r="C865" s="25"/>
    </row>
    <row r="866" customFormat="false" ht="15" hidden="false" customHeight="true" outlineLevel="4" collapsed="false">
      <c r="A866" s="57" t="s">
        <v>752</v>
      </c>
      <c r="B866" s="58" t="s">
        <v>250</v>
      </c>
      <c r="C866" s="25"/>
    </row>
    <row r="867" customFormat="false" ht="15" hidden="false" customHeight="true" outlineLevel="3" collapsed="false">
      <c r="A867" s="54" t="s">
        <v>2211</v>
      </c>
      <c r="B867" s="55" t="s">
        <v>381</v>
      </c>
      <c r="C867" s="56"/>
    </row>
    <row r="868" customFormat="false" ht="15" hidden="false" customHeight="true" outlineLevel="4" collapsed="false">
      <c r="A868" s="57" t="s">
        <v>753</v>
      </c>
      <c r="B868" s="58" t="s">
        <v>66</v>
      </c>
      <c r="C868" s="25"/>
    </row>
    <row r="869" customFormat="false" ht="15" hidden="false" customHeight="true" outlineLevel="4" collapsed="false">
      <c r="A869" s="57" t="s">
        <v>754</v>
      </c>
      <c r="B869" s="58" t="s">
        <v>280</v>
      </c>
      <c r="C869" s="25"/>
    </row>
    <row r="870" customFormat="false" ht="15" hidden="false" customHeight="true" outlineLevel="4" collapsed="false">
      <c r="A870" s="57" t="s">
        <v>755</v>
      </c>
      <c r="B870" s="58" t="s">
        <v>250</v>
      </c>
      <c r="C870" s="25"/>
    </row>
    <row r="871" customFormat="false" ht="15" hidden="false" customHeight="true" outlineLevel="3" collapsed="false">
      <c r="A871" s="54" t="s">
        <v>2212</v>
      </c>
      <c r="B871" s="55" t="s">
        <v>383</v>
      </c>
      <c r="C871" s="56"/>
    </row>
    <row r="872" customFormat="false" ht="15" hidden="false" customHeight="true" outlineLevel="4" collapsed="false">
      <c r="A872" s="57" t="s">
        <v>756</v>
      </c>
      <c r="B872" s="58" t="s">
        <v>66</v>
      </c>
      <c r="C872" s="25"/>
    </row>
    <row r="873" customFormat="false" ht="15" hidden="false" customHeight="true" outlineLevel="4" collapsed="false">
      <c r="A873" s="57" t="s">
        <v>757</v>
      </c>
      <c r="B873" s="58" t="s">
        <v>280</v>
      </c>
      <c r="C873" s="25"/>
    </row>
    <row r="874" customFormat="false" ht="15" hidden="false" customHeight="true" outlineLevel="3" collapsed="false">
      <c r="A874" s="54" t="s">
        <v>2213</v>
      </c>
      <c r="B874" s="55" t="s">
        <v>385</v>
      </c>
      <c r="C874" s="56"/>
    </row>
    <row r="875" customFormat="false" ht="15" hidden="false" customHeight="true" outlineLevel="4" collapsed="false">
      <c r="A875" s="57" t="s">
        <v>758</v>
      </c>
      <c r="B875" s="58" t="s">
        <v>66</v>
      </c>
      <c r="C875" s="25"/>
    </row>
    <row r="876" customFormat="false" ht="15" hidden="false" customHeight="true" outlineLevel="4" collapsed="false">
      <c r="A876" s="57" t="s">
        <v>759</v>
      </c>
      <c r="B876" s="58" t="s">
        <v>280</v>
      </c>
      <c r="C876" s="25"/>
    </row>
    <row r="877" customFormat="false" ht="15" hidden="false" customHeight="true" outlineLevel="3" collapsed="false">
      <c r="A877" s="54" t="s">
        <v>2214</v>
      </c>
      <c r="B877" s="55" t="s">
        <v>387</v>
      </c>
      <c r="C877" s="56"/>
    </row>
    <row r="878" customFormat="false" ht="15" hidden="false" customHeight="true" outlineLevel="4" collapsed="false">
      <c r="A878" s="57" t="s">
        <v>760</v>
      </c>
      <c r="B878" s="58" t="s">
        <v>66</v>
      </c>
      <c r="C878" s="25"/>
    </row>
    <row r="879" customFormat="false" ht="15" hidden="false" customHeight="true" outlineLevel="4" collapsed="false">
      <c r="A879" s="57" t="s">
        <v>761</v>
      </c>
      <c r="B879" s="58" t="s">
        <v>280</v>
      </c>
      <c r="C879" s="25"/>
    </row>
    <row r="880" customFormat="false" ht="15" hidden="false" customHeight="true" outlineLevel="2" collapsed="false">
      <c r="A880" s="51" t="s">
        <v>2215</v>
      </c>
      <c r="B880" s="52" t="s">
        <v>2216</v>
      </c>
      <c r="C880" s="53"/>
    </row>
    <row r="881" customFormat="false" ht="15" hidden="false" customHeight="true" outlineLevel="3" collapsed="false">
      <c r="A881" s="54" t="s">
        <v>2217</v>
      </c>
      <c r="B881" s="55" t="s">
        <v>1095</v>
      </c>
      <c r="C881" s="56"/>
    </row>
    <row r="882" customFormat="false" ht="15" hidden="false" customHeight="true" outlineLevel="4" collapsed="false">
      <c r="A882" s="57" t="s">
        <v>762</v>
      </c>
      <c r="B882" s="58" t="s">
        <v>763</v>
      </c>
      <c r="C882" s="25"/>
    </row>
    <row r="883" customFormat="false" ht="15" hidden="false" customHeight="true" outlineLevel="4" collapsed="false">
      <c r="A883" s="57" t="s">
        <v>764</v>
      </c>
      <c r="B883" s="58" t="s">
        <v>372</v>
      </c>
      <c r="C883" s="25"/>
    </row>
    <row r="884" customFormat="false" ht="15" hidden="false" customHeight="true" outlineLevel="4" collapsed="false">
      <c r="A884" s="57" t="s">
        <v>765</v>
      </c>
      <c r="B884" s="58" t="s">
        <v>374</v>
      </c>
      <c r="C884" s="25"/>
    </row>
    <row r="885" customFormat="false" ht="15" hidden="false" customHeight="true" outlineLevel="4" collapsed="false">
      <c r="A885" s="57" t="s">
        <v>766</v>
      </c>
      <c r="B885" s="58" t="s">
        <v>381</v>
      </c>
      <c r="C885" s="25"/>
    </row>
    <row r="886" customFormat="false" ht="15" hidden="false" customHeight="true" outlineLevel="4" collapsed="false">
      <c r="A886" s="57" t="s">
        <v>767</v>
      </c>
      <c r="B886" s="58" t="s">
        <v>383</v>
      </c>
      <c r="C886" s="25"/>
    </row>
    <row r="887" customFormat="false" ht="15" hidden="false" customHeight="true" outlineLevel="4" collapsed="false">
      <c r="A887" s="57" t="s">
        <v>768</v>
      </c>
      <c r="B887" s="58" t="s">
        <v>387</v>
      </c>
      <c r="C887" s="25"/>
    </row>
    <row r="888" customFormat="false" ht="15" hidden="false" customHeight="true" outlineLevel="2" collapsed="false">
      <c r="A888" s="51" t="s">
        <v>2218</v>
      </c>
      <c r="B888" s="52" t="s">
        <v>2219</v>
      </c>
      <c r="C888" s="53"/>
    </row>
    <row r="889" customFormat="false" ht="15" hidden="false" customHeight="true" outlineLevel="3" collapsed="false">
      <c r="A889" s="54" t="s">
        <v>2220</v>
      </c>
      <c r="B889" s="55" t="s">
        <v>2221</v>
      </c>
      <c r="C889" s="56"/>
    </row>
    <row r="890" customFormat="false" ht="15" hidden="false" customHeight="true" outlineLevel="4" collapsed="false">
      <c r="A890" s="57" t="s">
        <v>769</v>
      </c>
      <c r="B890" s="58" t="s">
        <v>763</v>
      </c>
      <c r="C890" s="25"/>
    </row>
    <row r="891" customFormat="false" ht="15" hidden="false" customHeight="true" outlineLevel="4" collapsed="false">
      <c r="A891" s="57" t="s">
        <v>770</v>
      </c>
      <c r="B891" s="58" t="s">
        <v>374</v>
      </c>
      <c r="C891" s="25"/>
    </row>
    <row r="892" customFormat="false" ht="15" hidden="false" customHeight="true" outlineLevel="4" collapsed="false">
      <c r="A892" s="57" t="s">
        <v>771</v>
      </c>
      <c r="B892" s="58" t="s">
        <v>772</v>
      </c>
      <c r="C892" s="25"/>
    </row>
    <row r="893" customFormat="false" ht="15" hidden="false" customHeight="true" outlineLevel="4" collapsed="false">
      <c r="A893" s="57" t="s">
        <v>773</v>
      </c>
      <c r="B893" s="58" t="s">
        <v>774</v>
      </c>
      <c r="C893" s="25"/>
    </row>
    <row r="894" customFormat="false" ht="15" hidden="false" customHeight="true" outlineLevel="4" collapsed="false">
      <c r="A894" s="57" t="s">
        <v>775</v>
      </c>
      <c r="B894" s="58" t="s">
        <v>381</v>
      </c>
      <c r="C894" s="25"/>
    </row>
    <row r="895" customFormat="false" ht="15" hidden="false" customHeight="true" outlineLevel="4" collapsed="false">
      <c r="A895" s="57" t="s">
        <v>776</v>
      </c>
      <c r="B895" s="58" t="s">
        <v>383</v>
      </c>
      <c r="C895" s="25"/>
    </row>
    <row r="896" customFormat="false" ht="15" hidden="false" customHeight="true" outlineLevel="4" collapsed="false">
      <c r="A896" s="57" t="s">
        <v>777</v>
      </c>
      <c r="B896" s="58" t="s">
        <v>385</v>
      </c>
      <c r="C896" s="25"/>
    </row>
    <row r="897" customFormat="false" ht="15" hidden="false" customHeight="true" outlineLevel="4" collapsed="false">
      <c r="A897" s="57" t="s">
        <v>778</v>
      </c>
      <c r="B897" s="58" t="s">
        <v>387</v>
      </c>
      <c r="C897" s="25"/>
    </row>
    <row r="898" customFormat="false" ht="15" hidden="false" customHeight="true" outlineLevel="4" collapsed="false">
      <c r="A898" s="57" t="s">
        <v>779</v>
      </c>
      <c r="B898" s="58" t="s">
        <v>780</v>
      </c>
      <c r="C898" s="25"/>
    </row>
    <row r="899" customFormat="false" ht="15" hidden="false" customHeight="true" outlineLevel="4" collapsed="false">
      <c r="A899" s="57" t="s">
        <v>781</v>
      </c>
      <c r="B899" s="58" t="s">
        <v>782</v>
      </c>
      <c r="C899" s="25"/>
    </row>
    <row r="900" customFormat="false" ht="15" hidden="false" customHeight="true" outlineLevel="3" collapsed="false">
      <c r="A900" s="54" t="s">
        <v>2222</v>
      </c>
      <c r="B900" s="55" t="s">
        <v>2223</v>
      </c>
      <c r="C900" s="56"/>
    </row>
    <row r="901" customFormat="false" ht="15" hidden="false" customHeight="true" outlineLevel="4" collapsed="false">
      <c r="A901" s="57" t="s">
        <v>783</v>
      </c>
      <c r="B901" s="58" t="s">
        <v>763</v>
      </c>
      <c r="C901" s="25"/>
    </row>
    <row r="902" customFormat="false" ht="15" hidden="false" customHeight="true" outlineLevel="4" collapsed="false">
      <c r="A902" s="57" t="s">
        <v>784</v>
      </c>
      <c r="B902" s="58" t="s">
        <v>374</v>
      </c>
      <c r="C902" s="25"/>
    </row>
    <row r="903" customFormat="false" ht="15" hidden="false" customHeight="true" outlineLevel="4" collapsed="false">
      <c r="A903" s="57" t="s">
        <v>785</v>
      </c>
      <c r="B903" s="58" t="s">
        <v>772</v>
      </c>
      <c r="C903" s="25"/>
    </row>
    <row r="904" customFormat="false" ht="15" hidden="false" customHeight="true" outlineLevel="4" collapsed="false">
      <c r="A904" s="57" t="s">
        <v>786</v>
      </c>
      <c r="B904" s="58" t="s">
        <v>774</v>
      </c>
      <c r="C904" s="25"/>
    </row>
    <row r="905" customFormat="false" ht="15" hidden="false" customHeight="true" outlineLevel="4" collapsed="false">
      <c r="A905" s="57" t="s">
        <v>787</v>
      </c>
      <c r="B905" s="58" t="s">
        <v>381</v>
      </c>
      <c r="C905" s="25"/>
    </row>
    <row r="906" customFormat="false" ht="15" hidden="false" customHeight="true" outlineLevel="4" collapsed="false">
      <c r="A906" s="57" t="s">
        <v>788</v>
      </c>
      <c r="B906" s="58" t="s">
        <v>383</v>
      </c>
      <c r="C906" s="25"/>
    </row>
    <row r="907" customFormat="false" ht="15" hidden="false" customHeight="true" outlineLevel="4" collapsed="false">
      <c r="A907" s="57" t="s">
        <v>789</v>
      </c>
      <c r="B907" s="58" t="s">
        <v>385</v>
      </c>
      <c r="C907" s="25"/>
    </row>
    <row r="908" customFormat="false" ht="15" hidden="false" customHeight="true" outlineLevel="4" collapsed="false">
      <c r="A908" s="57" t="s">
        <v>790</v>
      </c>
      <c r="B908" s="58" t="s">
        <v>387</v>
      </c>
      <c r="C908" s="25"/>
    </row>
    <row r="909" customFormat="false" ht="15" hidden="false" customHeight="true" outlineLevel="4" collapsed="false">
      <c r="A909" s="57" t="s">
        <v>791</v>
      </c>
      <c r="B909" s="58" t="s">
        <v>389</v>
      </c>
      <c r="C909" s="25"/>
    </row>
    <row r="910" customFormat="false" ht="15" hidden="false" customHeight="true" outlineLevel="3" collapsed="false">
      <c r="A910" s="54" t="s">
        <v>2224</v>
      </c>
      <c r="B910" s="55" t="s">
        <v>2225</v>
      </c>
      <c r="C910" s="56"/>
    </row>
    <row r="911" customFormat="false" ht="15" hidden="false" customHeight="true" outlineLevel="4" collapsed="false">
      <c r="A911" s="57" t="s">
        <v>792</v>
      </c>
      <c r="B911" s="58" t="s">
        <v>763</v>
      </c>
      <c r="C911" s="25"/>
    </row>
    <row r="912" customFormat="false" ht="15" hidden="false" customHeight="true" outlineLevel="4" collapsed="false">
      <c r="A912" s="57" t="s">
        <v>793</v>
      </c>
      <c r="B912" s="58" t="s">
        <v>374</v>
      </c>
      <c r="C912" s="25"/>
    </row>
    <row r="913" customFormat="false" ht="15" hidden="false" customHeight="true" outlineLevel="4" collapsed="false">
      <c r="A913" s="57" t="s">
        <v>794</v>
      </c>
      <c r="B913" s="58" t="s">
        <v>381</v>
      </c>
      <c r="C913" s="25"/>
    </row>
    <row r="914" customFormat="false" ht="15" hidden="false" customHeight="true" outlineLevel="3" collapsed="false">
      <c r="A914" s="54" t="s">
        <v>2226</v>
      </c>
      <c r="B914" s="55" t="s">
        <v>2227</v>
      </c>
      <c r="C914" s="56"/>
    </row>
    <row r="915" customFormat="false" ht="15" hidden="false" customHeight="true" outlineLevel="4" collapsed="false">
      <c r="A915" s="57" t="s">
        <v>795</v>
      </c>
      <c r="B915" s="58" t="s">
        <v>763</v>
      </c>
      <c r="C915" s="25"/>
    </row>
    <row r="916" customFormat="false" ht="15" hidden="false" customHeight="true" outlineLevel="2" collapsed="false">
      <c r="A916" s="51" t="s">
        <v>2228</v>
      </c>
      <c r="B916" s="52" t="s">
        <v>2229</v>
      </c>
      <c r="C916" s="53"/>
    </row>
    <row r="917" customFormat="false" ht="15" hidden="false" customHeight="true" outlineLevel="3" collapsed="false">
      <c r="A917" s="54" t="s">
        <v>2230</v>
      </c>
      <c r="B917" s="55" t="s">
        <v>2231</v>
      </c>
      <c r="C917" s="56"/>
    </row>
    <row r="918" customFormat="false" ht="15" hidden="false" customHeight="true" outlineLevel="4" collapsed="false">
      <c r="A918" s="57" t="s">
        <v>796</v>
      </c>
      <c r="B918" s="58" t="s">
        <v>391</v>
      </c>
      <c r="C918" s="25"/>
    </row>
    <row r="919" customFormat="false" ht="15" hidden="false" customHeight="true" outlineLevel="4" collapsed="false">
      <c r="A919" s="57" t="s">
        <v>797</v>
      </c>
      <c r="B919" s="58" t="s">
        <v>393</v>
      </c>
      <c r="C919" s="25"/>
    </row>
    <row r="920" customFormat="false" ht="15" hidden="false" customHeight="true" outlineLevel="4" collapsed="false">
      <c r="A920" s="57" t="s">
        <v>798</v>
      </c>
      <c r="B920" s="58" t="s">
        <v>395</v>
      </c>
      <c r="C920" s="25"/>
    </row>
    <row r="921" customFormat="false" ht="15" hidden="false" customHeight="true" outlineLevel="4" collapsed="false">
      <c r="A921" s="57" t="s">
        <v>799</v>
      </c>
      <c r="B921" s="58" t="s">
        <v>397</v>
      </c>
      <c r="C921" s="25"/>
    </row>
    <row r="922" customFormat="false" ht="15" hidden="false" customHeight="true" outlineLevel="4" collapsed="false">
      <c r="A922" s="57" t="s">
        <v>800</v>
      </c>
      <c r="B922" s="58" t="s">
        <v>399</v>
      </c>
      <c r="C922" s="25"/>
    </row>
    <row r="923" customFormat="false" ht="15" hidden="false" customHeight="true" outlineLevel="4" collapsed="false">
      <c r="A923" s="57" t="s">
        <v>801</v>
      </c>
      <c r="B923" s="58" t="s">
        <v>401</v>
      </c>
      <c r="C923" s="25"/>
    </row>
    <row r="924" customFormat="false" ht="15" hidden="false" customHeight="true" outlineLevel="3" collapsed="false">
      <c r="A924" s="54" t="s">
        <v>2232</v>
      </c>
      <c r="B924" s="55" t="s">
        <v>2233</v>
      </c>
      <c r="C924" s="56"/>
    </row>
    <row r="925" customFormat="false" ht="15" hidden="false" customHeight="true" outlineLevel="4" collapsed="false">
      <c r="A925" s="57" t="s">
        <v>802</v>
      </c>
      <c r="B925" s="58" t="s">
        <v>391</v>
      </c>
      <c r="C925" s="25"/>
    </row>
    <row r="926" customFormat="false" ht="15" hidden="false" customHeight="true" outlineLevel="4" collapsed="false">
      <c r="A926" s="57" t="s">
        <v>803</v>
      </c>
      <c r="B926" s="58" t="s">
        <v>393</v>
      </c>
      <c r="C926" s="25"/>
    </row>
    <row r="927" customFormat="false" ht="15" hidden="false" customHeight="true" outlineLevel="4" collapsed="false">
      <c r="A927" s="57" t="s">
        <v>804</v>
      </c>
      <c r="B927" s="58" t="s">
        <v>395</v>
      </c>
      <c r="C927" s="25"/>
    </row>
    <row r="928" customFormat="false" ht="15" hidden="false" customHeight="true" outlineLevel="4" collapsed="false">
      <c r="A928" s="57" t="s">
        <v>805</v>
      </c>
      <c r="B928" s="58" t="s">
        <v>397</v>
      </c>
      <c r="C928" s="25"/>
    </row>
    <row r="929" customFormat="false" ht="15" hidden="false" customHeight="true" outlineLevel="4" collapsed="false">
      <c r="A929" s="57" t="s">
        <v>806</v>
      </c>
      <c r="B929" s="58" t="s">
        <v>399</v>
      </c>
      <c r="C929" s="25"/>
    </row>
    <row r="930" customFormat="false" ht="15" hidden="false" customHeight="true" outlineLevel="4" collapsed="false">
      <c r="A930" s="57" t="s">
        <v>807</v>
      </c>
      <c r="B930" s="58" t="s">
        <v>401</v>
      </c>
      <c r="C930" s="25"/>
    </row>
    <row r="931" customFormat="false" ht="15" hidden="false" customHeight="true" outlineLevel="3" collapsed="false">
      <c r="A931" s="54" t="s">
        <v>2234</v>
      </c>
      <c r="B931" s="55" t="s">
        <v>2235</v>
      </c>
      <c r="C931" s="56"/>
    </row>
    <row r="932" customFormat="false" ht="15" hidden="false" customHeight="true" outlineLevel="4" collapsed="false">
      <c r="A932" s="57" t="s">
        <v>808</v>
      </c>
      <c r="B932" s="58" t="s">
        <v>809</v>
      </c>
      <c r="C932" s="25"/>
    </row>
    <row r="933" customFormat="false" ht="15" hidden="false" customHeight="true" outlineLevel="4" collapsed="false">
      <c r="A933" s="57" t="s">
        <v>810</v>
      </c>
      <c r="B933" s="58" t="s">
        <v>811</v>
      </c>
      <c r="C933" s="25"/>
    </row>
    <row r="934" customFormat="false" ht="15" hidden="false" customHeight="true" outlineLevel="4" collapsed="false">
      <c r="A934" s="57" t="s">
        <v>812</v>
      </c>
      <c r="B934" s="58" t="s">
        <v>813</v>
      </c>
      <c r="C934" s="25"/>
    </row>
    <row r="935" customFormat="false" ht="15" hidden="false" customHeight="true" outlineLevel="2" collapsed="false">
      <c r="A935" s="51" t="s">
        <v>2236</v>
      </c>
      <c r="B935" s="52" t="s">
        <v>2237</v>
      </c>
      <c r="C935" s="53"/>
    </row>
    <row r="936" customFormat="false" ht="15" hidden="false" customHeight="true" outlineLevel="3" collapsed="false">
      <c r="A936" s="54" t="s">
        <v>2238</v>
      </c>
      <c r="B936" s="55" t="s">
        <v>2239</v>
      </c>
      <c r="C936" s="56"/>
    </row>
    <row r="937" customFormat="false" ht="15" hidden="false" customHeight="true" outlineLevel="4" collapsed="false">
      <c r="A937" s="57" t="s">
        <v>814</v>
      </c>
      <c r="B937" s="58" t="s">
        <v>403</v>
      </c>
      <c r="C937" s="25"/>
    </row>
    <row r="938" customFormat="false" ht="19.5" hidden="false" customHeight="true" outlineLevel="0" collapsed="false">
      <c r="A938" s="48" t="s">
        <v>2240</v>
      </c>
      <c r="B938" s="48"/>
      <c r="C938" s="48"/>
    </row>
    <row r="939" customFormat="false" ht="15" hidden="false" customHeight="true" outlineLevel="1" collapsed="false">
      <c r="A939" s="49" t="s">
        <v>2241</v>
      </c>
      <c r="B939" s="49" t="s">
        <v>2242</v>
      </c>
      <c r="C939" s="50"/>
    </row>
    <row r="940" customFormat="false" ht="15" hidden="false" customHeight="true" outlineLevel="2" collapsed="false">
      <c r="A940" s="51" t="s">
        <v>2243</v>
      </c>
      <c r="B940" s="52" t="s">
        <v>2244</v>
      </c>
      <c r="C940" s="53"/>
    </row>
    <row r="941" customFormat="false" ht="15" hidden="false" customHeight="true" outlineLevel="3" collapsed="false">
      <c r="A941" s="54" t="s">
        <v>2245</v>
      </c>
      <c r="B941" s="55" t="s">
        <v>2246</v>
      </c>
      <c r="C941" s="56"/>
    </row>
    <row r="942" customFormat="false" ht="15" hidden="false" customHeight="true" outlineLevel="4" collapsed="false">
      <c r="A942" s="57" t="s">
        <v>815</v>
      </c>
      <c r="B942" s="58" t="s">
        <v>816</v>
      </c>
      <c r="C942" s="25"/>
    </row>
    <row r="943" customFormat="false" ht="15" hidden="false" customHeight="true" outlineLevel="4" collapsed="false">
      <c r="A943" s="57" t="s">
        <v>818</v>
      </c>
      <c r="B943" s="58" t="s">
        <v>819</v>
      </c>
      <c r="C943" s="25"/>
    </row>
    <row r="944" customFormat="false" ht="15" hidden="false" customHeight="true" outlineLevel="4" collapsed="false">
      <c r="A944" s="57" t="s">
        <v>820</v>
      </c>
      <c r="B944" s="58" t="s">
        <v>821</v>
      </c>
      <c r="C944" s="25"/>
    </row>
    <row r="945" customFormat="false" ht="15" hidden="false" customHeight="true" outlineLevel="4" collapsed="false">
      <c r="A945" s="57" t="s">
        <v>822</v>
      </c>
      <c r="B945" s="58" t="s">
        <v>823</v>
      </c>
      <c r="C945" s="25"/>
    </row>
    <row r="946" customFormat="false" ht="15" hidden="false" customHeight="true" outlineLevel="4" collapsed="false">
      <c r="A946" s="57" t="s">
        <v>824</v>
      </c>
      <c r="B946" s="58" t="s">
        <v>825</v>
      </c>
      <c r="C946" s="25"/>
    </row>
    <row r="947" customFormat="false" ht="15" hidden="false" customHeight="true" outlineLevel="4" collapsed="false">
      <c r="A947" s="57" t="s">
        <v>826</v>
      </c>
      <c r="B947" s="58" t="s">
        <v>827</v>
      </c>
      <c r="C947" s="25"/>
    </row>
    <row r="948" customFormat="false" ht="15" hidden="false" customHeight="true" outlineLevel="4" collapsed="false">
      <c r="A948" s="57" t="s">
        <v>828</v>
      </c>
      <c r="B948" s="58" t="s">
        <v>829</v>
      </c>
      <c r="C948" s="25"/>
    </row>
    <row r="949" customFormat="false" ht="15" hidden="false" customHeight="true" outlineLevel="3" collapsed="false">
      <c r="A949" s="54" t="s">
        <v>830</v>
      </c>
      <c r="B949" s="55" t="s">
        <v>831</v>
      </c>
      <c r="C949" s="25"/>
    </row>
    <row r="950" customFormat="false" ht="15" hidden="false" customHeight="true" outlineLevel="3" collapsed="false">
      <c r="A950" s="54" t="s">
        <v>2247</v>
      </c>
      <c r="B950" s="55" t="s">
        <v>1132</v>
      </c>
      <c r="C950" s="56"/>
    </row>
    <row r="951" customFormat="false" ht="15" hidden="false" customHeight="true" outlineLevel="4" collapsed="false">
      <c r="A951" s="57" t="s">
        <v>832</v>
      </c>
      <c r="B951" s="58" t="s">
        <v>833</v>
      </c>
      <c r="C951" s="25"/>
    </row>
    <row r="952" customFormat="false" ht="15" hidden="false" customHeight="true" outlineLevel="4" collapsed="false">
      <c r="A952" s="57" t="s">
        <v>834</v>
      </c>
      <c r="B952" s="58" t="s">
        <v>835</v>
      </c>
      <c r="C952" s="25"/>
    </row>
    <row r="953" customFormat="false" ht="15" hidden="false" customHeight="true" outlineLevel="3" collapsed="false">
      <c r="A953" s="54" t="s">
        <v>2248</v>
      </c>
      <c r="B953" s="55" t="s">
        <v>2249</v>
      </c>
      <c r="C953" s="56"/>
    </row>
    <row r="954" customFormat="false" ht="15" hidden="false" customHeight="true" outlineLevel="4" collapsed="false">
      <c r="A954" s="57" t="s">
        <v>836</v>
      </c>
      <c r="B954" s="58" t="s">
        <v>837</v>
      </c>
      <c r="C954" s="25"/>
    </row>
    <row r="955" customFormat="false" ht="15" hidden="false" customHeight="true" outlineLevel="4" collapsed="false">
      <c r="A955" s="57" t="s">
        <v>838</v>
      </c>
      <c r="B955" s="58" t="s">
        <v>839</v>
      </c>
      <c r="C955" s="25"/>
    </row>
    <row r="956" customFormat="false" ht="15" hidden="false" customHeight="true" outlineLevel="4" collapsed="false">
      <c r="A956" s="57" t="s">
        <v>840</v>
      </c>
      <c r="B956" s="58" t="s">
        <v>841</v>
      </c>
      <c r="C956" s="25"/>
    </row>
    <row r="957" customFormat="false" ht="15" hidden="false" customHeight="true" outlineLevel="4" collapsed="false">
      <c r="A957" s="57" t="s">
        <v>842</v>
      </c>
      <c r="B957" s="58" t="s">
        <v>843</v>
      </c>
      <c r="C957" s="25"/>
    </row>
    <row r="958" customFormat="false" ht="15" hidden="false" customHeight="true" outlineLevel="4" collapsed="false">
      <c r="A958" s="57" t="s">
        <v>844</v>
      </c>
      <c r="B958" s="58" t="s">
        <v>845</v>
      </c>
      <c r="C958" s="25"/>
    </row>
    <row r="959" customFormat="false" ht="15" hidden="false" customHeight="true" outlineLevel="3" collapsed="false">
      <c r="A959" s="54" t="s">
        <v>2250</v>
      </c>
      <c r="B959" s="55" t="s">
        <v>2251</v>
      </c>
      <c r="C959" s="56"/>
    </row>
    <row r="960" customFormat="false" ht="15" hidden="false" customHeight="true" outlineLevel="4" collapsed="false">
      <c r="A960" s="57" t="s">
        <v>846</v>
      </c>
      <c r="B960" s="58" t="s">
        <v>847</v>
      </c>
      <c r="C960" s="25"/>
    </row>
    <row r="961" customFormat="false" ht="15" hidden="false" customHeight="true" outlineLevel="4" collapsed="false">
      <c r="A961" s="57" t="s">
        <v>848</v>
      </c>
      <c r="B961" s="58" t="s">
        <v>849</v>
      </c>
      <c r="C961" s="25"/>
    </row>
    <row r="962" customFormat="false" ht="15" hidden="false" customHeight="true" outlineLevel="4" collapsed="false">
      <c r="A962" s="57" t="s">
        <v>850</v>
      </c>
      <c r="B962" s="58" t="s">
        <v>851</v>
      </c>
      <c r="C962" s="25"/>
    </row>
    <row r="963" customFormat="false" ht="15" hidden="false" customHeight="true" outlineLevel="4" collapsed="false">
      <c r="A963" s="57" t="s">
        <v>852</v>
      </c>
      <c r="B963" s="58" t="s">
        <v>140</v>
      </c>
      <c r="C963" s="25"/>
    </row>
    <row r="964" customFormat="false" ht="15" hidden="false" customHeight="true" outlineLevel="4" collapsed="false">
      <c r="A964" s="57" t="s">
        <v>853</v>
      </c>
      <c r="B964" s="58" t="s">
        <v>854</v>
      </c>
      <c r="C964" s="25"/>
    </row>
    <row r="965" customFormat="false" ht="15" hidden="false" customHeight="true" outlineLevel="4" collapsed="false">
      <c r="A965" s="57" t="s">
        <v>855</v>
      </c>
      <c r="B965" s="58" t="s">
        <v>856</v>
      </c>
      <c r="C965" s="25"/>
    </row>
    <row r="966" customFormat="false" ht="15" hidden="false" customHeight="true" outlineLevel="4" collapsed="false">
      <c r="A966" s="57" t="s">
        <v>857</v>
      </c>
      <c r="B966" s="58" t="s">
        <v>858</v>
      </c>
      <c r="C966" s="25"/>
    </row>
    <row r="967" customFormat="false" ht="15" hidden="false" customHeight="true" outlineLevel="2" collapsed="false">
      <c r="A967" s="51" t="s">
        <v>859</v>
      </c>
      <c r="B967" s="52" t="s">
        <v>860</v>
      </c>
      <c r="C967" s="25"/>
    </row>
    <row r="968" customFormat="false" ht="15" hidden="false" customHeight="true" outlineLevel="2" collapsed="false">
      <c r="A968" s="51" t="s">
        <v>2252</v>
      </c>
      <c r="B968" s="52" t="s">
        <v>2253</v>
      </c>
      <c r="C968" s="53"/>
    </row>
    <row r="969" customFormat="false" ht="15" hidden="false" customHeight="true" outlineLevel="3" collapsed="false">
      <c r="A969" s="54" t="s">
        <v>861</v>
      </c>
      <c r="B969" s="55" t="s">
        <v>862</v>
      </c>
      <c r="C969" s="25"/>
    </row>
    <row r="970" customFormat="false" ht="15" hidden="false" customHeight="true" outlineLevel="3" collapsed="false">
      <c r="A970" s="54" t="s">
        <v>863</v>
      </c>
      <c r="B970" s="55" t="s">
        <v>864</v>
      </c>
      <c r="C970" s="25"/>
    </row>
    <row r="971" customFormat="false" ht="15" hidden="false" customHeight="true" outlineLevel="3" collapsed="false">
      <c r="A971" s="54" t="s">
        <v>865</v>
      </c>
      <c r="B971" s="55" t="s">
        <v>866</v>
      </c>
      <c r="C971" s="25"/>
    </row>
    <row r="972" customFormat="false" ht="15" hidden="false" customHeight="true" outlineLevel="3" collapsed="false">
      <c r="A972" s="54" t="s">
        <v>867</v>
      </c>
      <c r="B972" s="55" t="s">
        <v>868</v>
      </c>
      <c r="C972" s="25"/>
    </row>
    <row r="973" customFormat="false" ht="15" hidden="false" customHeight="true" outlineLevel="3" collapsed="false">
      <c r="A973" s="54" t="s">
        <v>869</v>
      </c>
      <c r="B973" s="55" t="s">
        <v>870</v>
      </c>
      <c r="C973" s="25"/>
    </row>
    <row r="974" customFormat="false" ht="15" hidden="false" customHeight="true" outlineLevel="2" collapsed="false">
      <c r="A974" s="51" t="s">
        <v>871</v>
      </c>
      <c r="B974" s="52" t="s">
        <v>872</v>
      </c>
      <c r="C974" s="25"/>
    </row>
    <row r="975" customFormat="false" ht="15" hidden="false" customHeight="true" outlineLevel="2" collapsed="false">
      <c r="A975" s="51" t="s">
        <v>2254</v>
      </c>
      <c r="B975" s="52" t="s">
        <v>2255</v>
      </c>
      <c r="C975" s="53"/>
    </row>
    <row r="976" customFormat="false" ht="15" hidden="false" customHeight="true" outlineLevel="3" collapsed="false">
      <c r="A976" s="54" t="s">
        <v>2256</v>
      </c>
      <c r="B976" s="55" t="s">
        <v>2257</v>
      </c>
      <c r="C976" s="56"/>
    </row>
    <row r="977" customFormat="false" ht="15" hidden="false" customHeight="true" outlineLevel="4" collapsed="false">
      <c r="A977" s="57" t="s">
        <v>873</v>
      </c>
      <c r="B977" s="58" t="s">
        <v>874</v>
      </c>
      <c r="C977" s="25"/>
    </row>
    <row r="978" customFormat="false" ht="15" hidden="false" customHeight="true" outlineLevel="4" collapsed="false">
      <c r="A978" s="57" t="s">
        <v>875</v>
      </c>
      <c r="B978" s="58" t="s">
        <v>876</v>
      </c>
      <c r="C978" s="25"/>
    </row>
    <row r="979" customFormat="false" ht="15" hidden="false" customHeight="true" outlineLevel="4" collapsed="false">
      <c r="A979" s="57" t="s">
        <v>877</v>
      </c>
      <c r="B979" s="58" t="s">
        <v>878</v>
      </c>
      <c r="C979" s="25"/>
    </row>
    <row r="980" customFormat="false" ht="15" hidden="false" customHeight="true" outlineLevel="4" collapsed="false">
      <c r="A980" s="57" t="s">
        <v>879</v>
      </c>
      <c r="B980" s="58" t="s">
        <v>880</v>
      </c>
      <c r="C980" s="25"/>
    </row>
    <row r="981" customFormat="false" ht="15" hidden="false" customHeight="true" outlineLevel="4" collapsed="false">
      <c r="A981" s="57" t="s">
        <v>881</v>
      </c>
      <c r="B981" s="58" t="s">
        <v>882</v>
      </c>
      <c r="C981" s="25"/>
    </row>
    <row r="982" customFormat="false" ht="15" hidden="false" customHeight="true" outlineLevel="4" collapsed="false">
      <c r="A982" s="57" t="s">
        <v>883</v>
      </c>
      <c r="B982" s="58" t="s">
        <v>884</v>
      </c>
      <c r="C982" s="25"/>
    </row>
    <row r="983" customFormat="false" ht="15" hidden="false" customHeight="true" outlineLevel="3" collapsed="false">
      <c r="A983" s="54" t="s">
        <v>885</v>
      </c>
      <c r="B983" s="55" t="s">
        <v>886</v>
      </c>
      <c r="C983" s="25"/>
    </row>
    <row r="984" customFormat="false" ht="15" hidden="false" customHeight="true" outlineLevel="3" collapsed="false">
      <c r="A984" s="54" t="s">
        <v>2258</v>
      </c>
      <c r="B984" s="55" t="s">
        <v>2259</v>
      </c>
      <c r="C984" s="56"/>
    </row>
    <row r="985" customFormat="false" ht="15" hidden="false" customHeight="true" outlineLevel="4" collapsed="false">
      <c r="A985" s="57" t="s">
        <v>887</v>
      </c>
      <c r="B985" s="58" t="s">
        <v>888</v>
      </c>
      <c r="C985" s="25"/>
    </row>
    <row r="986" customFormat="false" ht="15" hidden="false" customHeight="true" outlineLevel="4" collapsed="false">
      <c r="A986" s="57" t="s">
        <v>889</v>
      </c>
      <c r="B986" s="58" t="s">
        <v>890</v>
      </c>
      <c r="C986" s="25"/>
    </row>
    <row r="987" customFormat="false" ht="15" hidden="false" customHeight="true" outlineLevel="4" collapsed="false">
      <c r="A987" s="57" t="s">
        <v>891</v>
      </c>
      <c r="B987" s="58" t="s">
        <v>892</v>
      </c>
      <c r="C987" s="25"/>
    </row>
    <row r="988" customFormat="false" ht="15" hidden="false" customHeight="true" outlineLevel="4" collapsed="false">
      <c r="A988" s="57" t="s">
        <v>893</v>
      </c>
      <c r="B988" s="58" t="s">
        <v>894</v>
      </c>
      <c r="C988" s="25"/>
    </row>
    <row r="989" customFormat="false" ht="15" hidden="false" customHeight="true" outlineLevel="4" collapsed="false">
      <c r="A989" s="57" t="s">
        <v>895</v>
      </c>
      <c r="B989" s="58" t="s">
        <v>896</v>
      </c>
      <c r="C989" s="25"/>
    </row>
    <row r="990" customFormat="false" ht="15" hidden="false" customHeight="true" outlineLevel="2" collapsed="false">
      <c r="A990" s="51" t="s">
        <v>897</v>
      </c>
      <c r="B990" s="52" t="s">
        <v>898</v>
      </c>
      <c r="C990" s="25"/>
    </row>
    <row r="991" customFormat="false" ht="15" hidden="false" customHeight="true" outlineLevel="1" collapsed="false">
      <c r="A991" s="49" t="s">
        <v>2260</v>
      </c>
      <c r="B991" s="49" t="s">
        <v>2261</v>
      </c>
      <c r="C991" s="50"/>
    </row>
    <row r="992" customFormat="false" ht="15" hidden="false" customHeight="true" outlineLevel="2" collapsed="false">
      <c r="A992" s="51" t="s">
        <v>2262</v>
      </c>
      <c r="B992" s="52" t="s">
        <v>2263</v>
      </c>
      <c r="C992" s="53"/>
    </row>
    <row r="993" customFormat="false" ht="15" hidden="false" customHeight="true" outlineLevel="3" collapsed="false">
      <c r="A993" s="54" t="s">
        <v>899</v>
      </c>
      <c r="B993" s="55" t="s">
        <v>900</v>
      </c>
      <c r="C993" s="25"/>
    </row>
    <row r="994" customFormat="false" ht="15" hidden="false" customHeight="true" outlineLevel="3" collapsed="false">
      <c r="A994" s="54" t="s">
        <v>901</v>
      </c>
      <c r="B994" s="55" t="s">
        <v>902</v>
      </c>
      <c r="C994" s="25"/>
    </row>
    <row r="995" customFormat="false" ht="15" hidden="false" customHeight="true" outlineLevel="3" collapsed="false">
      <c r="A995" s="54" t="s">
        <v>903</v>
      </c>
      <c r="B995" s="55" t="s">
        <v>904</v>
      </c>
      <c r="C995" s="25"/>
    </row>
    <row r="996" customFormat="false" ht="15" hidden="false" customHeight="true" outlineLevel="3" collapsed="false">
      <c r="A996" s="54" t="s">
        <v>905</v>
      </c>
      <c r="B996" s="55" t="s">
        <v>906</v>
      </c>
      <c r="C996" s="25"/>
    </row>
    <row r="997" customFormat="false" ht="15" hidden="false" customHeight="true" outlineLevel="3" collapsed="false">
      <c r="A997" s="54" t="s">
        <v>907</v>
      </c>
      <c r="B997" s="55" t="s">
        <v>908</v>
      </c>
      <c r="C997" s="25"/>
    </row>
    <row r="998" customFormat="false" ht="15" hidden="false" customHeight="true" outlineLevel="2" collapsed="false">
      <c r="A998" s="51" t="s">
        <v>909</v>
      </c>
      <c r="B998" s="52" t="s">
        <v>910</v>
      </c>
      <c r="C998" s="25"/>
    </row>
    <row r="999" customFormat="false" ht="15" hidden="false" customHeight="true" outlineLevel="2" collapsed="false">
      <c r="A999" s="51" t="s">
        <v>2264</v>
      </c>
      <c r="B999" s="52" t="s">
        <v>2265</v>
      </c>
      <c r="C999" s="53"/>
    </row>
    <row r="1000" customFormat="false" ht="15" hidden="false" customHeight="true" outlineLevel="3" collapsed="false">
      <c r="A1000" s="54" t="s">
        <v>911</v>
      </c>
      <c r="B1000" s="55" t="s">
        <v>912</v>
      </c>
      <c r="C1000" s="25"/>
    </row>
    <row r="1001" customFormat="false" ht="15" hidden="false" customHeight="true" outlineLevel="3" collapsed="false">
      <c r="A1001" s="54" t="s">
        <v>913</v>
      </c>
      <c r="B1001" s="55" t="s">
        <v>914</v>
      </c>
      <c r="C1001" s="25"/>
    </row>
    <row r="1002" customFormat="false" ht="15" hidden="false" customHeight="true" outlineLevel="3" collapsed="false">
      <c r="A1002" s="54" t="s">
        <v>915</v>
      </c>
      <c r="B1002" s="55" t="s">
        <v>916</v>
      </c>
      <c r="C1002" s="25"/>
    </row>
    <row r="1003" customFormat="false" ht="15" hidden="false" customHeight="true" outlineLevel="2" collapsed="false">
      <c r="A1003" s="51" t="s">
        <v>917</v>
      </c>
      <c r="B1003" s="52" t="s">
        <v>918</v>
      </c>
      <c r="C1003" s="25"/>
    </row>
    <row r="1004" customFormat="false" ht="15" hidden="false" customHeight="true" outlineLevel="2" collapsed="false">
      <c r="A1004" s="51" t="s">
        <v>919</v>
      </c>
      <c r="B1004" s="52" t="s">
        <v>920</v>
      </c>
      <c r="C1004" s="25"/>
    </row>
    <row r="1005" customFormat="false" ht="15" hidden="false" customHeight="true" outlineLevel="1" collapsed="false">
      <c r="A1005" s="49" t="s">
        <v>2266</v>
      </c>
      <c r="B1005" s="49" t="s">
        <v>2267</v>
      </c>
      <c r="C1005" s="50"/>
    </row>
    <row r="1006" customFormat="false" ht="15" hidden="false" customHeight="true" outlineLevel="2" collapsed="false">
      <c r="A1006" s="51" t="s">
        <v>2268</v>
      </c>
      <c r="B1006" s="52" t="s">
        <v>2269</v>
      </c>
      <c r="C1006" s="53"/>
    </row>
    <row r="1007" customFormat="false" ht="15" hidden="false" customHeight="true" outlineLevel="3" collapsed="false">
      <c r="A1007" s="54" t="s">
        <v>921</v>
      </c>
      <c r="B1007" s="55" t="s">
        <v>84</v>
      </c>
      <c r="C1007" s="25"/>
    </row>
    <row r="1008" customFormat="false" ht="15" hidden="false" customHeight="true" outlineLevel="3" collapsed="false">
      <c r="A1008" s="54" t="s">
        <v>922</v>
      </c>
      <c r="B1008" s="55" t="s">
        <v>923</v>
      </c>
      <c r="C1008" s="25"/>
    </row>
    <row r="1009" customFormat="false" ht="15" hidden="false" customHeight="true" outlineLevel="2" collapsed="false">
      <c r="A1009" s="51" t="s">
        <v>924</v>
      </c>
      <c r="B1009" s="52" t="s">
        <v>925</v>
      </c>
      <c r="C1009" s="25"/>
    </row>
    <row r="1010" customFormat="false" ht="15" hidden="false" customHeight="true" outlineLevel="2" collapsed="false">
      <c r="A1010" s="51" t="s">
        <v>926</v>
      </c>
      <c r="B1010" s="52" t="s">
        <v>927</v>
      </c>
      <c r="C1010" s="25"/>
    </row>
    <row r="1011" customFormat="false" ht="15" hidden="false" customHeight="true" outlineLevel="2" collapsed="false">
      <c r="A1011" s="51" t="s">
        <v>928</v>
      </c>
      <c r="B1011" s="52" t="s">
        <v>929</v>
      </c>
      <c r="C1011" s="25"/>
    </row>
    <row r="1012" customFormat="false" ht="15" hidden="false" customHeight="true" outlineLevel="1" collapsed="false">
      <c r="A1012" s="49" t="s">
        <v>2270</v>
      </c>
      <c r="B1012" s="49" t="s">
        <v>2271</v>
      </c>
      <c r="C1012" s="50"/>
    </row>
    <row r="1013" customFormat="false" ht="15" hidden="false" customHeight="true" outlineLevel="2" collapsed="false">
      <c r="A1013" s="51" t="s">
        <v>2272</v>
      </c>
      <c r="B1013" s="52" t="s">
        <v>2269</v>
      </c>
      <c r="C1013" s="53"/>
    </row>
    <row r="1014" customFormat="false" ht="15" hidden="false" customHeight="true" outlineLevel="3" collapsed="false">
      <c r="A1014" s="54" t="s">
        <v>930</v>
      </c>
      <c r="B1014" s="55" t="s">
        <v>84</v>
      </c>
      <c r="C1014" s="25"/>
    </row>
    <row r="1015" customFormat="false" ht="15" hidden="false" customHeight="true" outlineLevel="3" collapsed="false">
      <c r="A1015" s="54" t="s">
        <v>931</v>
      </c>
      <c r="B1015" s="55" t="s">
        <v>923</v>
      </c>
      <c r="C1015" s="25"/>
    </row>
    <row r="1016" customFormat="false" ht="15" hidden="false" customHeight="true" outlineLevel="2" collapsed="false">
      <c r="A1016" s="51" t="s">
        <v>2273</v>
      </c>
      <c r="B1016" s="52" t="s">
        <v>933</v>
      </c>
      <c r="C1016" s="53"/>
    </row>
    <row r="1017" customFormat="false" ht="15" hidden="false" customHeight="true" outlineLevel="3" collapsed="false">
      <c r="A1017" s="54" t="s">
        <v>932</v>
      </c>
      <c r="B1017" s="55" t="s">
        <v>933</v>
      </c>
      <c r="C1017" s="25"/>
    </row>
    <row r="1018" customFormat="false" ht="15" hidden="false" customHeight="true" outlineLevel="2" collapsed="false">
      <c r="A1018" s="51" t="s">
        <v>2274</v>
      </c>
      <c r="B1018" s="52" t="s">
        <v>927</v>
      </c>
      <c r="C1018" s="53"/>
    </row>
    <row r="1019" customFormat="false" ht="15" hidden="false" customHeight="true" outlineLevel="3" collapsed="false">
      <c r="A1019" s="54" t="s">
        <v>934</v>
      </c>
      <c r="B1019" s="55" t="s">
        <v>927</v>
      </c>
      <c r="C1019" s="25"/>
    </row>
    <row r="1020" customFormat="false" ht="15" hidden="false" customHeight="true" outlineLevel="2" collapsed="false">
      <c r="A1020" s="51" t="s">
        <v>2275</v>
      </c>
      <c r="B1020" s="52" t="s">
        <v>929</v>
      </c>
      <c r="C1020" s="53"/>
    </row>
    <row r="1021" customFormat="false" ht="15" hidden="false" customHeight="true" outlineLevel="3" collapsed="false">
      <c r="A1021" s="54" t="s">
        <v>935</v>
      </c>
      <c r="B1021" s="55" t="s">
        <v>929</v>
      </c>
      <c r="C1021" s="25"/>
    </row>
    <row r="1022" customFormat="false" ht="15" hidden="false" customHeight="true" outlineLevel="1" collapsed="false">
      <c r="A1022" s="49" t="s">
        <v>2276</v>
      </c>
      <c r="B1022" s="49" t="s">
        <v>2277</v>
      </c>
      <c r="C1022" s="50"/>
    </row>
    <row r="1023" customFormat="false" ht="15" hidden="false" customHeight="true" outlineLevel="2" collapsed="false">
      <c r="A1023" s="51" t="s">
        <v>2278</v>
      </c>
      <c r="B1023" s="52" t="s">
        <v>2279</v>
      </c>
      <c r="C1023" s="53"/>
    </row>
    <row r="1024" customFormat="false" ht="15" hidden="false" customHeight="true" outlineLevel="3" collapsed="false">
      <c r="A1024" s="54" t="s">
        <v>936</v>
      </c>
      <c r="B1024" s="55" t="s">
        <v>107</v>
      </c>
      <c r="C1024" s="25"/>
    </row>
    <row r="1025" customFormat="false" ht="15" hidden="false" customHeight="true" outlineLevel="3" collapsed="false">
      <c r="A1025" s="54" t="s">
        <v>937</v>
      </c>
      <c r="B1025" s="55" t="s">
        <v>142</v>
      </c>
      <c r="C1025" s="25"/>
    </row>
    <row r="1026" customFormat="false" ht="15" hidden="false" customHeight="true" outlineLevel="3" collapsed="false">
      <c r="A1026" s="54" t="s">
        <v>938</v>
      </c>
      <c r="B1026" s="55" t="s">
        <v>939</v>
      </c>
      <c r="C1026" s="25"/>
    </row>
    <row r="1027" customFormat="false" ht="15" hidden="false" customHeight="true" outlineLevel="2" collapsed="false">
      <c r="A1027" s="51" t="s">
        <v>2280</v>
      </c>
      <c r="B1027" s="52" t="s">
        <v>225</v>
      </c>
      <c r="C1027" s="53"/>
    </row>
    <row r="1028" customFormat="false" ht="15" hidden="false" customHeight="true" outlineLevel="3" collapsed="false">
      <c r="A1028" s="54" t="s">
        <v>940</v>
      </c>
      <c r="B1028" s="55" t="s">
        <v>941</v>
      </c>
      <c r="C1028" s="25"/>
    </row>
    <row r="1029" customFormat="false" ht="15" hidden="false" customHeight="true" outlineLevel="3" collapsed="false">
      <c r="A1029" s="54" t="s">
        <v>942</v>
      </c>
      <c r="B1029" s="55" t="s">
        <v>939</v>
      </c>
      <c r="C1029" s="25"/>
    </row>
    <row r="1030" customFormat="false" ht="15" hidden="false" customHeight="true" outlineLevel="1" collapsed="false">
      <c r="A1030" s="49" t="s">
        <v>2281</v>
      </c>
      <c r="B1030" s="49" t="s">
        <v>2282</v>
      </c>
      <c r="C1030" s="50"/>
    </row>
    <row r="1031" customFormat="false" ht="15" hidden="false" customHeight="true" outlineLevel="2" collapsed="false">
      <c r="A1031" s="51" t="s">
        <v>2283</v>
      </c>
      <c r="B1031" s="52" t="s">
        <v>1336</v>
      </c>
      <c r="C1031" s="53"/>
    </row>
    <row r="1032" customFormat="false" ht="15" hidden="false" customHeight="true" outlineLevel="3" collapsed="false">
      <c r="A1032" s="54" t="s">
        <v>943</v>
      </c>
      <c r="B1032" s="55" t="s">
        <v>944</v>
      </c>
      <c r="C1032" s="25"/>
    </row>
    <row r="1033" customFormat="false" ht="15" hidden="false" customHeight="true" outlineLevel="3" collapsed="false">
      <c r="A1033" s="54" t="s">
        <v>945</v>
      </c>
      <c r="B1033" s="55" t="s">
        <v>946</v>
      </c>
      <c r="C1033" s="25"/>
    </row>
    <row r="1034" customFormat="false" ht="15" hidden="false" customHeight="true" outlineLevel="2" collapsed="false">
      <c r="A1034" s="51" t="s">
        <v>947</v>
      </c>
      <c r="B1034" s="52" t="s">
        <v>948</v>
      </c>
      <c r="C1034" s="25"/>
    </row>
    <row r="1035" customFormat="false" ht="15" hidden="false" customHeight="true" outlineLevel="2" collapsed="false">
      <c r="A1035" s="51" t="s">
        <v>2284</v>
      </c>
      <c r="B1035" s="52" t="s">
        <v>1351</v>
      </c>
      <c r="C1035" s="53"/>
    </row>
    <row r="1036" customFormat="false" ht="15" hidden="false" customHeight="true" outlineLevel="3" collapsed="false">
      <c r="A1036" s="54" t="s">
        <v>949</v>
      </c>
      <c r="B1036" s="55" t="s">
        <v>950</v>
      </c>
      <c r="C1036" s="25"/>
    </row>
    <row r="1037" customFormat="false" ht="15" hidden="false" customHeight="true" outlineLevel="3" collapsed="false">
      <c r="A1037" s="54" t="s">
        <v>951</v>
      </c>
      <c r="B1037" s="55" t="s">
        <v>952</v>
      </c>
      <c r="C1037" s="25"/>
    </row>
    <row r="1038" customFormat="false" ht="15" hidden="false" customHeight="true" outlineLevel="3" collapsed="false">
      <c r="A1038" s="54" t="s">
        <v>953</v>
      </c>
      <c r="B1038" s="55" t="s">
        <v>954</v>
      </c>
      <c r="C1038" s="25"/>
    </row>
    <row r="1039" customFormat="false" ht="15" hidden="false" customHeight="true" outlineLevel="3" collapsed="false">
      <c r="A1039" s="54" t="s">
        <v>955</v>
      </c>
      <c r="B1039" s="55" t="s">
        <v>956</v>
      </c>
      <c r="C1039" s="25"/>
    </row>
    <row r="1040" customFormat="false" ht="15" hidden="false" customHeight="true" outlineLevel="2" collapsed="false">
      <c r="A1040" s="51" t="s">
        <v>2285</v>
      </c>
      <c r="B1040" s="52" t="s">
        <v>2286</v>
      </c>
      <c r="C1040" s="53"/>
    </row>
    <row r="1041" customFormat="false" ht="15" hidden="false" customHeight="true" outlineLevel="3" collapsed="false">
      <c r="A1041" s="54" t="s">
        <v>957</v>
      </c>
      <c r="B1041" s="55" t="s">
        <v>958</v>
      </c>
      <c r="C1041" s="25"/>
    </row>
    <row r="1042" customFormat="false" ht="15" hidden="false" customHeight="true" outlineLevel="3" collapsed="false">
      <c r="A1042" s="54" t="s">
        <v>959</v>
      </c>
      <c r="B1042" s="55" t="s">
        <v>954</v>
      </c>
      <c r="C1042" s="25"/>
    </row>
    <row r="1043" customFormat="false" ht="15" hidden="false" customHeight="true" outlineLevel="3" collapsed="false">
      <c r="A1043" s="54" t="s">
        <v>960</v>
      </c>
      <c r="B1043" s="55" t="s">
        <v>961</v>
      </c>
      <c r="C1043" s="25"/>
    </row>
    <row r="1044" customFormat="false" ht="15" hidden="false" customHeight="true" outlineLevel="3" collapsed="false">
      <c r="A1044" s="54" t="s">
        <v>962</v>
      </c>
      <c r="B1044" s="55" t="s">
        <v>963</v>
      </c>
      <c r="C1044" s="25"/>
    </row>
    <row r="1045" customFormat="false" ht="15" hidden="false" customHeight="true" outlineLevel="3" collapsed="false">
      <c r="A1045" s="54" t="s">
        <v>964</v>
      </c>
      <c r="B1045" s="55" t="s">
        <v>965</v>
      </c>
      <c r="C1045" s="25"/>
    </row>
    <row r="1046" customFormat="false" ht="15" hidden="false" customHeight="true" outlineLevel="3" collapsed="false">
      <c r="A1046" s="54" t="s">
        <v>966</v>
      </c>
      <c r="B1046" s="55" t="s">
        <v>967</v>
      </c>
      <c r="C1046" s="25"/>
    </row>
    <row r="1047" customFormat="false" ht="15" hidden="false" customHeight="true" outlineLevel="2" collapsed="false">
      <c r="A1047" s="51" t="s">
        <v>2287</v>
      </c>
      <c r="B1047" s="52" t="s">
        <v>2288</v>
      </c>
      <c r="C1047" s="53"/>
    </row>
    <row r="1048" customFormat="false" ht="15" hidden="false" customHeight="true" outlineLevel="3" collapsed="false">
      <c r="A1048" s="54" t="s">
        <v>2289</v>
      </c>
      <c r="B1048" s="55" t="s">
        <v>1336</v>
      </c>
      <c r="C1048" s="56"/>
    </row>
    <row r="1049" customFormat="false" ht="15" hidden="false" customHeight="true" outlineLevel="4" collapsed="false">
      <c r="A1049" s="57" t="s">
        <v>968</v>
      </c>
      <c r="B1049" s="58" t="s">
        <v>944</v>
      </c>
      <c r="C1049" s="25"/>
    </row>
    <row r="1050" customFormat="false" ht="15" hidden="false" customHeight="true" outlineLevel="4" collapsed="false">
      <c r="A1050" s="57" t="s">
        <v>969</v>
      </c>
      <c r="B1050" s="58" t="s">
        <v>946</v>
      </c>
      <c r="C1050" s="25"/>
    </row>
    <row r="1051" customFormat="false" ht="15" hidden="false" customHeight="true" outlineLevel="3" collapsed="false">
      <c r="A1051" s="54" t="s">
        <v>970</v>
      </c>
      <c r="B1051" s="55" t="s">
        <v>948</v>
      </c>
      <c r="C1051" s="25"/>
    </row>
    <row r="1052" customFormat="false" ht="15" hidden="false" customHeight="true" outlineLevel="3" collapsed="false">
      <c r="A1052" s="54" t="s">
        <v>2290</v>
      </c>
      <c r="B1052" s="55" t="s">
        <v>1351</v>
      </c>
      <c r="C1052" s="56"/>
    </row>
    <row r="1053" customFormat="false" ht="15" hidden="false" customHeight="true" outlineLevel="4" collapsed="false">
      <c r="A1053" s="57" t="s">
        <v>971</v>
      </c>
      <c r="B1053" s="58" t="s">
        <v>950</v>
      </c>
      <c r="C1053" s="25"/>
    </row>
    <row r="1054" customFormat="false" ht="15" hidden="false" customHeight="true" outlineLevel="4" collapsed="false">
      <c r="A1054" s="57" t="s">
        <v>972</v>
      </c>
      <c r="B1054" s="58" t="s">
        <v>952</v>
      </c>
      <c r="C1054" s="25"/>
    </row>
    <row r="1055" customFormat="false" ht="15" hidden="false" customHeight="true" outlineLevel="4" collapsed="false">
      <c r="A1055" s="57" t="s">
        <v>973</v>
      </c>
      <c r="B1055" s="58" t="s">
        <v>954</v>
      </c>
      <c r="C1055" s="25"/>
    </row>
    <row r="1056" customFormat="false" ht="15" hidden="false" customHeight="true" outlineLevel="4" collapsed="false">
      <c r="A1056" s="57" t="s">
        <v>974</v>
      </c>
      <c r="B1056" s="58" t="s">
        <v>956</v>
      </c>
      <c r="C1056" s="25"/>
    </row>
    <row r="1057" customFormat="false" ht="15" hidden="false" customHeight="true" outlineLevel="3" collapsed="false">
      <c r="A1057" s="54" t="s">
        <v>2291</v>
      </c>
      <c r="B1057" s="55" t="s">
        <v>1348</v>
      </c>
      <c r="C1057" s="56"/>
    </row>
    <row r="1058" customFormat="false" ht="15" hidden="false" customHeight="true" outlineLevel="4" collapsed="false">
      <c r="A1058" s="57" t="s">
        <v>975</v>
      </c>
      <c r="B1058" s="58" t="s">
        <v>958</v>
      </c>
      <c r="C1058" s="25"/>
    </row>
    <row r="1059" customFormat="false" ht="15" hidden="false" customHeight="true" outlineLevel="4" collapsed="false">
      <c r="A1059" s="57" t="s">
        <v>976</v>
      </c>
      <c r="B1059" s="58" t="s">
        <v>954</v>
      </c>
      <c r="C1059" s="25"/>
    </row>
    <row r="1060" customFormat="false" ht="15" hidden="false" customHeight="true" outlineLevel="4" collapsed="false">
      <c r="A1060" s="57" t="s">
        <v>977</v>
      </c>
      <c r="B1060" s="58" t="s">
        <v>961</v>
      </c>
      <c r="C1060" s="25"/>
    </row>
    <row r="1061" customFormat="false" ht="15" hidden="false" customHeight="true" outlineLevel="4" collapsed="false">
      <c r="A1061" s="57" t="s">
        <v>978</v>
      </c>
      <c r="B1061" s="58" t="s">
        <v>963</v>
      </c>
      <c r="C1061" s="25"/>
    </row>
    <row r="1062" customFormat="false" ht="15" hidden="false" customHeight="true" outlineLevel="4" collapsed="false">
      <c r="A1062" s="57" t="s">
        <v>979</v>
      </c>
      <c r="B1062" s="58" t="s">
        <v>965</v>
      </c>
      <c r="C1062" s="25"/>
    </row>
    <row r="1063" customFormat="false" ht="15" hidden="false" customHeight="true" outlineLevel="4" collapsed="false">
      <c r="A1063" s="57" t="s">
        <v>980</v>
      </c>
      <c r="B1063" s="58" t="s">
        <v>967</v>
      </c>
      <c r="C1063" s="25"/>
    </row>
    <row r="1064" customFormat="false" ht="15" hidden="false" customHeight="true" outlineLevel="2" collapsed="false">
      <c r="A1064" s="51" t="s">
        <v>981</v>
      </c>
      <c r="B1064" s="52" t="s">
        <v>982</v>
      </c>
      <c r="C1064" s="25"/>
    </row>
    <row r="1065" customFormat="false" ht="15" hidden="false" customHeight="true" outlineLevel="1" collapsed="false">
      <c r="A1065" s="49" t="s">
        <v>2292</v>
      </c>
      <c r="B1065" s="49" t="s">
        <v>2293</v>
      </c>
      <c r="C1065" s="50"/>
    </row>
    <row r="1066" customFormat="false" ht="15" hidden="false" customHeight="true" outlineLevel="2" collapsed="false">
      <c r="A1066" s="51" t="s">
        <v>983</v>
      </c>
      <c r="B1066" s="52" t="s">
        <v>984</v>
      </c>
      <c r="C1066" s="25"/>
    </row>
    <row r="1067" customFormat="false" ht="15" hidden="false" customHeight="true" outlineLevel="2" collapsed="false">
      <c r="A1067" s="51" t="s">
        <v>2294</v>
      </c>
      <c r="B1067" s="52" t="s">
        <v>2295</v>
      </c>
      <c r="C1067" s="53"/>
    </row>
    <row r="1068" customFormat="false" ht="15" hidden="false" customHeight="true" outlineLevel="3" collapsed="false">
      <c r="A1068" s="54" t="s">
        <v>985</v>
      </c>
      <c r="B1068" s="55" t="s">
        <v>986</v>
      </c>
      <c r="C1068" s="25"/>
    </row>
    <row r="1069" customFormat="false" ht="15" hidden="false" customHeight="true" outlineLevel="3" collapsed="false">
      <c r="A1069" s="54" t="s">
        <v>2296</v>
      </c>
      <c r="B1069" s="55" t="s">
        <v>1858</v>
      </c>
      <c r="C1069" s="56"/>
    </row>
    <row r="1070" customFormat="false" ht="15" hidden="false" customHeight="true" outlineLevel="4" collapsed="false">
      <c r="A1070" s="57" t="s">
        <v>987</v>
      </c>
      <c r="B1070" s="58" t="s">
        <v>988</v>
      </c>
      <c r="C1070" s="25"/>
    </row>
    <row r="1071" customFormat="false" ht="15" hidden="false" customHeight="true" outlineLevel="4" collapsed="false">
      <c r="A1071" s="57" t="s">
        <v>989</v>
      </c>
      <c r="B1071" s="58" t="s">
        <v>990</v>
      </c>
      <c r="C1071" s="25"/>
    </row>
    <row r="1072" customFormat="false" ht="15" hidden="false" customHeight="true" outlineLevel="2" collapsed="false">
      <c r="A1072" s="51" t="s">
        <v>2297</v>
      </c>
      <c r="B1072" s="52" t="s">
        <v>2298</v>
      </c>
      <c r="C1072" s="53"/>
    </row>
    <row r="1073" customFormat="false" ht="15" hidden="false" customHeight="true" outlineLevel="3" collapsed="false">
      <c r="A1073" s="54" t="s">
        <v>991</v>
      </c>
      <c r="B1073" s="55" t="s">
        <v>992</v>
      </c>
      <c r="C1073" s="25"/>
    </row>
    <row r="1074" customFormat="false" ht="15" hidden="false" customHeight="true" outlineLevel="3" collapsed="false">
      <c r="A1074" s="54" t="s">
        <v>993</v>
      </c>
      <c r="B1074" s="55" t="s">
        <v>154</v>
      </c>
      <c r="C1074" s="25"/>
    </row>
    <row r="1075" customFormat="false" ht="15" hidden="false" customHeight="true" outlineLevel="3" collapsed="false">
      <c r="A1075" s="54" t="s">
        <v>994</v>
      </c>
      <c r="B1075" s="55" t="s">
        <v>995</v>
      </c>
      <c r="C1075" s="25"/>
    </row>
    <row r="1076" customFormat="false" ht="15" hidden="false" customHeight="true" outlineLevel="3" collapsed="false">
      <c r="A1076" s="54" t="s">
        <v>996</v>
      </c>
      <c r="B1076" s="55" t="s">
        <v>156</v>
      </c>
      <c r="C1076" s="25"/>
    </row>
    <row r="1077" customFormat="false" ht="15" hidden="false" customHeight="true" outlineLevel="3" collapsed="false">
      <c r="A1077" s="54" t="s">
        <v>997</v>
      </c>
      <c r="B1077" s="55" t="s">
        <v>158</v>
      </c>
      <c r="C1077" s="25"/>
    </row>
    <row r="1078" customFormat="false" ht="15" hidden="false" customHeight="true" outlineLevel="3" collapsed="false">
      <c r="A1078" s="54" t="s">
        <v>998</v>
      </c>
      <c r="B1078" s="55" t="s">
        <v>160</v>
      </c>
      <c r="C1078" s="25"/>
    </row>
    <row r="1079" customFormat="false" ht="15" hidden="false" customHeight="true" outlineLevel="2" collapsed="false">
      <c r="A1079" s="51" t="s">
        <v>999</v>
      </c>
      <c r="B1079" s="52" t="s">
        <v>1000</v>
      </c>
      <c r="C1079" s="25"/>
    </row>
    <row r="1080" customFormat="false" ht="15" hidden="false" customHeight="true" outlineLevel="2" collapsed="false">
      <c r="A1080" s="51" t="s">
        <v>1001</v>
      </c>
      <c r="B1080" s="52" t="s">
        <v>1002</v>
      </c>
      <c r="C1080" s="25"/>
    </row>
    <row r="1081" customFormat="false" ht="15" hidden="false" customHeight="true" outlineLevel="2" collapsed="false">
      <c r="A1081" s="51" t="s">
        <v>2299</v>
      </c>
      <c r="B1081" s="52" t="s">
        <v>1022</v>
      </c>
      <c r="C1081" s="53"/>
    </row>
    <row r="1082" customFormat="false" ht="15" hidden="false" customHeight="true" outlineLevel="3" collapsed="false">
      <c r="A1082" s="54" t="s">
        <v>1003</v>
      </c>
      <c r="B1082" s="55" t="s">
        <v>1004</v>
      </c>
      <c r="C1082" s="25"/>
    </row>
    <row r="1083" customFormat="false" ht="15" hidden="false" customHeight="true" outlineLevel="3" collapsed="false">
      <c r="A1083" s="54" t="s">
        <v>1005</v>
      </c>
      <c r="B1083" s="55" t="s">
        <v>1006</v>
      </c>
      <c r="C1083" s="25"/>
    </row>
    <row r="1084" customFormat="false" ht="15" hidden="false" customHeight="true" outlineLevel="3" collapsed="false">
      <c r="A1084" s="54" t="s">
        <v>1007</v>
      </c>
      <c r="B1084" s="55" t="s">
        <v>939</v>
      </c>
      <c r="C1084" s="25"/>
    </row>
    <row r="1085" customFormat="false" ht="15" hidden="false" customHeight="true" outlineLevel="1" collapsed="false">
      <c r="A1085" s="49" t="s">
        <v>2300</v>
      </c>
      <c r="B1085" s="49" t="s">
        <v>2301</v>
      </c>
      <c r="C1085" s="50"/>
    </row>
    <row r="1086" customFormat="false" ht="15" hidden="false" customHeight="true" outlineLevel="2" collapsed="false">
      <c r="A1086" s="51" t="s">
        <v>1008</v>
      </c>
      <c r="B1086" s="52" t="s">
        <v>107</v>
      </c>
      <c r="C1086" s="25"/>
    </row>
    <row r="1087" customFormat="false" ht="15" hidden="false" customHeight="true" outlineLevel="2" collapsed="false">
      <c r="A1087" s="51" t="s">
        <v>1009</v>
      </c>
      <c r="B1087" s="52" t="s">
        <v>285</v>
      </c>
      <c r="C1087" s="25"/>
    </row>
    <row r="1088" customFormat="false" ht="15" hidden="false" customHeight="true" outlineLevel="2" collapsed="false">
      <c r="A1088" s="51" t="s">
        <v>1010</v>
      </c>
      <c r="B1088" s="52" t="s">
        <v>102</v>
      </c>
      <c r="C1088" s="25"/>
    </row>
    <row r="1089" customFormat="false" ht="15" hidden="false" customHeight="true" outlineLevel="2" collapsed="false">
      <c r="A1089" s="51" t="s">
        <v>1011</v>
      </c>
      <c r="B1089" s="52" t="s">
        <v>140</v>
      </c>
      <c r="C1089" s="25"/>
    </row>
    <row r="1090" customFormat="false" ht="15" hidden="false" customHeight="true" outlineLevel="2" collapsed="false">
      <c r="A1090" s="51" t="s">
        <v>1012</v>
      </c>
      <c r="B1090" s="52" t="s">
        <v>142</v>
      </c>
      <c r="C1090" s="25"/>
    </row>
    <row r="1091" customFormat="false" ht="15" hidden="false" customHeight="true" outlineLevel="2" collapsed="false">
      <c r="A1091" s="51" t="s">
        <v>1013</v>
      </c>
      <c r="B1091" s="52" t="s">
        <v>1002</v>
      </c>
      <c r="C1091" s="25"/>
    </row>
    <row r="1092" customFormat="false" ht="15" hidden="false" customHeight="true" outlineLevel="2" collapsed="false">
      <c r="A1092" s="51" t="s">
        <v>2302</v>
      </c>
      <c r="B1092" s="52" t="s">
        <v>2303</v>
      </c>
      <c r="C1092" s="53"/>
    </row>
    <row r="1093" customFormat="false" ht="15" hidden="false" customHeight="true" outlineLevel="3" collapsed="false">
      <c r="A1093" s="54" t="s">
        <v>1014</v>
      </c>
      <c r="B1093" s="55" t="s">
        <v>992</v>
      </c>
      <c r="C1093" s="25"/>
    </row>
    <row r="1094" customFormat="false" ht="15" hidden="false" customHeight="true" outlineLevel="3" collapsed="false">
      <c r="A1094" s="54" t="s">
        <v>1015</v>
      </c>
      <c r="B1094" s="55" t="s">
        <v>1016</v>
      </c>
      <c r="C1094" s="25"/>
    </row>
    <row r="1095" customFormat="false" ht="15" hidden="false" customHeight="true" outlineLevel="3" collapsed="false">
      <c r="A1095" s="54" t="s">
        <v>1017</v>
      </c>
      <c r="B1095" s="55" t="s">
        <v>995</v>
      </c>
      <c r="C1095" s="25"/>
    </row>
    <row r="1096" customFormat="false" ht="15" hidden="false" customHeight="true" outlineLevel="3" collapsed="false">
      <c r="A1096" s="54" t="s">
        <v>1018</v>
      </c>
      <c r="B1096" s="55" t="s">
        <v>156</v>
      </c>
      <c r="C1096" s="25"/>
    </row>
    <row r="1097" customFormat="false" ht="15" hidden="false" customHeight="true" outlineLevel="3" collapsed="false">
      <c r="A1097" s="54" t="s">
        <v>1019</v>
      </c>
      <c r="B1097" s="55" t="s">
        <v>158</v>
      </c>
      <c r="C1097" s="25"/>
    </row>
    <row r="1098" customFormat="false" ht="15" hidden="false" customHeight="true" outlineLevel="3" collapsed="false">
      <c r="A1098" s="54" t="s">
        <v>1020</v>
      </c>
      <c r="B1098" s="55" t="s">
        <v>160</v>
      </c>
      <c r="C1098" s="25"/>
    </row>
    <row r="1099" customFormat="false" ht="15" hidden="false" customHeight="true" outlineLevel="2" collapsed="false">
      <c r="A1099" s="51" t="s">
        <v>2304</v>
      </c>
      <c r="B1099" s="52" t="s">
        <v>1022</v>
      </c>
      <c r="C1099" s="53"/>
    </row>
    <row r="1100" customFormat="false" ht="15" hidden="false" customHeight="true" outlineLevel="3" collapsed="false">
      <c r="A1100" s="54" t="s">
        <v>1021</v>
      </c>
      <c r="B1100" s="55" t="s">
        <v>1022</v>
      </c>
      <c r="C1100" s="25"/>
    </row>
    <row r="1101" customFormat="false" ht="15" hidden="false" customHeight="true" outlineLevel="1" collapsed="false">
      <c r="A1101" s="49" t="s">
        <v>2305</v>
      </c>
      <c r="B1101" s="49" t="s">
        <v>2306</v>
      </c>
      <c r="C1101" s="50"/>
    </row>
    <row r="1102" customFormat="false" ht="15" hidden="false" customHeight="true" outlineLevel="2" collapsed="false">
      <c r="A1102" s="51" t="s">
        <v>1023</v>
      </c>
      <c r="B1102" s="52" t="s">
        <v>1024</v>
      </c>
      <c r="C1102" s="25"/>
    </row>
    <row r="1103" customFormat="false" ht="15" hidden="false" customHeight="true" outlineLevel="2" collapsed="false">
      <c r="A1103" s="51" t="s">
        <v>1025</v>
      </c>
      <c r="B1103" s="52" t="s">
        <v>1026</v>
      </c>
      <c r="C1103" s="25"/>
    </row>
    <row r="1104" customFormat="false" ht="15" hidden="false" customHeight="true" outlineLevel="2" collapsed="false">
      <c r="A1104" s="51" t="s">
        <v>1027</v>
      </c>
      <c r="B1104" s="52" t="s">
        <v>1028</v>
      </c>
      <c r="C1104" s="25"/>
    </row>
    <row r="1105" customFormat="false" ht="15" hidden="false" customHeight="true" outlineLevel="2" collapsed="false">
      <c r="A1105" s="51" t="s">
        <v>1029</v>
      </c>
      <c r="B1105" s="52" t="s">
        <v>1030</v>
      </c>
      <c r="C1105" s="25"/>
    </row>
    <row r="1106" customFormat="false" ht="15" hidden="false" customHeight="true" outlineLevel="2" collapsed="false">
      <c r="A1106" s="51" t="s">
        <v>1031</v>
      </c>
      <c r="B1106" s="52" t="s">
        <v>1032</v>
      </c>
      <c r="C1106" s="25"/>
    </row>
    <row r="1107" customFormat="false" ht="15" hidden="false" customHeight="true" outlineLevel="2" collapsed="false">
      <c r="A1107" s="51" t="s">
        <v>1033</v>
      </c>
      <c r="B1107" s="52" t="s">
        <v>1034</v>
      </c>
      <c r="C1107" s="25"/>
    </row>
    <row r="1108" customFormat="false" ht="15" hidden="false" customHeight="true" outlineLevel="2" collapsed="false">
      <c r="A1108" s="51" t="s">
        <v>1035</v>
      </c>
      <c r="B1108" s="52" t="s">
        <v>1036</v>
      </c>
      <c r="C1108" s="25"/>
    </row>
    <row r="1109" customFormat="false" ht="15" hidden="false" customHeight="true" outlineLevel="2" collapsed="false">
      <c r="A1109" s="51" t="s">
        <v>1037</v>
      </c>
      <c r="B1109" s="52" t="s">
        <v>1038</v>
      </c>
      <c r="C1109" s="25"/>
    </row>
    <row r="1110" customFormat="false" ht="15" hidden="false" customHeight="true" outlineLevel="1" collapsed="false">
      <c r="A1110" s="49" t="s">
        <v>2307</v>
      </c>
      <c r="B1110" s="49" t="s">
        <v>2308</v>
      </c>
      <c r="C1110" s="50"/>
    </row>
    <row r="1111" customFormat="false" ht="15" hidden="false" customHeight="true" outlineLevel="2" collapsed="false">
      <c r="A1111" s="51" t="s">
        <v>2309</v>
      </c>
      <c r="B1111" s="52" t="s">
        <v>2189</v>
      </c>
      <c r="C1111" s="53"/>
    </row>
    <row r="1112" customFormat="false" ht="15" hidden="false" customHeight="true" outlineLevel="3" collapsed="false">
      <c r="A1112" s="54" t="s">
        <v>1039</v>
      </c>
      <c r="B1112" s="55" t="s">
        <v>720</v>
      </c>
      <c r="C1112" s="25"/>
    </row>
    <row r="1113" customFormat="false" ht="15" hidden="false" customHeight="true" outlineLevel="3" collapsed="false">
      <c r="A1113" s="54" t="s">
        <v>1040</v>
      </c>
      <c r="B1113" s="55" t="s">
        <v>722</v>
      </c>
      <c r="C1113" s="25"/>
    </row>
    <row r="1114" customFormat="false" ht="15" hidden="false" customHeight="true" outlineLevel="2" collapsed="false">
      <c r="A1114" s="51" t="s">
        <v>2310</v>
      </c>
      <c r="B1114" s="52" t="s">
        <v>2191</v>
      </c>
      <c r="C1114" s="53"/>
    </row>
    <row r="1115" customFormat="false" ht="15" hidden="false" customHeight="true" outlineLevel="3" collapsed="false">
      <c r="A1115" s="54" t="s">
        <v>1041</v>
      </c>
      <c r="B1115" s="55" t="s">
        <v>724</v>
      </c>
      <c r="C1115" s="25"/>
    </row>
    <row r="1116" customFormat="false" ht="15" hidden="false" customHeight="true" outlineLevel="3" collapsed="false">
      <c r="A1116" s="54" t="s">
        <v>1042</v>
      </c>
      <c r="B1116" s="55" t="s">
        <v>726</v>
      </c>
      <c r="C1116" s="25"/>
    </row>
    <row r="1117" customFormat="false" ht="15" hidden="false" customHeight="true" outlineLevel="2" collapsed="false">
      <c r="A1117" s="51" t="s">
        <v>2311</v>
      </c>
      <c r="B1117" s="52" t="s">
        <v>2193</v>
      </c>
      <c r="C1117" s="53"/>
    </row>
    <row r="1118" customFormat="false" ht="15" hidden="false" customHeight="true" outlineLevel="3" collapsed="false">
      <c r="A1118" s="54" t="s">
        <v>1043</v>
      </c>
      <c r="B1118" s="55" t="s">
        <v>728</v>
      </c>
      <c r="C1118" s="25"/>
    </row>
    <row r="1119" customFormat="false" ht="15" hidden="false" customHeight="true" outlineLevel="3" collapsed="false">
      <c r="A1119" s="54" t="s">
        <v>1044</v>
      </c>
      <c r="B1119" s="55" t="s">
        <v>730</v>
      </c>
      <c r="C1119" s="25"/>
    </row>
    <row r="1120" customFormat="false" ht="15" hidden="false" customHeight="true" outlineLevel="2" collapsed="false">
      <c r="A1120" s="51" t="s">
        <v>1045</v>
      </c>
      <c r="B1120" s="52" t="s">
        <v>1046</v>
      </c>
      <c r="C1120" s="25"/>
    </row>
    <row r="1121" customFormat="false" ht="15" hidden="false" customHeight="true" outlineLevel="2" collapsed="false">
      <c r="A1121" s="51" t="s">
        <v>1047</v>
      </c>
      <c r="B1121" s="52" t="s">
        <v>1048</v>
      </c>
      <c r="C1121" s="25"/>
    </row>
    <row r="1122" customFormat="false" ht="15" hidden="false" customHeight="true" outlineLevel="2" collapsed="false">
      <c r="A1122" s="51" t="s">
        <v>1049</v>
      </c>
      <c r="B1122" s="52" t="s">
        <v>1050</v>
      </c>
      <c r="C1122" s="25"/>
    </row>
    <row r="1123" customFormat="false" ht="15" hidden="false" customHeight="true" outlineLevel="2" collapsed="false">
      <c r="A1123" s="51" t="s">
        <v>1051</v>
      </c>
      <c r="B1123" s="52" t="s">
        <v>1052</v>
      </c>
      <c r="C1123" s="25"/>
    </row>
    <row r="1124" customFormat="false" ht="19.5" hidden="false" customHeight="true" outlineLevel="0" collapsed="false">
      <c r="A1124" s="48" t="s">
        <v>2312</v>
      </c>
      <c r="B1124" s="48"/>
      <c r="C1124" s="48"/>
    </row>
    <row r="1125" customFormat="false" ht="15" hidden="false" customHeight="true" outlineLevel="1" collapsed="false">
      <c r="A1125" s="49" t="s">
        <v>2313</v>
      </c>
      <c r="B1125" s="49" t="s">
        <v>2314</v>
      </c>
      <c r="C1125" s="50"/>
    </row>
    <row r="1126" customFormat="false" ht="15" hidden="false" customHeight="true" outlineLevel="2" collapsed="false">
      <c r="A1126" s="51" t="s">
        <v>2315</v>
      </c>
      <c r="B1126" s="52" t="s">
        <v>2316</v>
      </c>
      <c r="C1126" s="53"/>
    </row>
    <row r="1127" customFormat="false" ht="15" hidden="false" customHeight="true" outlineLevel="3" collapsed="false">
      <c r="A1127" s="54" t="s">
        <v>22</v>
      </c>
      <c r="B1127" s="55" t="s">
        <v>1053</v>
      </c>
      <c r="C1127" s="25"/>
    </row>
    <row r="1128" customFormat="false" ht="15" hidden="false" customHeight="true" outlineLevel="3" collapsed="false">
      <c r="A1128" s="54" t="s">
        <v>1055</v>
      </c>
      <c r="B1128" s="55" t="s">
        <v>1056</v>
      </c>
      <c r="C1128" s="25"/>
    </row>
    <row r="1129" customFormat="false" ht="15" hidden="false" customHeight="true" outlineLevel="2" collapsed="false">
      <c r="A1129" s="51" t="s">
        <v>1057</v>
      </c>
      <c r="B1129" s="52" t="s">
        <v>1058</v>
      </c>
      <c r="C1129" s="25"/>
    </row>
    <row r="1130" customFormat="false" ht="15" hidden="false" customHeight="true" outlineLevel="1" collapsed="false">
      <c r="A1130" s="49" t="s">
        <v>2317</v>
      </c>
      <c r="B1130" s="49" t="s">
        <v>2318</v>
      </c>
      <c r="C1130" s="50"/>
    </row>
    <row r="1131" customFormat="false" ht="15" hidden="false" customHeight="true" outlineLevel="2" collapsed="false">
      <c r="A1131" s="51" t="s">
        <v>1059</v>
      </c>
      <c r="B1131" s="52" t="s">
        <v>1060</v>
      </c>
      <c r="C1131" s="25"/>
    </row>
    <row r="1132" customFormat="false" ht="15" hidden="false" customHeight="true" outlineLevel="2" collapsed="false">
      <c r="A1132" s="51" t="s">
        <v>1061</v>
      </c>
      <c r="B1132" s="52" t="s">
        <v>1062</v>
      </c>
      <c r="C1132" s="25"/>
    </row>
    <row r="1133" customFormat="false" ht="15" hidden="false" customHeight="true" outlineLevel="1" collapsed="false">
      <c r="A1133" s="49" t="s">
        <v>2319</v>
      </c>
      <c r="B1133" s="49" t="s">
        <v>2320</v>
      </c>
      <c r="C1133" s="50"/>
    </row>
    <row r="1134" customFormat="false" ht="15" hidden="false" customHeight="true" outlineLevel="2" collapsed="false">
      <c r="A1134" s="51" t="s">
        <v>1063</v>
      </c>
      <c r="B1134" s="52" t="s">
        <v>1064</v>
      </c>
      <c r="C1134" s="25"/>
    </row>
    <row r="1135" customFormat="false" ht="15" hidden="false" customHeight="true" outlineLevel="2" collapsed="false">
      <c r="A1135" s="51" t="s">
        <v>2321</v>
      </c>
      <c r="B1135" s="52" t="s">
        <v>2322</v>
      </c>
      <c r="C1135" s="53"/>
    </row>
    <row r="1136" customFormat="false" ht="15" hidden="false" customHeight="true" outlineLevel="3" collapsed="false">
      <c r="A1136" s="54" t="s">
        <v>1065</v>
      </c>
      <c r="B1136" s="55" t="s">
        <v>1066</v>
      </c>
      <c r="C1136" s="25"/>
    </row>
    <row r="1137" customFormat="false" ht="15" hidden="false" customHeight="true" outlineLevel="3" collapsed="false">
      <c r="A1137" s="54" t="s">
        <v>1067</v>
      </c>
      <c r="B1137" s="55" t="s">
        <v>1068</v>
      </c>
      <c r="C1137" s="25"/>
    </row>
    <row r="1138" customFormat="false" ht="15" hidden="false" customHeight="true" outlineLevel="3" collapsed="false">
      <c r="A1138" s="54" t="s">
        <v>1069</v>
      </c>
      <c r="B1138" s="55" t="s">
        <v>1070</v>
      </c>
      <c r="C1138" s="25"/>
    </row>
    <row r="1139" customFormat="false" ht="15" hidden="false" customHeight="true" outlineLevel="3" collapsed="false">
      <c r="A1139" s="54" t="s">
        <v>1071</v>
      </c>
      <c r="B1139" s="55" t="s">
        <v>1072</v>
      </c>
      <c r="C1139" s="25"/>
    </row>
    <row r="1140" customFormat="false" ht="15" hidden="false" customHeight="true" outlineLevel="2" collapsed="false">
      <c r="A1140" s="51" t="s">
        <v>1073</v>
      </c>
      <c r="B1140" s="52" t="s">
        <v>1074</v>
      </c>
      <c r="C1140" s="25"/>
    </row>
    <row r="1141" customFormat="false" ht="15" hidden="false" customHeight="true" outlineLevel="1" collapsed="false">
      <c r="A1141" s="49" t="s">
        <v>2323</v>
      </c>
      <c r="B1141" s="49" t="s">
        <v>2324</v>
      </c>
      <c r="C1141" s="50"/>
    </row>
    <row r="1142" customFormat="false" ht="15" hidden="false" customHeight="true" outlineLevel="2" collapsed="false">
      <c r="A1142" s="51" t="s">
        <v>1075</v>
      </c>
      <c r="B1142" s="52" t="s">
        <v>1076</v>
      </c>
      <c r="C1142" s="25"/>
    </row>
    <row r="1143" customFormat="false" ht="15" hidden="false" customHeight="true" outlineLevel="2" collapsed="false">
      <c r="A1143" s="51" t="s">
        <v>1077</v>
      </c>
      <c r="B1143" s="52" t="s">
        <v>1078</v>
      </c>
      <c r="C1143" s="25"/>
    </row>
    <row r="1144" customFormat="false" ht="15" hidden="false" customHeight="true" outlineLevel="2" collapsed="false">
      <c r="A1144" s="51" t="s">
        <v>2325</v>
      </c>
      <c r="B1144" s="52" t="s">
        <v>2326</v>
      </c>
      <c r="C1144" s="53"/>
    </row>
    <row r="1145" customFormat="false" ht="15" hidden="false" customHeight="true" outlineLevel="3" collapsed="false">
      <c r="A1145" s="54" t="s">
        <v>1079</v>
      </c>
      <c r="B1145" s="55" t="s">
        <v>1080</v>
      </c>
      <c r="C1145" s="25"/>
    </row>
    <row r="1146" customFormat="false" ht="15" hidden="false" customHeight="true" outlineLevel="3" collapsed="false">
      <c r="A1146" s="54" t="s">
        <v>1081</v>
      </c>
      <c r="B1146" s="55" t="s">
        <v>1082</v>
      </c>
      <c r="C1146" s="25"/>
    </row>
    <row r="1147" customFormat="false" ht="15" hidden="false" customHeight="true" outlineLevel="2" collapsed="false">
      <c r="A1147" s="51" t="s">
        <v>2327</v>
      </c>
      <c r="B1147" s="52" t="s">
        <v>2328</v>
      </c>
      <c r="C1147" s="53"/>
    </row>
    <row r="1148" customFormat="false" ht="15" hidden="false" customHeight="true" outlineLevel="3" collapsed="false">
      <c r="A1148" s="54" t="s">
        <v>1083</v>
      </c>
      <c r="B1148" s="55" t="s">
        <v>1080</v>
      </c>
      <c r="C1148" s="25"/>
    </row>
    <row r="1149" customFormat="false" ht="15" hidden="false" customHeight="true" outlineLevel="3" collapsed="false">
      <c r="A1149" s="54" t="s">
        <v>1084</v>
      </c>
      <c r="B1149" s="55" t="s">
        <v>1082</v>
      </c>
      <c r="C1149" s="25"/>
    </row>
    <row r="1150" customFormat="false" ht="15" hidden="false" customHeight="true" outlineLevel="2" collapsed="false">
      <c r="A1150" s="51" t="s">
        <v>2329</v>
      </c>
      <c r="B1150" s="52" t="s">
        <v>2330</v>
      </c>
      <c r="C1150" s="53"/>
    </row>
    <row r="1151" customFormat="false" ht="15" hidden="false" customHeight="true" outlineLevel="3" collapsed="false">
      <c r="A1151" s="54" t="s">
        <v>1085</v>
      </c>
      <c r="B1151" s="55" t="s">
        <v>1080</v>
      </c>
      <c r="C1151" s="25"/>
    </row>
    <row r="1152" customFormat="false" ht="15" hidden="false" customHeight="true" outlineLevel="3" collapsed="false">
      <c r="A1152" s="54" t="s">
        <v>1086</v>
      </c>
      <c r="B1152" s="55" t="s">
        <v>1082</v>
      </c>
      <c r="C1152" s="25"/>
    </row>
    <row r="1153" customFormat="false" ht="15" hidden="false" customHeight="true" outlineLevel="1" collapsed="false">
      <c r="A1153" s="49" t="s">
        <v>2331</v>
      </c>
      <c r="B1153" s="49" t="s">
        <v>2332</v>
      </c>
      <c r="C1153" s="50"/>
    </row>
    <row r="1154" customFormat="false" ht="15" hidden="false" customHeight="true" outlineLevel="2" collapsed="false">
      <c r="A1154" s="51" t="s">
        <v>2333</v>
      </c>
      <c r="B1154" s="52" t="s">
        <v>2334</v>
      </c>
      <c r="C1154" s="53"/>
    </row>
    <row r="1155" customFormat="false" ht="15" hidden="false" customHeight="true" outlineLevel="3" collapsed="false">
      <c r="A1155" s="54" t="s">
        <v>2335</v>
      </c>
      <c r="B1155" s="55" t="s">
        <v>1231</v>
      </c>
      <c r="C1155" s="56"/>
    </row>
    <row r="1156" customFormat="false" ht="15" hidden="false" customHeight="true" outlineLevel="4" collapsed="false">
      <c r="A1156" s="57" t="s">
        <v>1087</v>
      </c>
      <c r="B1156" s="58" t="s">
        <v>1088</v>
      </c>
      <c r="C1156" s="25"/>
    </row>
    <row r="1157" customFormat="false" ht="15" hidden="false" customHeight="true" outlineLevel="4" collapsed="false">
      <c r="A1157" s="57" t="s">
        <v>1089</v>
      </c>
      <c r="B1157" s="58" t="s">
        <v>1090</v>
      </c>
      <c r="C1157" s="25"/>
    </row>
    <row r="1158" customFormat="false" ht="15" hidden="false" customHeight="true" outlineLevel="3" collapsed="false">
      <c r="A1158" s="54" t="s">
        <v>2336</v>
      </c>
      <c r="B1158" s="55" t="s">
        <v>156</v>
      </c>
      <c r="C1158" s="56"/>
    </row>
    <row r="1159" customFormat="false" ht="15" hidden="false" customHeight="true" outlineLevel="4" collapsed="false">
      <c r="A1159" s="57" t="s">
        <v>1091</v>
      </c>
      <c r="B1159" s="58" t="s">
        <v>1088</v>
      </c>
      <c r="C1159" s="25"/>
    </row>
    <row r="1160" customFormat="false" ht="15" hidden="false" customHeight="true" outlineLevel="4" collapsed="false">
      <c r="A1160" s="57" t="s">
        <v>1092</v>
      </c>
      <c r="B1160" s="58" t="s">
        <v>1090</v>
      </c>
      <c r="C1160" s="25"/>
    </row>
    <row r="1161" customFormat="false" ht="15" hidden="false" customHeight="true" outlineLevel="3" collapsed="false">
      <c r="A1161" s="54" t="s">
        <v>1093</v>
      </c>
      <c r="B1161" s="55" t="s">
        <v>158</v>
      </c>
      <c r="C1161" s="25"/>
    </row>
    <row r="1162" customFormat="false" ht="15" hidden="false" customHeight="true" outlineLevel="3" collapsed="false">
      <c r="A1162" s="54" t="s">
        <v>1094</v>
      </c>
      <c r="B1162" s="55" t="s">
        <v>1095</v>
      </c>
      <c r="C1162" s="25"/>
    </row>
    <row r="1163" customFormat="false" ht="15" hidden="false" customHeight="true" outlineLevel="2" collapsed="false">
      <c r="A1163" s="51" t="s">
        <v>1096</v>
      </c>
      <c r="B1163" s="52" t="s">
        <v>1097</v>
      </c>
      <c r="C1163" s="25"/>
    </row>
    <row r="1164" customFormat="false" ht="15" hidden="false" customHeight="true" outlineLevel="2" collapsed="false">
      <c r="A1164" s="51" t="s">
        <v>1098</v>
      </c>
      <c r="B1164" s="52" t="s">
        <v>1099</v>
      </c>
      <c r="C1164" s="25"/>
    </row>
    <row r="1165" customFormat="false" ht="15" hidden="false" customHeight="true" outlineLevel="1" collapsed="false">
      <c r="A1165" s="49" t="s">
        <v>2337</v>
      </c>
      <c r="B1165" s="49" t="s">
        <v>2338</v>
      </c>
      <c r="C1165" s="50"/>
    </row>
    <row r="1166" customFormat="false" ht="15" hidden="false" customHeight="true" outlineLevel="2" collapsed="false">
      <c r="A1166" s="51" t="s">
        <v>1100</v>
      </c>
      <c r="B1166" s="52" t="s">
        <v>1101</v>
      </c>
      <c r="C1166" s="25"/>
    </row>
    <row r="1167" customFormat="false" ht="15" hidden="false" customHeight="true" outlineLevel="2" collapsed="false">
      <c r="A1167" s="51" t="s">
        <v>1102</v>
      </c>
      <c r="B1167" s="52" t="s">
        <v>1103</v>
      </c>
      <c r="C1167" s="25"/>
    </row>
    <row r="1168" customFormat="false" ht="15" hidden="false" customHeight="true" outlineLevel="2" collapsed="false">
      <c r="A1168" s="51" t="s">
        <v>1104</v>
      </c>
      <c r="B1168" s="52" t="s">
        <v>1105</v>
      </c>
      <c r="C1168" s="25"/>
    </row>
    <row r="1169" customFormat="false" ht="15" hidden="false" customHeight="true" outlineLevel="2" collapsed="false">
      <c r="A1169" s="51" t="s">
        <v>1106</v>
      </c>
      <c r="B1169" s="52" t="s">
        <v>1107</v>
      </c>
      <c r="C1169" s="25"/>
    </row>
    <row r="1170" customFormat="false" ht="15" hidden="false" customHeight="true" outlineLevel="2" collapsed="false">
      <c r="A1170" s="51" t="s">
        <v>1108</v>
      </c>
      <c r="B1170" s="52" t="s">
        <v>1109</v>
      </c>
      <c r="C1170" s="25"/>
    </row>
    <row r="1171" customFormat="false" ht="15" hidden="false" customHeight="true" outlineLevel="2" collapsed="false">
      <c r="A1171" s="51" t="s">
        <v>1110</v>
      </c>
      <c r="B1171" s="52" t="s">
        <v>1111</v>
      </c>
      <c r="C1171" s="25"/>
    </row>
    <row r="1172" customFormat="false" ht="15" hidden="false" customHeight="true" outlineLevel="1" collapsed="false">
      <c r="A1172" s="49" t="s">
        <v>2339</v>
      </c>
      <c r="B1172" s="49" t="s">
        <v>2340</v>
      </c>
      <c r="C1172" s="50"/>
    </row>
    <row r="1173" customFormat="false" ht="15" hidden="false" customHeight="true" outlineLevel="2" collapsed="false">
      <c r="A1173" s="51" t="s">
        <v>2341</v>
      </c>
      <c r="B1173" s="52" t="s">
        <v>2342</v>
      </c>
      <c r="C1173" s="53"/>
    </row>
    <row r="1174" customFormat="false" ht="15" hidden="false" customHeight="true" outlineLevel="3" collapsed="false">
      <c r="A1174" s="54" t="s">
        <v>1112</v>
      </c>
      <c r="B1174" s="55" t="s">
        <v>1113</v>
      </c>
      <c r="C1174" s="25"/>
    </row>
    <row r="1175" customFormat="false" ht="15" hidden="false" customHeight="true" outlineLevel="3" collapsed="false">
      <c r="A1175" s="54" t="s">
        <v>1114</v>
      </c>
      <c r="B1175" s="55" t="s">
        <v>1115</v>
      </c>
      <c r="C1175" s="25"/>
    </row>
    <row r="1176" customFormat="false" ht="15" hidden="false" customHeight="true" outlineLevel="2" collapsed="false">
      <c r="A1176" s="51" t="s">
        <v>2343</v>
      </c>
      <c r="B1176" s="52" t="s">
        <v>1117</v>
      </c>
      <c r="C1176" s="53"/>
    </row>
    <row r="1177" customFormat="false" ht="15" hidden="false" customHeight="true" outlineLevel="3" collapsed="false">
      <c r="A1177" s="54" t="s">
        <v>1116</v>
      </c>
      <c r="B1177" s="55" t="s">
        <v>1117</v>
      </c>
      <c r="C1177" s="25"/>
    </row>
    <row r="1178" customFormat="false" ht="15" hidden="false" customHeight="true" outlineLevel="3" collapsed="false">
      <c r="A1178" s="54" t="s">
        <v>1118</v>
      </c>
      <c r="B1178" s="55" t="s">
        <v>1119</v>
      </c>
      <c r="C1178" s="25"/>
    </row>
    <row r="1179" customFormat="false" ht="19.5" hidden="false" customHeight="true" outlineLevel="0" collapsed="false">
      <c r="A1179" s="48" t="s">
        <v>2344</v>
      </c>
      <c r="B1179" s="48"/>
      <c r="C1179" s="48"/>
    </row>
    <row r="1180" customFormat="false" ht="15" hidden="false" customHeight="true" outlineLevel="1" collapsed="false">
      <c r="A1180" s="49" t="s">
        <v>2345</v>
      </c>
      <c r="B1180" s="49" t="s">
        <v>2346</v>
      </c>
      <c r="C1180" s="50"/>
    </row>
    <row r="1181" customFormat="false" ht="15" hidden="false" customHeight="true" outlineLevel="2" collapsed="false">
      <c r="A1181" s="51" t="s">
        <v>2347</v>
      </c>
      <c r="B1181" s="52" t="s">
        <v>407</v>
      </c>
      <c r="C1181" s="53"/>
    </row>
    <row r="1182" customFormat="false" ht="15" hidden="false" customHeight="true" outlineLevel="3" collapsed="false">
      <c r="A1182" s="54" t="s">
        <v>1120</v>
      </c>
      <c r="B1182" s="55" t="s">
        <v>407</v>
      </c>
      <c r="C1182" s="25"/>
    </row>
    <row r="1183" customFormat="false" ht="15" hidden="false" customHeight="true" outlineLevel="2" collapsed="false">
      <c r="A1183" s="51" t="s">
        <v>1122</v>
      </c>
      <c r="B1183" s="52" t="s">
        <v>409</v>
      </c>
      <c r="C1183" s="25"/>
    </row>
    <row r="1184" customFormat="false" ht="15" hidden="false" customHeight="true" outlineLevel="2" collapsed="false">
      <c r="A1184" s="51" t="s">
        <v>2348</v>
      </c>
      <c r="B1184" s="52" t="s">
        <v>411</v>
      </c>
      <c r="C1184" s="53"/>
    </row>
    <row r="1185" customFormat="false" ht="15" hidden="false" customHeight="true" outlineLevel="3" collapsed="false">
      <c r="A1185" s="54" t="s">
        <v>1123</v>
      </c>
      <c r="B1185" s="55" t="s">
        <v>263</v>
      </c>
      <c r="C1185" s="25"/>
    </row>
    <row r="1186" customFormat="false" ht="15" hidden="false" customHeight="true" outlineLevel="3" collapsed="false">
      <c r="A1186" s="54" t="s">
        <v>1124</v>
      </c>
      <c r="B1186" s="55" t="s">
        <v>427</v>
      </c>
      <c r="C1186" s="25"/>
    </row>
    <row r="1187" customFormat="false" ht="15" hidden="false" customHeight="true" outlineLevel="3" collapsed="false">
      <c r="A1187" s="54" t="s">
        <v>1125</v>
      </c>
      <c r="B1187" s="55" t="s">
        <v>273</v>
      </c>
      <c r="C1187" s="25"/>
    </row>
    <row r="1188" customFormat="false" ht="15" hidden="false" customHeight="true" outlineLevel="2" collapsed="false">
      <c r="A1188" s="51" t="s">
        <v>2349</v>
      </c>
      <c r="B1188" s="52" t="s">
        <v>413</v>
      </c>
      <c r="C1188" s="53"/>
    </row>
    <row r="1189" customFormat="false" ht="15" hidden="false" customHeight="true" outlineLevel="3" collapsed="false">
      <c r="A1189" s="54" t="s">
        <v>1126</v>
      </c>
      <c r="B1189" s="55" t="s">
        <v>275</v>
      </c>
      <c r="C1189" s="25"/>
    </row>
    <row r="1190" customFormat="false" ht="15" hidden="false" customHeight="true" outlineLevel="3" collapsed="false">
      <c r="A1190" s="54" t="s">
        <v>1127</v>
      </c>
      <c r="B1190" s="55" t="s">
        <v>277</v>
      </c>
      <c r="C1190" s="25"/>
    </row>
    <row r="1191" customFormat="false" ht="15" hidden="false" customHeight="true" outlineLevel="2" collapsed="false">
      <c r="A1191" s="51" t="s">
        <v>2350</v>
      </c>
      <c r="B1191" s="52" t="s">
        <v>2351</v>
      </c>
      <c r="C1191" s="53"/>
    </row>
    <row r="1192" customFormat="false" ht="15" hidden="false" customHeight="true" outlineLevel="3" collapsed="false">
      <c r="A1192" s="54" t="s">
        <v>2352</v>
      </c>
      <c r="B1192" s="55" t="s">
        <v>2353</v>
      </c>
      <c r="C1192" s="56"/>
    </row>
    <row r="1193" customFormat="false" ht="15" hidden="false" customHeight="true" outlineLevel="4" collapsed="false">
      <c r="A1193" s="57" t="s">
        <v>1128</v>
      </c>
      <c r="B1193" s="58" t="s">
        <v>1129</v>
      </c>
      <c r="C1193" s="25"/>
    </row>
    <row r="1194" customFormat="false" ht="15" hidden="false" customHeight="true" outlineLevel="4" collapsed="false">
      <c r="A1194" s="57" t="s">
        <v>1130</v>
      </c>
      <c r="B1194" s="58" t="s">
        <v>205</v>
      </c>
      <c r="C1194" s="25"/>
    </row>
    <row r="1195" customFormat="false" ht="15" hidden="false" customHeight="true" outlineLevel="4" collapsed="false">
      <c r="A1195" s="57" t="s">
        <v>1131</v>
      </c>
      <c r="B1195" s="58" t="s">
        <v>1132</v>
      </c>
      <c r="C1195" s="25"/>
    </row>
    <row r="1196" customFormat="false" ht="15" hidden="false" customHeight="true" outlineLevel="4" collapsed="false">
      <c r="A1196" s="57" t="s">
        <v>1133</v>
      </c>
      <c r="B1196" s="58" t="s">
        <v>1134</v>
      </c>
      <c r="C1196" s="25"/>
    </row>
    <row r="1197" customFormat="false" ht="15" hidden="false" customHeight="true" outlineLevel="4" collapsed="false">
      <c r="A1197" s="57" t="s">
        <v>1135</v>
      </c>
      <c r="B1197" s="58" t="s">
        <v>1136</v>
      </c>
      <c r="C1197" s="25"/>
    </row>
    <row r="1198" customFormat="false" ht="15" hidden="false" customHeight="true" outlineLevel="3" collapsed="false">
      <c r="A1198" s="54" t="s">
        <v>2354</v>
      </c>
      <c r="B1198" s="55" t="s">
        <v>2355</v>
      </c>
      <c r="C1198" s="56"/>
    </row>
    <row r="1199" customFormat="false" ht="15" hidden="false" customHeight="true" outlineLevel="4" collapsed="false">
      <c r="A1199" s="57" t="s">
        <v>1137</v>
      </c>
      <c r="B1199" s="58" t="s">
        <v>1129</v>
      </c>
      <c r="C1199" s="25"/>
    </row>
    <row r="1200" customFormat="false" ht="15" hidden="false" customHeight="true" outlineLevel="4" collapsed="false">
      <c r="A1200" s="57" t="s">
        <v>1138</v>
      </c>
      <c r="B1200" s="58" t="s">
        <v>205</v>
      </c>
      <c r="C1200" s="25"/>
    </row>
    <row r="1201" customFormat="false" ht="15" hidden="false" customHeight="true" outlineLevel="4" collapsed="false">
      <c r="A1201" s="57" t="s">
        <v>1139</v>
      </c>
      <c r="B1201" s="58" t="s">
        <v>1132</v>
      </c>
      <c r="C1201" s="25"/>
    </row>
    <row r="1202" customFormat="false" ht="15" hidden="false" customHeight="true" outlineLevel="4" collapsed="false">
      <c r="A1202" s="57" t="s">
        <v>1140</v>
      </c>
      <c r="B1202" s="58" t="s">
        <v>1134</v>
      </c>
      <c r="C1202" s="25"/>
    </row>
    <row r="1203" customFormat="false" ht="15" hidden="false" customHeight="true" outlineLevel="4" collapsed="false">
      <c r="A1203" s="57" t="s">
        <v>1141</v>
      </c>
      <c r="B1203" s="58" t="s">
        <v>1136</v>
      </c>
      <c r="C1203" s="25"/>
    </row>
    <row r="1204" customFormat="false" ht="15" hidden="false" customHeight="true" outlineLevel="3" collapsed="false">
      <c r="A1204" s="54" t="s">
        <v>2356</v>
      </c>
      <c r="B1204" s="55" t="s">
        <v>2357</v>
      </c>
      <c r="C1204" s="56"/>
    </row>
    <row r="1205" customFormat="false" ht="15" hidden="false" customHeight="true" outlineLevel="4" collapsed="false">
      <c r="A1205" s="57" t="s">
        <v>1142</v>
      </c>
      <c r="B1205" s="58" t="s">
        <v>1129</v>
      </c>
      <c r="C1205" s="25"/>
    </row>
    <row r="1206" customFormat="false" ht="15" hidden="false" customHeight="true" outlineLevel="4" collapsed="false">
      <c r="A1206" s="57" t="s">
        <v>1143</v>
      </c>
      <c r="B1206" s="58" t="s">
        <v>205</v>
      </c>
      <c r="C1206" s="25"/>
    </row>
    <row r="1207" customFormat="false" ht="15" hidden="false" customHeight="true" outlineLevel="4" collapsed="false">
      <c r="A1207" s="57" t="s">
        <v>1144</v>
      </c>
      <c r="B1207" s="58" t="s">
        <v>1132</v>
      </c>
      <c r="C1207" s="25"/>
    </row>
    <row r="1208" customFormat="false" ht="15" hidden="false" customHeight="true" outlineLevel="4" collapsed="false">
      <c r="A1208" s="57" t="s">
        <v>1145</v>
      </c>
      <c r="B1208" s="58" t="s">
        <v>1134</v>
      </c>
      <c r="C1208" s="25"/>
    </row>
    <row r="1209" customFormat="false" ht="15" hidden="false" customHeight="true" outlineLevel="4" collapsed="false">
      <c r="A1209" s="57" t="s">
        <v>1146</v>
      </c>
      <c r="B1209" s="58" t="s">
        <v>1136</v>
      </c>
      <c r="C1209" s="25"/>
    </row>
    <row r="1210" customFormat="false" ht="15" hidden="false" customHeight="true" outlineLevel="3" collapsed="false">
      <c r="A1210" s="54" t="s">
        <v>2358</v>
      </c>
      <c r="B1210" s="55" t="s">
        <v>2359</v>
      </c>
      <c r="C1210" s="56"/>
    </row>
    <row r="1211" customFormat="false" ht="15" hidden="false" customHeight="true" outlineLevel="4" collapsed="false">
      <c r="A1211" s="57" t="s">
        <v>1147</v>
      </c>
      <c r="B1211" s="58" t="s">
        <v>1129</v>
      </c>
      <c r="C1211" s="25"/>
    </row>
    <row r="1212" customFormat="false" ht="15" hidden="false" customHeight="true" outlineLevel="4" collapsed="false">
      <c r="A1212" s="57" t="s">
        <v>1148</v>
      </c>
      <c r="B1212" s="58" t="s">
        <v>205</v>
      </c>
      <c r="C1212" s="25"/>
    </row>
    <row r="1213" customFormat="false" ht="15" hidden="false" customHeight="true" outlineLevel="4" collapsed="false">
      <c r="A1213" s="57" t="s">
        <v>1149</v>
      </c>
      <c r="B1213" s="58" t="s">
        <v>1132</v>
      </c>
      <c r="C1213" s="25"/>
    </row>
    <row r="1214" customFormat="false" ht="15" hidden="false" customHeight="true" outlineLevel="4" collapsed="false">
      <c r="A1214" s="57" t="s">
        <v>1150</v>
      </c>
      <c r="B1214" s="58" t="s">
        <v>1134</v>
      </c>
      <c r="C1214" s="25"/>
    </row>
    <row r="1215" customFormat="false" ht="15" hidden="false" customHeight="true" outlineLevel="4" collapsed="false">
      <c r="A1215" s="57" t="s">
        <v>1151</v>
      </c>
      <c r="B1215" s="58" t="s">
        <v>1136</v>
      </c>
      <c r="C1215" s="25"/>
    </row>
    <row r="1216" customFormat="false" ht="15" hidden="false" customHeight="true" outlineLevel="1" collapsed="false">
      <c r="A1216" s="49" t="s">
        <v>2360</v>
      </c>
      <c r="B1216" s="49" t="s">
        <v>2361</v>
      </c>
      <c r="C1216" s="50"/>
    </row>
    <row r="1217" customFormat="false" ht="15" hidden="false" customHeight="true" outlineLevel="2" collapsed="false">
      <c r="A1217" s="51" t="s">
        <v>2362</v>
      </c>
      <c r="B1217" s="52" t="s">
        <v>407</v>
      </c>
      <c r="C1217" s="53"/>
    </row>
    <row r="1218" customFormat="false" ht="15" hidden="false" customHeight="true" outlineLevel="3" collapsed="false">
      <c r="A1218" s="54" t="s">
        <v>1152</v>
      </c>
      <c r="B1218" s="55" t="s">
        <v>407</v>
      </c>
      <c r="C1218" s="25"/>
    </row>
    <row r="1219" customFormat="false" ht="15" hidden="false" customHeight="true" outlineLevel="2" collapsed="false">
      <c r="A1219" s="51" t="s">
        <v>2363</v>
      </c>
      <c r="B1219" s="52" t="s">
        <v>409</v>
      </c>
      <c r="C1219" s="53"/>
    </row>
    <row r="1220" customFormat="false" ht="15" hidden="false" customHeight="true" outlineLevel="3" collapsed="false">
      <c r="A1220" s="54" t="s">
        <v>1153</v>
      </c>
      <c r="B1220" s="55" t="s">
        <v>409</v>
      </c>
      <c r="C1220" s="25"/>
    </row>
    <row r="1221" customFormat="false" ht="15" hidden="false" customHeight="true" outlineLevel="2" collapsed="false">
      <c r="A1221" s="51" t="s">
        <v>2364</v>
      </c>
      <c r="B1221" s="52" t="s">
        <v>411</v>
      </c>
      <c r="C1221" s="53"/>
    </row>
    <row r="1222" customFormat="false" ht="15" hidden="false" customHeight="true" outlineLevel="3" collapsed="false">
      <c r="A1222" s="54" t="s">
        <v>1154</v>
      </c>
      <c r="B1222" s="55" t="s">
        <v>263</v>
      </c>
      <c r="C1222" s="25"/>
    </row>
    <row r="1223" customFormat="false" ht="15" hidden="false" customHeight="true" outlineLevel="3" collapsed="false">
      <c r="A1223" s="54" t="s">
        <v>1155</v>
      </c>
      <c r="B1223" s="55" t="s">
        <v>427</v>
      </c>
      <c r="C1223" s="25"/>
    </row>
    <row r="1224" customFormat="false" ht="15" hidden="false" customHeight="true" outlineLevel="3" collapsed="false">
      <c r="A1224" s="54" t="s">
        <v>1156</v>
      </c>
      <c r="B1224" s="55" t="s">
        <v>273</v>
      </c>
      <c r="C1224" s="25"/>
    </row>
    <row r="1225" customFormat="false" ht="15" hidden="false" customHeight="true" outlineLevel="2" collapsed="false">
      <c r="A1225" s="51" t="s">
        <v>2365</v>
      </c>
      <c r="B1225" s="52" t="s">
        <v>413</v>
      </c>
      <c r="C1225" s="53"/>
    </row>
    <row r="1226" customFormat="false" ht="15" hidden="false" customHeight="true" outlineLevel="3" collapsed="false">
      <c r="A1226" s="54" t="s">
        <v>1157</v>
      </c>
      <c r="B1226" s="55" t="s">
        <v>275</v>
      </c>
      <c r="C1226" s="25"/>
    </row>
    <row r="1227" customFormat="false" ht="15" hidden="false" customHeight="true" outlineLevel="3" collapsed="false">
      <c r="A1227" s="54" t="s">
        <v>1158</v>
      </c>
      <c r="B1227" s="55" t="s">
        <v>277</v>
      </c>
      <c r="C1227" s="25"/>
    </row>
    <row r="1228" customFormat="false" ht="15" hidden="false" customHeight="true" outlineLevel="1" collapsed="false">
      <c r="A1228" s="49" t="s">
        <v>2366</v>
      </c>
      <c r="B1228" s="49" t="s">
        <v>2367</v>
      </c>
      <c r="C1228" s="50"/>
    </row>
    <row r="1229" customFormat="false" ht="15" hidden="false" customHeight="true" outlineLevel="2" collapsed="false">
      <c r="A1229" s="51" t="s">
        <v>2368</v>
      </c>
      <c r="B1229" s="52" t="s">
        <v>2369</v>
      </c>
      <c r="C1229" s="53"/>
    </row>
    <row r="1230" customFormat="false" ht="15" hidden="false" customHeight="true" outlineLevel="3" collapsed="false">
      <c r="A1230" s="54" t="s">
        <v>1159</v>
      </c>
      <c r="B1230" s="55" t="s">
        <v>1160</v>
      </c>
      <c r="C1230" s="25"/>
    </row>
    <row r="1231" customFormat="false" ht="15" hidden="false" customHeight="true" outlineLevel="3" collapsed="false">
      <c r="A1231" s="54" t="s">
        <v>1161</v>
      </c>
      <c r="B1231" s="55" t="s">
        <v>1134</v>
      </c>
      <c r="C1231" s="25"/>
    </row>
    <row r="1232" customFormat="false" ht="15" hidden="false" customHeight="true" outlineLevel="3" collapsed="false">
      <c r="A1232" s="54" t="s">
        <v>1162</v>
      </c>
      <c r="B1232" s="55" t="s">
        <v>1163</v>
      </c>
      <c r="C1232" s="25"/>
    </row>
    <row r="1233" customFormat="false" ht="15" hidden="false" customHeight="true" outlineLevel="3" collapsed="false">
      <c r="A1233" s="54" t="s">
        <v>1164</v>
      </c>
      <c r="B1233" s="55" t="s">
        <v>1165</v>
      </c>
      <c r="C1233" s="25"/>
    </row>
    <row r="1234" customFormat="false" ht="15" hidden="false" customHeight="true" outlineLevel="3" collapsed="false">
      <c r="A1234" s="54" t="s">
        <v>1166</v>
      </c>
      <c r="B1234" s="55" t="s">
        <v>1167</v>
      </c>
      <c r="C1234" s="25"/>
    </row>
    <row r="1235" customFormat="false" ht="15" hidden="false" customHeight="true" outlineLevel="2" collapsed="false">
      <c r="A1235" s="51" t="s">
        <v>1168</v>
      </c>
      <c r="B1235" s="52" t="s">
        <v>1169</v>
      </c>
      <c r="C1235" s="25"/>
    </row>
    <row r="1236" customFormat="false" ht="15" hidden="false" customHeight="true" outlineLevel="2" collapsed="false">
      <c r="A1236" s="51" t="s">
        <v>1170</v>
      </c>
      <c r="B1236" s="52" t="s">
        <v>1171</v>
      </c>
      <c r="C1236" s="25"/>
    </row>
    <row r="1237" customFormat="false" ht="15" hidden="false" customHeight="true" outlineLevel="2" collapsed="false">
      <c r="A1237" s="51" t="s">
        <v>1172</v>
      </c>
      <c r="B1237" s="52" t="s">
        <v>1173</v>
      </c>
      <c r="C1237" s="25"/>
    </row>
    <row r="1238" customFormat="false" ht="15" hidden="false" customHeight="true" outlineLevel="2" collapsed="false">
      <c r="A1238" s="51" t="s">
        <v>1174</v>
      </c>
      <c r="B1238" s="52" t="s">
        <v>1175</v>
      </c>
      <c r="C1238" s="25"/>
    </row>
    <row r="1239" customFormat="false" ht="15" hidden="false" customHeight="true" outlineLevel="2" collapsed="false">
      <c r="A1239" s="51" t="s">
        <v>2370</v>
      </c>
      <c r="B1239" s="52" t="s">
        <v>2371</v>
      </c>
      <c r="C1239" s="53"/>
    </row>
    <row r="1240" customFormat="false" ht="15" hidden="false" customHeight="true" outlineLevel="3" collapsed="false">
      <c r="A1240" s="54" t="s">
        <v>1176</v>
      </c>
      <c r="B1240" s="55" t="s">
        <v>1177</v>
      </c>
      <c r="C1240" s="25"/>
    </row>
    <row r="1241" customFormat="false" ht="15" hidden="false" customHeight="true" outlineLevel="3" collapsed="false">
      <c r="A1241" s="54" t="s">
        <v>1178</v>
      </c>
      <c r="B1241" s="55" t="s">
        <v>1179</v>
      </c>
      <c r="C1241" s="25"/>
    </row>
    <row r="1242" customFormat="false" ht="15" hidden="false" customHeight="true" outlineLevel="3" collapsed="false">
      <c r="A1242" s="54" t="s">
        <v>1180</v>
      </c>
      <c r="B1242" s="55" t="s">
        <v>1181</v>
      </c>
      <c r="C1242" s="25"/>
    </row>
    <row r="1243" customFormat="false" ht="15" hidden="false" customHeight="true" outlineLevel="3" collapsed="false">
      <c r="A1243" s="54" t="s">
        <v>1182</v>
      </c>
      <c r="B1243" s="55" t="s">
        <v>1183</v>
      </c>
      <c r="C1243" s="25"/>
    </row>
    <row r="1244" customFormat="false" ht="15" hidden="false" customHeight="true" outlineLevel="3" collapsed="false">
      <c r="A1244" s="54" t="s">
        <v>1184</v>
      </c>
      <c r="B1244" s="55" t="s">
        <v>1185</v>
      </c>
      <c r="C1244" s="25"/>
    </row>
    <row r="1245" customFormat="false" ht="15" hidden="false" customHeight="true" outlineLevel="3" collapsed="false">
      <c r="A1245" s="54" t="s">
        <v>1186</v>
      </c>
      <c r="B1245" s="55" t="s">
        <v>1187</v>
      </c>
      <c r="C1245" s="25"/>
    </row>
    <row r="1246" customFormat="false" ht="15" hidden="false" customHeight="true" outlineLevel="3" collapsed="false">
      <c r="A1246" s="54" t="s">
        <v>1188</v>
      </c>
      <c r="B1246" s="55" t="s">
        <v>1189</v>
      </c>
      <c r="C1246" s="25"/>
    </row>
    <row r="1247" customFormat="false" ht="15" hidden="false" customHeight="true" outlineLevel="2" collapsed="false">
      <c r="A1247" s="51" t="s">
        <v>1190</v>
      </c>
      <c r="B1247" s="52" t="s">
        <v>1191</v>
      </c>
      <c r="C1247" s="25"/>
    </row>
    <row r="1248" customFormat="false" ht="15" hidden="false" customHeight="true" outlineLevel="2" collapsed="false">
      <c r="A1248" s="51" t="s">
        <v>2372</v>
      </c>
      <c r="B1248" s="52" t="s">
        <v>2373</v>
      </c>
      <c r="C1248" s="53"/>
    </row>
    <row r="1249" customFormat="false" ht="15" hidden="false" customHeight="true" outlineLevel="3" collapsed="false">
      <c r="A1249" s="54" t="s">
        <v>1192</v>
      </c>
      <c r="B1249" s="55" t="s">
        <v>1193</v>
      </c>
      <c r="C1249" s="25"/>
    </row>
    <row r="1250" customFormat="false" ht="15" hidden="false" customHeight="true" outlineLevel="3" collapsed="false">
      <c r="A1250" s="54" t="s">
        <v>1194</v>
      </c>
      <c r="B1250" s="55" t="s">
        <v>916</v>
      </c>
      <c r="C1250" s="25"/>
    </row>
    <row r="1251" customFormat="false" ht="15" hidden="false" customHeight="true" outlineLevel="3" collapsed="false">
      <c r="A1251" s="54" t="s">
        <v>1195</v>
      </c>
      <c r="B1251" s="55" t="s">
        <v>1196</v>
      </c>
      <c r="C1251" s="25"/>
    </row>
    <row r="1252" customFormat="false" ht="15" hidden="false" customHeight="true" outlineLevel="3" collapsed="false">
      <c r="A1252" s="54" t="s">
        <v>2374</v>
      </c>
      <c r="B1252" s="55" t="s">
        <v>2375</v>
      </c>
      <c r="C1252" s="56"/>
    </row>
    <row r="1253" customFormat="false" ht="15" hidden="false" customHeight="true" outlineLevel="4" collapsed="false">
      <c r="A1253" s="57" t="s">
        <v>1197</v>
      </c>
      <c r="B1253" s="58" t="s">
        <v>1198</v>
      </c>
      <c r="C1253" s="25"/>
    </row>
    <row r="1254" customFormat="false" ht="15" hidden="false" customHeight="true" outlineLevel="4" collapsed="false">
      <c r="A1254" s="57" t="s">
        <v>1199</v>
      </c>
      <c r="B1254" s="58" t="s">
        <v>1200</v>
      </c>
      <c r="C1254" s="25"/>
    </row>
    <row r="1255" customFormat="false" ht="15" hidden="false" customHeight="true" outlineLevel="1" collapsed="false">
      <c r="A1255" s="49" t="s">
        <v>2376</v>
      </c>
      <c r="B1255" s="49" t="s">
        <v>2377</v>
      </c>
      <c r="C1255" s="50"/>
    </row>
    <row r="1256" customFormat="false" ht="15" hidden="false" customHeight="true" outlineLevel="2" collapsed="false">
      <c r="A1256" s="51" t="s">
        <v>2378</v>
      </c>
      <c r="B1256" s="52" t="s">
        <v>2379</v>
      </c>
      <c r="C1256" s="53"/>
    </row>
    <row r="1257" customFormat="false" ht="15" hidden="false" customHeight="true" outlineLevel="3" collapsed="false">
      <c r="A1257" s="54" t="s">
        <v>2380</v>
      </c>
      <c r="B1257" s="55" t="s">
        <v>1129</v>
      </c>
      <c r="C1257" s="56"/>
    </row>
    <row r="1258" customFormat="false" ht="15" hidden="false" customHeight="true" outlineLevel="4" collapsed="false">
      <c r="A1258" s="57" t="s">
        <v>1201</v>
      </c>
      <c r="B1258" s="58" t="s">
        <v>1202</v>
      </c>
      <c r="C1258" s="25"/>
    </row>
    <row r="1259" customFormat="false" ht="15" hidden="false" customHeight="true" outlineLevel="4" collapsed="false">
      <c r="A1259" s="57" t="s">
        <v>1203</v>
      </c>
      <c r="B1259" s="58" t="s">
        <v>1204</v>
      </c>
      <c r="C1259" s="25"/>
    </row>
    <row r="1260" customFormat="false" ht="15" hidden="false" customHeight="true" outlineLevel="3" collapsed="false">
      <c r="A1260" s="54" t="s">
        <v>1205</v>
      </c>
      <c r="B1260" s="55" t="s">
        <v>1206</v>
      </c>
      <c r="C1260" s="25"/>
    </row>
    <row r="1261" customFormat="false" ht="15" hidden="false" customHeight="true" outlineLevel="3" collapsed="false">
      <c r="A1261" s="54" t="s">
        <v>1207</v>
      </c>
      <c r="B1261" s="55" t="s">
        <v>1208</v>
      </c>
      <c r="C1261" s="25"/>
    </row>
    <row r="1262" customFormat="false" ht="15" hidden="false" customHeight="true" outlineLevel="3" collapsed="false">
      <c r="A1262" s="54" t="s">
        <v>1209</v>
      </c>
      <c r="B1262" s="55" t="s">
        <v>1210</v>
      </c>
      <c r="C1262" s="25"/>
    </row>
    <row r="1263" customFormat="false" ht="15" hidden="false" customHeight="true" outlineLevel="3" collapsed="false">
      <c r="A1263" s="54" t="s">
        <v>1211</v>
      </c>
      <c r="B1263" s="55" t="s">
        <v>1212</v>
      </c>
      <c r="C1263" s="25"/>
    </row>
    <row r="1264" customFormat="false" ht="15" hidden="false" customHeight="true" outlineLevel="2" collapsed="false">
      <c r="A1264" s="51" t="s">
        <v>2381</v>
      </c>
      <c r="B1264" s="52" t="s">
        <v>2382</v>
      </c>
      <c r="C1264" s="53"/>
    </row>
    <row r="1265" customFormat="false" ht="15" hidden="false" customHeight="true" outlineLevel="3" collapsed="false">
      <c r="A1265" s="54" t="s">
        <v>1213</v>
      </c>
      <c r="B1265" s="55" t="s">
        <v>1214</v>
      </c>
      <c r="C1265" s="25"/>
    </row>
    <row r="1266" customFormat="false" ht="15" hidden="false" customHeight="true" outlineLevel="3" collapsed="false">
      <c r="A1266" s="54" t="s">
        <v>1215</v>
      </c>
      <c r="B1266" s="55" t="s">
        <v>1216</v>
      </c>
      <c r="C1266" s="25"/>
    </row>
    <row r="1267" customFormat="false" ht="15" hidden="false" customHeight="true" outlineLevel="3" collapsed="false">
      <c r="A1267" s="54" t="s">
        <v>1217</v>
      </c>
      <c r="B1267" s="55" t="s">
        <v>1218</v>
      </c>
      <c r="C1267" s="25"/>
    </row>
    <row r="1268" customFormat="false" ht="15" hidden="false" customHeight="true" outlineLevel="3" collapsed="false">
      <c r="A1268" s="54" t="s">
        <v>1219</v>
      </c>
      <c r="B1268" s="55" t="s">
        <v>1220</v>
      </c>
      <c r="C1268" s="25"/>
    </row>
    <row r="1269" customFormat="false" ht="15" hidden="false" customHeight="true" outlineLevel="3" collapsed="false">
      <c r="A1269" s="54" t="s">
        <v>1221</v>
      </c>
      <c r="B1269" s="55" t="s">
        <v>1222</v>
      </c>
      <c r="C1269" s="25"/>
    </row>
    <row r="1270" customFormat="false" ht="15" hidden="false" customHeight="true" outlineLevel="3" collapsed="false">
      <c r="A1270" s="54" t="s">
        <v>1223</v>
      </c>
      <c r="B1270" s="55" t="s">
        <v>1224</v>
      </c>
      <c r="C1270" s="25"/>
    </row>
    <row r="1271" customFormat="false" ht="15" hidden="false" customHeight="true" outlineLevel="3" collapsed="false">
      <c r="A1271" s="54" t="s">
        <v>1225</v>
      </c>
      <c r="B1271" s="55" t="s">
        <v>1226</v>
      </c>
      <c r="C1271" s="25"/>
    </row>
    <row r="1272" customFormat="false" ht="15" hidden="false" customHeight="true" outlineLevel="3" collapsed="false">
      <c r="A1272" s="54" t="s">
        <v>1227</v>
      </c>
      <c r="B1272" s="55" t="s">
        <v>736</v>
      </c>
      <c r="C1272" s="25"/>
    </row>
    <row r="1273" customFormat="false" ht="15" hidden="false" customHeight="true" outlineLevel="2" collapsed="false">
      <c r="A1273" s="51" t="s">
        <v>1228</v>
      </c>
      <c r="B1273" s="52" t="s">
        <v>1229</v>
      </c>
      <c r="C1273" s="25"/>
    </row>
    <row r="1274" customFormat="false" ht="15" hidden="false" customHeight="true" outlineLevel="2" collapsed="false">
      <c r="A1274" s="51" t="s">
        <v>2383</v>
      </c>
      <c r="B1274" s="52" t="s">
        <v>2384</v>
      </c>
      <c r="C1274" s="53"/>
    </row>
    <row r="1275" customFormat="false" ht="15" hidden="false" customHeight="true" outlineLevel="3" collapsed="false">
      <c r="A1275" s="54" t="s">
        <v>1230</v>
      </c>
      <c r="B1275" s="55" t="s">
        <v>1231</v>
      </c>
      <c r="C1275" s="25"/>
    </row>
    <row r="1276" customFormat="false" ht="15" hidden="false" customHeight="true" outlineLevel="3" collapsed="false">
      <c r="A1276" s="54" t="s">
        <v>2385</v>
      </c>
      <c r="B1276" s="55" t="s">
        <v>2386</v>
      </c>
      <c r="C1276" s="56"/>
    </row>
    <row r="1277" customFormat="false" ht="15" hidden="false" customHeight="true" outlineLevel="4" collapsed="false">
      <c r="A1277" s="57" t="s">
        <v>1232</v>
      </c>
      <c r="B1277" s="58" t="s">
        <v>1233</v>
      </c>
      <c r="C1277" s="25"/>
    </row>
    <row r="1278" customFormat="false" ht="15" hidden="false" customHeight="true" outlineLevel="4" collapsed="false">
      <c r="A1278" s="57" t="s">
        <v>1234</v>
      </c>
      <c r="B1278" s="58" t="s">
        <v>1235</v>
      </c>
      <c r="C1278" s="25"/>
    </row>
    <row r="1279" customFormat="false" ht="15" hidden="false" customHeight="true" outlineLevel="3" collapsed="false">
      <c r="A1279" s="54" t="s">
        <v>1236</v>
      </c>
      <c r="B1279" s="55" t="s">
        <v>156</v>
      </c>
      <c r="C1279" s="25"/>
    </row>
    <row r="1280" customFormat="false" ht="15" hidden="false" customHeight="true" outlineLevel="3" collapsed="false">
      <c r="A1280" s="54" t="s">
        <v>1237</v>
      </c>
      <c r="B1280" s="55" t="s">
        <v>158</v>
      </c>
      <c r="C1280" s="25"/>
    </row>
    <row r="1281" customFormat="false" ht="15" hidden="false" customHeight="true" outlineLevel="3" collapsed="false">
      <c r="A1281" s="54" t="s">
        <v>1238</v>
      </c>
      <c r="B1281" s="55" t="s">
        <v>160</v>
      </c>
      <c r="C1281" s="25"/>
    </row>
    <row r="1282" customFormat="false" ht="15" hidden="false" customHeight="true" outlineLevel="2" collapsed="false">
      <c r="A1282" s="51" t="s">
        <v>2387</v>
      </c>
      <c r="B1282" s="52" t="s">
        <v>207</v>
      </c>
      <c r="C1282" s="53"/>
    </row>
    <row r="1283" customFormat="false" ht="15" hidden="false" customHeight="true" outlineLevel="3" collapsed="false">
      <c r="A1283" s="54" t="s">
        <v>1239</v>
      </c>
      <c r="B1283" s="55" t="s">
        <v>372</v>
      </c>
      <c r="C1283" s="25"/>
    </row>
    <row r="1284" customFormat="false" ht="15" hidden="false" customHeight="true" outlineLevel="3" collapsed="false">
      <c r="A1284" s="54" t="s">
        <v>1240</v>
      </c>
      <c r="B1284" s="55" t="s">
        <v>374</v>
      </c>
      <c r="C1284" s="25"/>
    </row>
    <row r="1285" customFormat="false" ht="15" hidden="false" customHeight="true" outlineLevel="3" collapsed="false">
      <c r="A1285" s="54" t="s">
        <v>1241</v>
      </c>
      <c r="B1285" s="55" t="s">
        <v>381</v>
      </c>
      <c r="C1285" s="25"/>
    </row>
    <row r="1286" customFormat="false" ht="15" hidden="false" customHeight="true" outlineLevel="3" collapsed="false">
      <c r="A1286" s="54" t="s">
        <v>1242</v>
      </c>
      <c r="B1286" s="55" t="s">
        <v>569</v>
      </c>
      <c r="C1286" s="25"/>
    </row>
    <row r="1287" customFormat="false" ht="15" hidden="false" customHeight="true" outlineLevel="3" collapsed="false">
      <c r="A1287" s="54" t="s">
        <v>1243</v>
      </c>
      <c r="B1287" s="55" t="s">
        <v>385</v>
      </c>
      <c r="C1287" s="25"/>
    </row>
    <row r="1288" customFormat="false" ht="15" hidden="false" customHeight="true" outlineLevel="3" collapsed="false">
      <c r="A1288" s="54" t="s">
        <v>1244</v>
      </c>
      <c r="B1288" s="55" t="s">
        <v>387</v>
      </c>
      <c r="C1288" s="25"/>
    </row>
    <row r="1289" customFormat="false" ht="15" hidden="false" customHeight="true" outlineLevel="2" collapsed="false">
      <c r="A1289" s="51" t="s">
        <v>2388</v>
      </c>
      <c r="B1289" s="52" t="s">
        <v>2389</v>
      </c>
      <c r="C1289" s="53"/>
    </row>
    <row r="1290" customFormat="false" ht="15" hidden="false" customHeight="true" outlineLevel="3" collapsed="false">
      <c r="A1290" s="54" t="s">
        <v>1245</v>
      </c>
      <c r="B1290" s="55" t="s">
        <v>1246</v>
      </c>
      <c r="C1290" s="25"/>
    </row>
    <row r="1291" customFormat="false" ht="15" hidden="false" customHeight="true" outlineLevel="3" collapsed="false">
      <c r="A1291" s="54" t="s">
        <v>1247</v>
      </c>
      <c r="B1291" s="55" t="s">
        <v>1248</v>
      </c>
      <c r="C1291" s="25"/>
    </row>
    <row r="1292" customFormat="false" ht="15" hidden="false" customHeight="true" outlineLevel="3" collapsed="false">
      <c r="A1292" s="54" t="s">
        <v>1249</v>
      </c>
      <c r="B1292" s="55" t="s">
        <v>1250</v>
      </c>
      <c r="C1292" s="25"/>
    </row>
    <row r="1293" customFormat="false" ht="15" hidden="false" customHeight="true" outlineLevel="3" collapsed="false">
      <c r="A1293" s="54" t="s">
        <v>1251</v>
      </c>
      <c r="B1293" s="55" t="s">
        <v>1252</v>
      </c>
      <c r="C1293" s="25"/>
    </row>
    <row r="1294" customFormat="false" ht="15" hidden="false" customHeight="true" outlineLevel="3" collapsed="false">
      <c r="A1294" s="54" t="s">
        <v>1253</v>
      </c>
      <c r="B1294" s="55" t="s">
        <v>1254</v>
      </c>
      <c r="C1294" s="25"/>
    </row>
    <row r="1295" customFormat="false" ht="15" hidden="false" customHeight="true" outlineLevel="3" collapsed="false">
      <c r="A1295" s="54" t="s">
        <v>1255</v>
      </c>
      <c r="B1295" s="55" t="s">
        <v>1256</v>
      </c>
      <c r="C1295" s="25"/>
    </row>
    <row r="1296" customFormat="false" ht="15" hidden="false" customHeight="true" outlineLevel="3" collapsed="false">
      <c r="A1296" s="54" t="s">
        <v>1257</v>
      </c>
      <c r="B1296" s="55" t="s">
        <v>1258</v>
      </c>
      <c r="C1296" s="25"/>
    </row>
    <row r="1297" customFormat="false" ht="15" hidden="false" customHeight="true" outlineLevel="2" collapsed="false">
      <c r="A1297" s="51" t="s">
        <v>2390</v>
      </c>
      <c r="B1297" s="52" t="s">
        <v>2391</v>
      </c>
      <c r="C1297" s="53"/>
    </row>
    <row r="1298" customFormat="false" ht="15" hidden="false" customHeight="true" outlineLevel="3" collapsed="false">
      <c r="A1298" s="54" t="s">
        <v>1259</v>
      </c>
      <c r="B1298" s="55" t="s">
        <v>1260</v>
      </c>
      <c r="C1298" s="25"/>
    </row>
    <row r="1299" customFormat="false" ht="15" hidden="false" customHeight="true" outlineLevel="3" collapsed="false">
      <c r="A1299" s="54" t="s">
        <v>1261</v>
      </c>
      <c r="B1299" s="55" t="s">
        <v>1262</v>
      </c>
      <c r="C1299" s="25"/>
    </row>
    <row r="1300" customFormat="false" ht="15" hidden="false" customHeight="true" outlineLevel="3" collapsed="false">
      <c r="A1300" s="54" t="s">
        <v>1263</v>
      </c>
      <c r="B1300" s="55" t="s">
        <v>1264</v>
      </c>
      <c r="C1300" s="25"/>
    </row>
    <row r="1301" customFormat="false" ht="15" hidden="false" customHeight="true" outlineLevel="2" collapsed="false">
      <c r="A1301" s="51" t="s">
        <v>1265</v>
      </c>
      <c r="B1301" s="52" t="s">
        <v>1266</v>
      </c>
      <c r="C1301" s="25"/>
    </row>
    <row r="1302" customFormat="false" ht="15" hidden="false" customHeight="true" outlineLevel="2" collapsed="false">
      <c r="A1302" s="51" t="s">
        <v>2392</v>
      </c>
      <c r="B1302" s="52" t="s">
        <v>2393</v>
      </c>
      <c r="C1302" s="53"/>
    </row>
    <row r="1303" customFormat="false" ht="15" hidden="false" customHeight="true" outlineLevel="3" collapsed="false">
      <c r="A1303" s="54" t="s">
        <v>1267</v>
      </c>
      <c r="B1303" s="55" t="s">
        <v>1268</v>
      </c>
      <c r="C1303" s="25"/>
    </row>
    <row r="1304" customFormat="false" ht="15" hidden="false" customHeight="true" outlineLevel="3" collapsed="false">
      <c r="A1304" s="54" t="s">
        <v>1269</v>
      </c>
      <c r="B1304" s="55" t="s">
        <v>1270</v>
      </c>
      <c r="C1304" s="25"/>
    </row>
    <row r="1305" customFormat="false" ht="15" hidden="false" customHeight="true" outlineLevel="1" collapsed="false">
      <c r="A1305" s="49" t="s">
        <v>2394</v>
      </c>
      <c r="B1305" s="49" t="s">
        <v>2395</v>
      </c>
      <c r="C1305" s="50"/>
    </row>
    <row r="1306" customFormat="false" ht="15" hidden="false" customHeight="true" outlineLevel="2" collapsed="false">
      <c r="A1306" s="51" t="s">
        <v>2396</v>
      </c>
      <c r="B1306" s="52" t="s">
        <v>2244</v>
      </c>
      <c r="C1306" s="53"/>
    </row>
    <row r="1307" customFormat="false" ht="15" hidden="false" customHeight="true" outlineLevel="3" collapsed="false">
      <c r="A1307" s="54" t="s">
        <v>1271</v>
      </c>
      <c r="B1307" s="55" t="s">
        <v>1272</v>
      </c>
      <c r="C1307" s="25"/>
    </row>
    <row r="1308" customFormat="false" ht="15" hidden="false" customHeight="true" outlineLevel="3" collapsed="false">
      <c r="A1308" s="54" t="s">
        <v>1273</v>
      </c>
      <c r="B1308" s="55" t="s">
        <v>847</v>
      </c>
      <c r="C1308" s="25"/>
    </row>
    <row r="1309" customFormat="false" ht="15" hidden="false" customHeight="true" outlineLevel="3" collapsed="false">
      <c r="A1309" s="54" t="s">
        <v>1274</v>
      </c>
      <c r="B1309" s="55" t="s">
        <v>856</v>
      </c>
      <c r="C1309" s="25"/>
    </row>
    <row r="1310" customFormat="false" ht="15" hidden="false" customHeight="true" outlineLevel="3" collapsed="false">
      <c r="A1310" s="54" t="s">
        <v>1275</v>
      </c>
      <c r="B1310" s="55" t="s">
        <v>1276</v>
      </c>
      <c r="C1310" s="25"/>
    </row>
    <row r="1311" customFormat="false" ht="15" hidden="false" customHeight="true" outlineLevel="3" collapsed="false">
      <c r="A1311" s="54" t="s">
        <v>1277</v>
      </c>
      <c r="B1311" s="55" t="s">
        <v>1278</v>
      </c>
      <c r="C1311" s="25"/>
    </row>
    <row r="1312" customFormat="false" ht="15" hidden="false" customHeight="true" outlineLevel="3" collapsed="false">
      <c r="A1312" s="54" t="s">
        <v>1279</v>
      </c>
      <c r="B1312" s="55" t="s">
        <v>1280</v>
      </c>
      <c r="C1312" s="25"/>
    </row>
    <row r="1313" customFormat="false" ht="15" hidden="false" customHeight="true" outlineLevel="3" collapsed="false">
      <c r="A1313" s="54" t="s">
        <v>1281</v>
      </c>
      <c r="B1313" s="55" t="s">
        <v>736</v>
      </c>
      <c r="C1313" s="25"/>
    </row>
    <row r="1314" customFormat="false" ht="15" hidden="false" customHeight="true" outlineLevel="2" collapsed="false">
      <c r="A1314" s="51" t="s">
        <v>1282</v>
      </c>
      <c r="B1314" s="52" t="s">
        <v>1283</v>
      </c>
      <c r="C1314" s="25"/>
    </row>
    <row r="1315" customFormat="false" ht="15" hidden="false" customHeight="true" outlineLevel="2" collapsed="false">
      <c r="A1315" s="51" t="s">
        <v>2397</v>
      </c>
      <c r="B1315" s="52" t="s">
        <v>2398</v>
      </c>
      <c r="C1315" s="53"/>
    </row>
    <row r="1316" customFormat="false" ht="15" hidden="false" customHeight="true" outlineLevel="3" collapsed="false">
      <c r="A1316" s="54" t="s">
        <v>1284</v>
      </c>
      <c r="B1316" s="55" t="s">
        <v>882</v>
      </c>
      <c r="C1316" s="25"/>
    </row>
    <row r="1317" customFormat="false" ht="15" hidden="false" customHeight="true" outlineLevel="3" collapsed="false">
      <c r="A1317" s="54" t="s">
        <v>1285</v>
      </c>
      <c r="B1317" s="55" t="s">
        <v>1286</v>
      </c>
      <c r="C1317" s="25"/>
    </row>
    <row r="1318" customFormat="false" ht="15" hidden="false" customHeight="true" outlineLevel="3" collapsed="false">
      <c r="A1318" s="54" t="s">
        <v>1287</v>
      </c>
      <c r="B1318" s="55" t="s">
        <v>874</v>
      </c>
      <c r="C1318" s="25"/>
    </row>
    <row r="1319" customFormat="false" ht="15" hidden="false" customHeight="true" outlineLevel="3" collapsed="false">
      <c r="A1319" s="54" t="s">
        <v>1288</v>
      </c>
      <c r="B1319" s="55" t="s">
        <v>1289</v>
      </c>
      <c r="C1319" s="25"/>
    </row>
    <row r="1320" customFormat="false" ht="15" hidden="false" customHeight="true" outlineLevel="3" collapsed="false">
      <c r="A1320" s="54" t="s">
        <v>1290</v>
      </c>
      <c r="B1320" s="55" t="s">
        <v>736</v>
      </c>
      <c r="C1320" s="25"/>
    </row>
    <row r="1321" customFormat="false" ht="15" hidden="false" customHeight="true" outlineLevel="2" collapsed="false">
      <c r="A1321" s="51" t="s">
        <v>2399</v>
      </c>
      <c r="B1321" s="52" t="s">
        <v>2400</v>
      </c>
      <c r="C1321" s="53"/>
    </row>
    <row r="1322" customFormat="false" ht="15" hidden="false" customHeight="true" outlineLevel="3" collapsed="false">
      <c r="A1322" s="54" t="s">
        <v>1291</v>
      </c>
      <c r="B1322" s="55" t="s">
        <v>868</v>
      </c>
      <c r="C1322" s="25"/>
    </row>
    <row r="1323" customFormat="false" ht="15" hidden="false" customHeight="true" outlineLevel="3" collapsed="false">
      <c r="A1323" s="54" t="s">
        <v>1292</v>
      </c>
      <c r="B1323" s="55" t="s">
        <v>736</v>
      </c>
      <c r="C1323" s="25"/>
    </row>
    <row r="1324" customFormat="false" ht="15" hidden="false" customHeight="true" outlineLevel="2" collapsed="false">
      <c r="A1324" s="51" t="s">
        <v>2401</v>
      </c>
      <c r="B1324" s="52" t="s">
        <v>2402</v>
      </c>
      <c r="C1324" s="53"/>
    </row>
    <row r="1325" customFormat="false" ht="15" hidden="false" customHeight="true" outlineLevel="3" collapsed="false">
      <c r="A1325" s="54" t="s">
        <v>1293</v>
      </c>
      <c r="B1325" s="55" t="s">
        <v>138</v>
      </c>
      <c r="C1325" s="25"/>
    </row>
    <row r="1326" customFormat="false" ht="15" hidden="false" customHeight="true" outlineLevel="3" collapsed="false">
      <c r="A1326" s="54" t="s">
        <v>1294</v>
      </c>
      <c r="B1326" s="55" t="s">
        <v>1295</v>
      </c>
      <c r="C1326" s="25"/>
    </row>
    <row r="1327" customFormat="false" ht="15" hidden="false" customHeight="true" outlineLevel="3" collapsed="false">
      <c r="A1327" s="54" t="s">
        <v>1296</v>
      </c>
      <c r="B1327" s="55" t="s">
        <v>1297</v>
      </c>
      <c r="C1327" s="25"/>
    </row>
    <row r="1328" customFormat="false" ht="15" hidden="false" customHeight="true" outlineLevel="3" collapsed="false">
      <c r="A1328" s="54" t="s">
        <v>1298</v>
      </c>
      <c r="B1328" s="55" t="s">
        <v>1299</v>
      </c>
      <c r="C1328" s="25"/>
    </row>
    <row r="1329" customFormat="false" ht="15" hidden="false" customHeight="true" outlineLevel="1" collapsed="false">
      <c r="A1329" s="49" t="s">
        <v>2403</v>
      </c>
      <c r="B1329" s="49" t="s">
        <v>2404</v>
      </c>
      <c r="C1329" s="50"/>
    </row>
    <row r="1330" customFormat="false" ht="15" hidden="false" customHeight="true" outlineLevel="2" collapsed="false">
      <c r="A1330" s="51" t="s">
        <v>1300</v>
      </c>
      <c r="B1330" s="52" t="s">
        <v>205</v>
      </c>
      <c r="C1330" s="25"/>
    </row>
    <row r="1331" customFormat="false" ht="15" hidden="false" customHeight="true" outlineLevel="2" collapsed="false">
      <c r="A1331" s="51" t="s">
        <v>1301</v>
      </c>
      <c r="B1331" s="52" t="s">
        <v>140</v>
      </c>
      <c r="C1331" s="25"/>
    </row>
    <row r="1332" customFormat="false" ht="15" hidden="false" customHeight="true" outlineLevel="2" collapsed="false">
      <c r="A1332" s="51" t="s">
        <v>1302</v>
      </c>
      <c r="B1332" s="52" t="s">
        <v>1303</v>
      </c>
      <c r="C1332" s="25"/>
    </row>
    <row r="1333" customFormat="false" ht="15" hidden="false" customHeight="true" outlineLevel="2" collapsed="false">
      <c r="A1333" s="51" t="s">
        <v>1304</v>
      </c>
      <c r="B1333" s="52" t="s">
        <v>1305</v>
      </c>
      <c r="C1333" s="25"/>
    </row>
    <row r="1334" customFormat="false" ht="15" hidden="false" customHeight="true" outlineLevel="2" collapsed="false">
      <c r="A1334" s="51" t="s">
        <v>2405</v>
      </c>
      <c r="B1334" s="52" t="s">
        <v>2406</v>
      </c>
      <c r="C1334" s="53"/>
    </row>
    <row r="1335" customFormat="false" ht="15" hidden="false" customHeight="true" outlineLevel="3" collapsed="false">
      <c r="A1335" s="54" t="s">
        <v>2407</v>
      </c>
      <c r="B1335" s="55" t="s">
        <v>2408</v>
      </c>
      <c r="C1335" s="56"/>
    </row>
    <row r="1336" customFormat="false" ht="15" hidden="false" customHeight="true" outlineLevel="4" collapsed="false">
      <c r="A1336" s="57" t="s">
        <v>1306</v>
      </c>
      <c r="B1336" s="58" t="s">
        <v>992</v>
      </c>
      <c r="C1336" s="25"/>
    </row>
    <row r="1337" customFormat="false" ht="15" hidden="false" customHeight="true" outlineLevel="4" collapsed="false">
      <c r="A1337" s="57" t="s">
        <v>1307</v>
      </c>
      <c r="B1337" s="58" t="s">
        <v>154</v>
      </c>
      <c r="C1337" s="25"/>
    </row>
    <row r="1338" customFormat="false" ht="15" hidden="false" customHeight="true" outlineLevel="4" collapsed="false">
      <c r="A1338" s="57" t="s">
        <v>1308</v>
      </c>
      <c r="B1338" s="58" t="s">
        <v>1309</v>
      </c>
      <c r="C1338" s="25"/>
    </row>
    <row r="1339" customFormat="false" ht="15" hidden="false" customHeight="true" outlineLevel="4" collapsed="false">
      <c r="A1339" s="57" t="s">
        <v>1310</v>
      </c>
      <c r="B1339" s="58" t="s">
        <v>156</v>
      </c>
      <c r="C1339" s="25"/>
    </row>
    <row r="1340" customFormat="false" ht="15" hidden="false" customHeight="true" outlineLevel="4" collapsed="false">
      <c r="A1340" s="57" t="s">
        <v>1311</v>
      </c>
      <c r="B1340" s="58" t="s">
        <v>158</v>
      </c>
      <c r="C1340" s="25"/>
    </row>
    <row r="1341" customFormat="false" ht="15" hidden="false" customHeight="true" outlineLevel="4" collapsed="false">
      <c r="A1341" s="57" t="s">
        <v>1312</v>
      </c>
      <c r="B1341" s="58" t="s">
        <v>160</v>
      </c>
      <c r="C1341" s="25"/>
    </row>
    <row r="1342" customFormat="false" ht="15" hidden="false" customHeight="true" outlineLevel="3" collapsed="false">
      <c r="A1342" s="54" t="s">
        <v>2409</v>
      </c>
      <c r="B1342" s="55" t="s">
        <v>2410</v>
      </c>
      <c r="C1342" s="56"/>
    </row>
    <row r="1343" customFormat="false" ht="15" hidden="false" customHeight="true" outlineLevel="4" collapsed="false">
      <c r="A1343" s="57" t="s">
        <v>1313</v>
      </c>
      <c r="B1343" s="58" t="s">
        <v>154</v>
      </c>
      <c r="C1343" s="25"/>
    </row>
    <row r="1344" customFormat="false" ht="15" hidden="false" customHeight="true" outlineLevel="4" collapsed="false">
      <c r="A1344" s="57" t="s">
        <v>1314</v>
      </c>
      <c r="B1344" s="58" t="s">
        <v>1315</v>
      </c>
      <c r="C1344" s="25"/>
    </row>
    <row r="1345" customFormat="false" ht="15" hidden="false" customHeight="true" outlineLevel="4" collapsed="false">
      <c r="A1345" s="57" t="s">
        <v>1316</v>
      </c>
      <c r="B1345" s="58" t="s">
        <v>156</v>
      </c>
      <c r="C1345" s="25"/>
    </row>
    <row r="1346" customFormat="false" ht="15" hidden="false" customHeight="true" outlineLevel="4" collapsed="false">
      <c r="A1346" s="57" t="s">
        <v>1317</v>
      </c>
      <c r="B1346" s="58" t="s">
        <v>158</v>
      </c>
      <c r="C1346" s="25"/>
    </row>
    <row r="1347" customFormat="false" ht="15" hidden="false" customHeight="true" outlineLevel="4" collapsed="false">
      <c r="A1347" s="57" t="s">
        <v>1318</v>
      </c>
      <c r="B1347" s="58" t="s">
        <v>160</v>
      </c>
      <c r="C1347" s="25"/>
    </row>
    <row r="1348" customFormat="false" ht="15" hidden="false" customHeight="true" outlineLevel="2" collapsed="false">
      <c r="A1348" s="51" t="s">
        <v>1319</v>
      </c>
      <c r="B1348" s="52" t="s">
        <v>427</v>
      </c>
      <c r="C1348" s="25"/>
    </row>
    <row r="1349" customFormat="false" ht="15" hidden="false" customHeight="true" outlineLevel="2" collapsed="false">
      <c r="A1349" s="51" t="s">
        <v>1320</v>
      </c>
      <c r="B1349" s="52" t="s">
        <v>1321</v>
      </c>
      <c r="C1349" s="25"/>
    </row>
    <row r="1350" customFormat="false" ht="15" hidden="false" customHeight="true" outlineLevel="2" collapsed="false">
      <c r="A1350" s="51" t="s">
        <v>2411</v>
      </c>
      <c r="B1350" s="52" t="s">
        <v>2412</v>
      </c>
      <c r="C1350" s="53"/>
    </row>
    <row r="1351" customFormat="false" ht="15" hidden="false" customHeight="true" outlineLevel="3" collapsed="false">
      <c r="A1351" s="54" t="s">
        <v>1322</v>
      </c>
      <c r="B1351" s="55" t="s">
        <v>1323</v>
      </c>
      <c r="C1351" s="25"/>
    </row>
    <row r="1352" customFormat="false" ht="15" hidden="false" customHeight="true" outlineLevel="3" collapsed="false">
      <c r="A1352" s="54" t="s">
        <v>1324</v>
      </c>
      <c r="B1352" s="55" t="s">
        <v>1325</v>
      </c>
      <c r="C1352" s="25"/>
    </row>
    <row r="1353" customFormat="false" ht="15" hidden="false" customHeight="true" outlineLevel="1" collapsed="false">
      <c r="A1353" s="49" t="s">
        <v>2413</v>
      </c>
      <c r="B1353" s="49" t="s">
        <v>2414</v>
      </c>
      <c r="C1353" s="50"/>
    </row>
    <row r="1354" customFormat="false" ht="15" hidden="false" customHeight="true" outlineLevel="2" collapsed="false">
      <c r="A1354" s="51" t="s">
        <v>2415</v>
      </c>
      <c r="B1354" s="52" t="s">
        <v>2416</v>
      </c>
      <c r="C1354" s="53"/>
    </row>
    <row r="1355" customFormat="false" ht="15" hidden="false" customHeight="true" outlineLevel="3" collapsed="false">
      <c r="A1355" s="54" t="s">
        <v>1326</v>
      </c>
      <c r="B1355" s="55" t="s">
        <v>407</v>
      </c>
      <c r="C1355" s="25"/>
    </row>
    <row r="1356" customFormat="false" ht="15" hidden="false" customHeight="true" outlineLevel="3" collapsed="false">
      <c r="A1356" s="54" t="s">
        <v>1327</v>
      </c>
      <c r="B1356" s="55" t="s">
        <v>1328</v>
      </c>
      <c r="C1356" s="25"/>
    </row>
    <row r="1357" customFormat="false" ht="15" hidden="false" customHeight="true" outlineLevel="3" collapsed="false">
      <c r="A1357" s="54" t="s">
        <v>2417</v>
      </c>
      <c r="B1357" s="55" t="s">
        <v>2418</v>
      </c>
      <c r="C1357" s="56"/>
    </row>
    <row r="1358" customFormat="false" ht="15" hidden="false" customHeight="true" outlineLevel="4" collapsed="false">
      <c r="A1358" s="57" t="s">
        <v>1329</v>
      </c>
      <c r="B1358" s="58" t="s">
        <v>154</v>
      </c>
      <c r="C1358" s="25"/>
    </row>
    <row r="1359" customFormat="false" ht="15" hidden="false" customHeight="true" outlineLevel="4" collapsed="false">
      <c r="A1359" s="57" t="s">
        <v>1330</v>
      </c>
      <c r="B1359" s="58" t="s">
        <v>156</v>
      </c>
      <c r="C1359" s="25"/>
    </row>
    <row r="1360" customFormat="false" ht="15" hidden="false" customHeight="true" outlineLevel="4" collapsed="false">
      <c r="A1360" s="57" t="s">
        <v>1331</v>
      </c>
      <c r="B1360" s="58" t="s">
        <v>158</v>
      </c>
      <c r="C1360" s="25"/>
    </row>
    <row r="1361" customFormat="false" ht="15" hidden="false" customHeight="true" outlineLevel="4" collapsed="false">
      <c r="A1361" s="57" t="s">
        <v>1332</v>
      </c>
      <c r="B1361" s="58" t="s">
        <v>160</v>
      </c>
      <c r="C1361" s="25"/>
    </row>
    <row r="1362" customFormat="false" ht="15" hidden="false" customHeight="true" outlineLevel="2" collapsed="false">
      <c r="A1362" s="51" t="s">
        <v>2419</v>
      </c>
      <c r="B1362" s="52" t="s">
        <v>2420</v>
      </c>
      <c r="C1362" s="53"/>
    </row>
    <row r="1363" customFormat="false" ht="15" hidden="false" customHeight="true" outlineLevel="3" collapsed="false">
      <c r="A1363" s="54" t="s">
        <v>1333</v>
      </c>
      <c r="B1363" s="55" t="s">
        <v>154</v>
      </c>
      <c r="C1363" s="25"/>
    </row>
    <row r="1364" customFormat="false" ht="15" hidden="false" customHeight="true" outlineLevel="3" collapsed="false">
      <c r="A1364" s="54" t="s">
        <v>1334</v>
      </c>
      <c r="B1364" s="55" t="s">
        <v>160</v>
      </c>
      <c r="C1364" s="25"/>
    </row>
    <row r="1365" customFormat="false" ht="15" hidden="false" customHeight="true" outlineLevel="1" collapsed="false">
      <c r="A1365" s="49" t="s">
        <v>2421</v>
      </c>
      <c r="B1365" s="49" t="s">
        <v>2422</v>
      </c>
      <c r="C1365" s="50"/>
    </row>
    <row r="1366" customFormat="false" ht="15" hidden="false" customHeight="true" outlineLevel="2" collapsed="false">
      <c r="A1366" s="51" t="s">
        <v>2423</v>
      </c>
      <c r="B1366" s="52" t="s">
        <v>2424</v>
      </c>
      <c r="C1366" s="53"/>
    </row>
    <row r="1367" customFormat="false" ht="15" hidden="false" customHeight="true" outlineLevel="3" collapsed="false">
      <c r="A1367" s="54" t="s">
        <v>1335</v>
      </c>
      <c r="B1367" s="55" t="s">
        <v>1336</v>
      </c>
      <c r="C1367" s="25"/>
    </row>
    <row r="1368" customFormat="false" ht="15" hidden="false" customHeight="true" outlineLevel="3" collapsed="false">
      <c r="A1368" s="54" t="s">
        <v>1337</v>
      </c>
      <c r="B1368" s="55" t="s">
        <v>948</v>
      </c>
      <c r="C1368" s="25"/>
    </row>
    <row r="1369" customFormat="false" ht="15" hidden="false" customHeight="true" outlineLevel="3" collapsed="false">
      <c r="A1369" s="54" t="s">
        <v>1338</v>
      </c>
      <c r="B1369" s="55" t="s">
        <v>1339</v>
      </c>
      <c r="C1369" s="25"/>
    </row>
    <row r="1370" customFormat="false" ht="15" hidden="false" customHeight="true" outlineLevel="3" collapsed="false">
      <c r="A1370" s="54" t="s">
        <v>1340</v>
      </c>
      <c r="B1370" s="55" t="s">
        <v>1341</v>
      </c>
      <c r="C1370" s="25"/>
    </row>
    <row r="1371" customFormat="false" ht="15" hidden="false" customHeight="true" outlineLevel="2" collapsed="false">
      <c r="A1371" s="51" t="s">
        <v>1342</v>
      </c>
      <c r="B1371" s="52" t="s">
        <v>1343</v>
      </c>
      <c r="C1371" s="25"/>
    </row>
    <row r="1372" customFormat="false" ht="15" hidden="false" customHeight="true" outlineLevel="2" collapsed="false">
      <c r="A1372" s="51" t="s">
        <v>2425</v>
      </c>
      <c r="B1372" s="52" t="s">
        <v>2426</v>
      </c>
      <c r="C1372" s="53"/>
    </row>
    <row r="1373" customFormat="false" ht="15" hidden="false" customHeight="true" outlineLevel="3" collapsed="false">
      <c r="A1373" s="54" t="s">
        <v>2427</v>
      </c>
      <c r="B1373" s="55" t="s">
        <v>1336</v>
      </c>
      <c r="C1373" s="56"/>
    </row>
    <row r="1374" customFormat="false" ht="15" hidden="false" customHeight="true" outlineLevel="4" collapsed="false">
      <c r="A1374" s="57" t="s">
        <v>1344</v>
      </c>
      <c r="B1374" s="58" t="s">
        <v>944</v>
      </c>
      <c r="C1374" s="25"/>
    </row>
    <row r="1375" customFormat="false" ht="15" hidden="false" customHeight="true" outlineLevel="4" collapsed="false">
      <c r="A1375" s="57" t="s">
        <v>1345</v>
      </c>
      <c r="B1375" s="58" t="s">
        <v>946</v>
      </c>
      <c r="C1375" s="25"/>
    </row>
    <row r="1376" customFormat="false" ht="15" hidden="false" customHeight="true" outlineLevel="3" collapsed="false">
      <c r="A1376" s="54" t="s">
        <v>1346</v>
      </c>
      <c r="B1376" s="55" t="s">
        <v>948</v>
      </c>
      <c r="C1376" s="25"/>
    </row>
    <row r="1377" customFormat="false" ht="15" hidden="false" customHeight="true" outlineLevel="3" collapsed="false">
      <c r="A1377" s="54" t="s">
        <v>1347</v>
      </c>
      <c r="B1377" s="55" t="s">
        <v>1348</v>
      </c>
      <c r="C1377" s="25"/>
    </row>
    <row r="1378" customFormat="false" ht="15" hidden="false" customHeight="true" outlineLevel="3" collapsed="false">
      <c r="A1378" s="54" t="s">
        <v>1349</v>
      </c>
      <c r="B1378" s="55" t="s">
        <v>1341</v>
      </c>
      <c r="C1378" s="25"/>
    </row>
    <row r="1379" customFormat="false" ht="15" hidden="false" customHeight="true" outlineLevel="3" collapsed="false">
      <c r="A1379" s="54" t="s">
        <v>1350</v>
      </c>
      <c r="B1379" s="55" t="s">
        <v>1351</v>
      </c>
      <c r="C1379" s="25"/>
    </row>
    <row r="1380" customFormat="false" ht="15" hidden="false" customHeight="true" outlineLevel="3" collapsed="false">
      <c r="A1380" s="54" t="s">
        <v>1352</v>
      </c>
      <c r="B1380" s="55" t="s">
        <v>1353</v>
      </c>
      <c r="C1380" s="25"/>
    </row>
    <row r="1381" customFormat="false" ht="15" hidden="false" customHeight="true" outlineLevel="2" collapsed="false">
      <c r="A1381" s="51" t="s">
        <v>2428</v>
      </c>
      <c r="B1381" s="52" t="s">
        <v>2429</v>
      </c>
      <c r="C1381" s="53"/>
    </row>
    <row r="1382" customFormat="false" ht="15" hidden="false" customHeight="true" outlineLevel="3" collapsed="false">
      <c r="A1382" s="54" t="s">
        <v>1354</v>
      </c>
      <c r="B1382" s="55" t="s">
        <v>1355</v>
      </c>
      <c r="C1382" s="25"/>
    </row>
    <row r="1383" customFormat="false" ht="15" hidden="false" customHeight="true" outlineLevel="2" collapsed="false">
      <c r="A1383" s="51" t="s">
        <v>1356</v>
      </c>
      <c r="B1383" s="52" t="s">
        <v>1357</v>
      </c>
      <c r="C1383" s="25"/>
    </row>
    <row r="1384" customFormat="false" ht="15" hidden="false" customHeight="true" outlineLevel="2" collapsed="false">
      <c r="A1384" s="51" t="s">
        <v>1358</v>
      </c>
      <c r="B1384" s="52" t="s">
        <v>1359</v>
      </c>
      <c r="C1384" s="25"/>
    </row>
    <row r="1385" customFormat="false" ht="15" hidden="false" customHeight="true" outlineLevel="2" collapsed="false">
      <c r="A1385" s="51" t="s">
        <v>2430</v>
      </c>
      <c r="B1385" s="52" t="s">
        <v>2431</v>
      </c>
      <c r="C1385" s="53"/>
    </row>
    <row r="1386" customFormat="false" ht="15" hidden="false" customHeight="true" outlineLevel="3" collapsed="false">
      <c r="A1386" s="54" t="s">
        <v>1360</v>
      </c>
      <c r="B1386" s="55" t="s">
        <v>1361</v>
      </c>
      <c r="C1386" s="25"/>
    </row>
    <row r="1387" customFormat="false" ht="15" hidden="false" customHeight="true" outlineLevel="3" collapsed="false">
      <c r="A1387" s="54" t="s">
        <v>1362</v>
      </c>
      <c r="B1387" s="55" t="s">
        <v>1363</v>
      </c>
      <c r="C1387" s="25"/>
    </row>
    <row r="1388" customFormat="false" ht="15" hidden="false" customHeight="true" outlineLevel="3" collapsed="false">
      <c r="A1388" s="54" t="s">
        <v>1364</v>
      </c>
      <c r="B1388" s="55" t="s">
        <v>736</v>
      </c>
      <c r="C1388" s="25"/>
    </row>
    <row r="1389" customFormat="false" ht="15" hidden="false" customHeight="true" outlineLevel="2" collapsed="false">
      <c r="A1389" s="51" t="s">
        <v>2432</v>
      </c>
      <c r="B1389" s="52" t="s">
        <v>2433</v>
      </c>
      <c r="C1389" s="53"/>
    </row>
    <row r="1390" customFormat="false" ht="15" hidden="false" customHeight="true" outlineLevel="3" collapsed="false">
      <c r="A1390" s="54" t="s">
        <v>1365</v>
      </c>
      <c r="B1390" s="55" t="s">
        <v>1366</v>
      </c>
      <c r="C1390" s="25"/>
    </row>
    <row r="1391" customFormat="false" ht="15" hidden="false" customHeight="true" outlineLevel="3" collapsed="false">
      <c r="A1391" s="54" t="s">
        <v>1367</v>
      </c>
      <c r="B1391" s="55" t="s">
        <v>1368</v>
      </c>
      <c r="C1391" s="25"/>
    </row>
    <row r="1392" customFormat="false" ht="15" hidden="false" customHeight="true" outlineLevel="2" collapsed="false">
      <c r="A1392" s="51" t="s">
        <v>2434</v>
      </c>
      <c r="B1392" s="52" t="s">
        <v>2435</v>
      </c>
      <c r="C1392" s="53"/>
    </row>
    <row r="1393" customFormat="false" ht="15" hidden="false" customHeight="true" outlineLevel="3" collapsed="false">
      <c r="A1393" s="54" t="s">
        <v>1369</v>
      </c>
      <c r="B1393" s="55" t="s">
        <v>1370</v>
      </c>
      <c r="C1393" s="25"/>
    </row>
    <row r="1394" customFormat="false" ht="15" hidden="false" customHeight="true" outlineLevel="3" collapsed="false">
      <c r="A1394" s="54" t="s">
        <v>1371</v>
      </c>
      <c r="B1394" s="55" t="s">
        <v>1372</v>
      </c>
      <c r="C1394" s="25"/>
    </row>
    <row r="1395" customFormat="false" ht="15" hidden="false" customHeight="true" outlineLevel="3" collapsed="false">
      <c r="A1395" s="54" t="s">
        <v>1373</v>
      </c>
      <c r="B1395" s="55" t="s">
        <v>1374</v>
      </c>
      <c r="C1395" s="25"/>
    </row>
    <row r="1396" customFormat="false" ht="15" hidden="false" customHeight="true" outlineLevel="1" collapsed="false">
      <c r="A1396" s="49" t="s">
        <v>2436</v>
      </c>
      <c r="B1396" s="49" t="s">
        <v>2437</v>
      </c>
      <c r="C1396" s="50"/>
    </row>
    <row r="1397" customFormat="false" ht="15" hidden="false" customHeight="true" outlineLevel="2" collapsed="false">
      <c r="A1397" s="51" t="s">
        <v>2438</v>
      </c>
      <c r="B1397" s="52" t="s">
        <v>2439</v>
      </c>
      <c r="C1397" s="53"/>
    </row>
    <row r="1398" customFormat="false" ht="15" hidden="false" customHeight="true" outlineLevel="3" collapsed="false">
      <c r="A1398" s="54" t="s">
        <v>2440</v>
      </c>
      <c r="B1398" s="55" t="s">
        <v>374</v>
      </c>
      <c r="C1398" s="56"/>
    </row>
    <row r="1399" customFormat="false" ht="15" hidden="false" customHeight="true" outlineLevel="4" collapsed="false">
      <c r="A1399" s="57" t="s">
        <v>1375</v>
      </c>
      <c r="B1399" s="58" t="s">
        <v>66</v>
      </c>
      <c r="C1399" s="25"/>
    </row>
    <row r="1400" customFormat="false" ht="15" hidden="false" customHeight="true" outlineLevel="4" collapsed="false">
      <c r="A1400" s="57" t="s">
        <v>1376</v>
      </c>
      <c r="B1400" s="58" t="s">
        <v>280</v>
      </c>
      <c r="C1400" s="25"/>
    </row>
    <row r="1401" customFormat="false" ht="15" hidden="false" customHeight="true" outlineLevel="4" collapsed="false">
      <c r="A1401" s="57" t="s">
        <v>1377</v>
      </c>
      <c r="B1401" s="58" t="s">
        <v>250</v>
      </c>
      <c r="C1401" s="25"/>
    </row>
    <row r="1402" customFormat="false" ht="15" hidden="false" customHeight="true" outlineLevel="2" collapsed="false">
      <c r="A1402" s="51" t="s">
        <v>2441</v>
      </c>
      <c r="B1402" s="52" t="s">
        <v>2442</v>
      </c>
      <c r="C1402" s="53"/>
    </row>
    <row r="1403" customFormat="false" ht="15" hidden="false" customHeight="true" outlineLevel="3" collapsed="false">
      <c r="A1403" s="54" t="s">
        <v>2443</v>
      </c>
      <c r="B1403" s="55" t="s">
        <v>154</v>
      </c>
      <c r="C1403" s="56"/>
    </row>
    <row r="1404" customFormat="false" ht="15" hidden="false" customHeight="true" outlineLevel="4" collapsed="false">
      <c r="A1404" s="57" t="s">
        <v>2444</v>
      </c>
      <c r="B1404" s="58" t="s">
        <v>374</v>
      </c>
      <c r="C1404" s="59"/>
    </row>
    <row r="1405" customFormat="false" ht="15" hidden="false" customHeight="true" outlineLevel="5" collapsed="false">
      <c r="A1405" s="57" t="s">
        <v>1378</v>
      </c>
      <c r="B1405" s="60" t="s">
        <v>66</v>
      </c>
      <c r="C1405" s="25"/>
    </row>
    <row r="1406" customFormat="false" ht="15" hidden="false" customHeight="true" outlineLevel="5" collapsed="false">
      <c r="A1406" s="57" t="s">
        <v>1379</v>
      </c>
      <c r="B1406" s="60" t="s">
        <v>280</v>
      </c>
      <c r="C1406" s="25"/>
    </row>
    <row r="1407" customFormat="false" ht="15" hidden="false" customHeight="true" outlineLevel="5" collapsed="false">
      <c r="A1407" s="57" t="s">
        <v>1380</v>
      </c>
      <c r="B1407" s="60" t="s">
        <v>250</v>
      </c>
      <c r="C1407" s="25"/>
    </row>
    <row r="1408" customFormat="false" ht="15" hidden="false" customHeight="true" outlineLevel="3" collapsed="false">
      <c r="A1408" s="54" t="s">
        <v>2445</v>
      </c>
      <c r="B1408" s="55" t="s">
        <v>156</v>
      </c>
      <c r="C1408" s="56"/>
    </row>
    <row r="1409" customFormat="false" ht="15" hidden="false" customHeight="true" outlineLevel="4" collapsed="false">
      <c r="A1409" s="57" t="s">
        <v>2446</v>
      </c>
      <c r="B1409" s="58" t="s">
        <v>374</v>
      </c>
      <c r="C1409" s="59"/>
    </row>
    <row r="1410" customFormat="false" ht="15" hidden="false" customHeight="true" outlineLevel="5" collapsed="false">
      <c r="A1410" s="57" t="s">
        <v>1381</v>
      </c>
      <c r="B1410" s="60" t="s">
        <v>66</v>
      </c>
      <c r="C1410" s="25"/>
    </row>
    <row r="1411" customFormat="false" ht="15" hidden="false" customHeight="true" outlineLevel="5" collapsed="false">
      <c r="A1411" s="57" t="s">
        <v>1382</v>
      </c>
      <c r="B1411" s="60" t="s">
        <v>280</v>
      </c>
      <c r="C1411" s="25"/>
    </row>
    <row r="1412" customFormat="false" ht="15" hidden="false" customHeight="true" outlineLevel="5" collapsed="false">
      <c r="A1412" s="57" t="s">
        <v>1383</v>
      </c>
      <c r="B1412" s="60" t="s">
        <v>250</v>
      </c>
      <c r="C1412" s="25"/>
    </row>
    <row r="1413" customFormat="false" ht="15" hidden="false" customHeight="true" outlineLevel="4" collapsed="false">
      <c r="A1413" s="57" t="s">
        <v>2447</v>
      </c>
      <c r="B1413" s="58" t="s">
        <v>381</v>
      </c>
      <c r="C1413" s="59"/>
    </row>
    <row r="1414" customFormat="false" ht="15" hidden="false" customHeight="true" outlineLevel="5" collapsed="false">
      <c r="A1414" s="57" t="s">
        <v>1384</v>
      </c>
      <c r="B1414" s="60" t="s">
        <v>66</v>
      </c>
      <c r="C1414" s="25"/>
    </row>
    <row r="1415" customFormat="false" ht="15" hidden="false" customHeight="true" outlineLevel="5" collapsed="false">
      <c r="A1415" s="57" t="s">
        <v>1385</v>
      </c>
      <c r="B1415" s="60" t="s">
        <v>280</v>
      </c>
      <c r="C1415" s="25"/>
    </row>
    <row r="1416" customFormat="false" ht="15" hidden="false" customHeight="true" outlineLevel="5" collapsed="false">
      <c r="A1416" s="57" t="s">
        <v>1386</v>
      </c>
      <c r="B1416" s="60" t="s">
        <v>250</v>
      </c>
      <c r="C1416" s="25"/>
    </row>
    <row r="1417" customFormat="false" ht="15" hidden="false" customHeight="true" outlineLevel="4" collapsed="false">
      <c r="A1417" s="57" t="s">
        <v>2448</v>
      </c>
      <c r="B1417" s="58" t="s">
        <v>383</v>
      </c>
      <c r="C1417" s="59"/>
    </row>
    <row r="1418" customFormat="false" ht="15" hidden="false" customHeight="true" outlineLevel="5" collapsed="false">
      <c r="A1418" s="57" t="s">
        <v>1387</v>
      </c>
      <c r="B1418" s="60" t="s">
        <v>66</v>
      </c>
      <c r="C1418" s="25"/>
    </row>
    <row r="1419" customFormat="false" ht="15" hidden="false" customHeight="true" outlineLevel="5" collapsed="false">
      <c r="A1419" s="57" t="s">
        <v>1388</v>
      </c>
      <c r="B1419" s="60" t="s">
        <v>280</v>
      </c>
      <c r="C1419" s="25"/>
    </row>
    <row r="1420" customFormat="false" ht="15" hidden="false" customHeight="true" outlineLevel="4" collapsed="false">
      <c r="A1420" s="57" t="s">
        <v>2449</v>
      </c>
      <c r="B1420" s="58" t="s">
        <v>387</v>
      </c>
      <c r="C1420" s="59"/>
    </row>
    <row r="1421" customFormat="false" ht="15" hidden="false" customHeight="true" outlineLevel="5" collapsed="false">
      <c r="A1421" s="57" t="s">
        <v>1389</v>
      </c>
      <c r="B1421" s="60" t="s">
        <v>66</v>
      </c>
      <c r="C1421" s="25"/>
    </row>
    <row r="1422" customFormat="false" ht="15" hidden="false" customHeight="true" outlineLevel="5" collapsed="false">
      <c r="A1422" s="57" t="s">
        <v>1390</v>
      </c>
      <c r="B1422" s="60" t="s">
        <v>280</v>
      </c>
      <c r="C1422" s="25"/>
    </row>
    <row r="1423" customFormat="false" ht="15" hidden="false" customHeight="true" outlineLevel="2" collapsed="false">
      <c r="A1423" s="51" t="s">
        <v>2450</v>
      </c>
      <c r="B1423" s="52" t="s">
        <v>2451</v>
      </c>
      <c r="C1423" s="53"/>
    </row>
    <row r="1424" customFormat="false" ht="15" hidden="false" customHeight="true" outlineLevel="3" collapsed="false">
      <c r="A1424" s="54" t="s">
        <v>2452</v>
      </c>
      <c r="B1424" s="55" t="s">
        <v>2451</v>
      </c>
      <c r="C1424" s="56"/>
    </row>
    <row r="1425" customFormat="false" ht="15" hidden="false" customHeight="true" outlineLevel="4" collapsed="false">
      <c r="A1425" s="57" t="s">
        <v>2453</v>
      </c>
      <c r="B1425" s="58" t="s">
        <v>374</v>
      </c>
      <c r="C1425" s="59"/>
    </row>
    <row r="1426" customFormat="false" ht="15" hidden="false" customHeight="true" outlineLevel="5" collapsed="false">
      <c r="A1426" s="57" t="s">
        <v>1391</v>
      </c>
      <c r="B1426" s="60" t="s">
        <v>66</v>
      </c>
      <c r="C1426" s="25"/>
    </row>
    <row r="1427" customFormat="false" ht="15" hidden="false" customHeight="true" outlineLevel="5" collapsed="false">
      <c r="A1427" s="57" t="s">
        <v>1392</v>
      </c>
      <c r="B1427" s="60" t="s">
        <v>280</v>
      </c>
      <c r="C1427" s="25"/>
    </row>
    <row r="1428" customFormat="false" ht="15" hidden="false" customHeight="true" outlineLevel="4" collapsed="false">
      <c r="A1428" s="57" t="s">
        <v>2454</v>
      </c>
      <c r="B1428" s="58" t="s">
        <v>381</v>
      </c>
      <c r="C1428" s="59"/>
    </row>
    <row r="1429" customFormat="false" ht="15" hidden="false" customHeight="true" outlineLevel="5" collapsed="false">
      <c r="A1429" s="57" t="s">
        <v>1393</v>
      </c>
      <c r="B1429" s="60" t="s">
        <v>66</v>
      </c>
      <c r="C1429" s="25"/>
    </row>
    <row r="1430" customFormat="false" ht="15" hidden="false" customHeight="true" outlineLevel="5" collapsed="false">
      <c r="A1430" s="57" t="s">
        <v>1394</v>
      </c>
      <c r="B1430" s="60" t="s">
        <v>280</v>
      </c>
      <c r="C1430" s="25"/>
    </row>
    <row r="1431" customFormat="false" ht="15" hidden="false" customHeight="true" outlineLevel="4" collapsed="false">
      <c r="A1431" s="57" t="s">
        <v>2455</v>
      </c>
      <c r="B1431" s="58" t="s">
        <v>383</v>
      </c>
      <c r="C1431" s="59"/>
    </row>
    <row r="1432" customFormat="false" ht="15" hidden="false" customHeight="true" outlineLevel="5" collapsed="false">
      <c r="A1432" s="57" t="s">
        <v>1395</v>
      </c>
      <c r="B1432" s="60" t="s">
        <v>66</v>
      </c>
      <c r="C1432" s="25"/>
    </row>
    <row r="1433" customFormat="false" ht="15" hidden="false" customHeight="true" outlineLevel="5" collapsed="false">
      <c r="A1433" s="57" t="s">
        <v>1396</v>
      </c>
      <c r="B1433" s="60" t="s">
        <v>280</v>
      </c>
      <c r="C1433" s="25"/>
    </row>
    <row r="1434" customFormat="false" ht="15" hidden="false" customHeight="true" outlineLevel="4" collapsed="false">
      <c r="A1434" s="57" t="s">
        <v>1397</v>
      </c>
      <c r="B1434" s="58" t="s">
        <v>387</v>
      </c>
      <c r="C1434" s="25"/>
    </row>
    <row r="1435" customFormat="false" ht="15" hidden="false" customHeight="true" outlineLevel="5" collapsed="false">
      <c r="A1435" s="57" t="s">
        <v>1398</v>
      </c>
      <c r="B1435" s="60" t="s">
        <v>66</v>
      </c>
      <c r="C1435" s="25"/>
    </row>
    <row r="1436" customFormat="false" ht="15" hidden="false" customHeight="true" outlineLevel="5" collapsed="false">
      <c r="A1436" s="57" t="s">
        <v>1399</v>
      </c>
      <c r="B1436" s="60" t="s">
        <v>280</v>
      </c>
      <c r="C1436" s="25"/>
    </row>
    <row r="1437" customFormat="false" ht="15" hidden="false" customHeight="true" outlineLevel="2" collapsed="false">
      <c r="A1437" s="51" t="s">
        <v>2456</v>
      </c>
      <c r="B1437" s="52" t="s">
        <v>2457</v>
      </c>
      <c r="C1437" s="53"/>
    </row>
    <row r="1438" customFormat="false" ht="15" hidden="false" customHeight="true" outlineLevel="3" collapsed="false">
      <c r="A1438" s="54" t="s">
        <v>2458</v>
      </c>
      <c r="B1438" s="55" t="s">
        <v>2459</v>
      </c>
      <c r="C1438" s="56"/>
    </row>
    <row r="1439" customFormat="false" ht="15" hidden="false" customHeight="true" outlineLevel="4" collapsed="false">
      <c r="A1439" s="57" t="s">
        <v>1400</v>
      </c>
      <c r="B1439" s="58" t="s">
        <v>763</v>
      </c>
      <c r="C1439" s="25"/>
    </row>
    <row r="1440" customFormat="false" ht="15" hidden="false" customHeight="true" outlineLevel="4" collapsed="false">
      <c r="A1440" s="57" t="s">
        <v>1401</v>
      </c>
      <c r="B1440" s="58" t="s">
        <v>374</v>
      </c>
      <c r="C1440" s="25"/>
    </row>
    <row r="1441" customFormat="false" ht="15" hidden="false" customHeight="true" outlineLevel="4" collapsed="false">
      <c r="A1441" s="57" t="s">
        <v>1402</v>
      </c>
      <c r="B1441" s="58" t="s">
        <v>381</v>
      </c>
      <c r="C1441" s="25"/>
    </row>
    <row r="1442" customFormat="false" ht="15" hidden="false" customHeight="true" outlineLevel="4" collapsed="false">
      <c r="A1442" s="57" t="s">
        <v>1403</v>
      </c>
      <c r="B1442" s="58" t="s">
        <v>383</v>
      </c>
      <c r="C1442" s="25"/>
    </row>
    <row r="1443" customFormat="false" ht="15" hidden="false" customHeight="true" outlineLevel="4" collapsed="false">
      <c r="A1443" s="57" t="s">
        <v>1404</v>
      </c>
      <c r="B1443" s="58" t="s">
        <v>385</v>
      </c>
      <c r="C1443" s="25"/>
    </row>
    <row r="1444" customFormat="false" ht="15" hidden="false" customHeight="true" outlineLevel="4" collapsed="false">
      <c r="A1444" s="57" t="s">
        <v>1405</v>
      </c>
      <c r="B1444" s="58" t="s">
        <v>387</v>
      </c>
      <c r="C1444" s="25"/>
    </row>
    <row r="1445" customFormat="false" ht="15" hidden="false" customHeight="true" outlineLevel="4" collapsed="false">
      <c r="A1445" s="57" t="s">
        <v>1406</v>
      </c>
      <c r="B1445" s="58" t="s">
        <v>389</v>
      </c>
      <c r="C1445" s="25"/>
    </row>
    <row r="1446" customFormat="false" ht="15" hidden="false" customHeight="true" outlineLevel="3" collapsed="false">
      <c r="A1446" s="54" t="s">
        <v>2460</v>
      </c>
      <c r="B1446" s="55" t="s">
        <v>2461</v>
      </c>
      <c r="C1446" s="56"/>
    </row>
    <row r="1447" customFormat="false" ht="15" hidden="false" customHeight="true" outlineLevel="4" collapsed="false">
      <c r="A1447" s="57" t="s">
        <v>1407</v>
      </c>
      <c r="B1447" s="58" t="s">
        <v>763</v>
      </c>
      <c r="C1447" s="25"/>
    </row>
    <row r="1448" customFormat="false" ht="15" hidden="false" customHeight="true" outlineLevel="4" collapsed="false">
      <c r="A1448" s="57" t="s">
        <v>1408</v>
      </c>
      <c r="B1448" s="58" t="s">
        <v>374</v>
      </c>
      <c r="C1448" s="25"/>
    </row>
    <row r="1449" customFormat="false" ht="15" hidden="false" customHeight="true" outlineLevel="4" collapsed="false">
      <c r="A1449" s="57" t="s">
        <v>1409</v>
      </c>
      <c r="B1449" s="58" t="s">
        <v>381</v>
      </c>
      <c r="C1449" s="25"/>
    </row>
    <row r="1450" customFormat="false" ht="15" hidden="false" customHeight="true" outlineLevel="4" collapsed="false">
      <c r="A1450" s="57" t="s">
        <v>1410</v>
      </c>
      <c r="B1450" s="58" t="s">
        <v>383</v>
      </c>
      <c r="C1450" s="25"/>
    </row>
    <row r="1451" customFormat="false" ht="15" hidden="false" customHeight="true" outlineLevel="4" collapsed="false">
      <c r="A1451" s="57" t="s">
        <v>1411</v>
      </c>
      <c r="B1451" s="58" t="s">
        <v>385</v>
      </c>
      <c r="C1451" s="25"/>
    </row>
    <row r="1452" customFormat="false" ht="15" hidden="false" customHeight="true" outlineLevel="4" collapsed="false">
      <c r="A1452" s="57" t="s">
        <v>1412</v>
      </c>
      <c r="B1452" s="58" t="s">
        <v>387</v>
      </c>
      <c r="C1452" s="25"/>
    </row>
    <row r="1453" customFormat="false" ht="15" hidden="false" customHeight="true" outlineLevel="4" collapsed="false">
      <c r="A1453" s="57" t="s">
        <v>1413</v>
      </c>
      <c r="B1453" s="58" t="s">
        <v>389</v>
      </c>
      <c r="C1453" s="25"/>
    </row>
    <row r="1454" customFormat="false" ht="15" hidden="false" customHeight="true" outlineLevel="3" collapsed="false">
      <c r="A1454" s="54" t="s">
        <v>2462</v>
      </c>
      <c r="B1454" s="55" t="s">
        <v>2463</v>
      </c>
      <c r="C1454" s="56"/>
    </row>
    <row r="1455" customFormat="false" ht="15" hidden="false" customHeight="true" outlineLevel="4" collapsed="false">
      <c r="A1455" s="57" t="s">
        <v>1414</v>
      </c>
      <c r="B1455" s="58" t="s">
        <v>763</v>
      </c>
      <c r="C1455" s="25"/>
    </row>
    <row r="1456" customFormat="false" ht="15" hidden="false" customHeight="true" outlineLevel="4" collapsed="false">
      <c r="A1456" s="57" t="s">
        <v>1415</v>
      </c>
      <c r="B1456" s="58" t="s">
        <v>374</v>
      </c>
      <c r="C1456" s="25"/>
    </row>
    <row r="1457" customFormat="false" ht="15" hidden="false" customHeight="true" outlineLevel="4" collapsed="false">
      <c r="A1457" s="57" t="s">
        <v>1416</v>
      </c>
      <c r="B1457" s="58" t="s">
        <v>381</v>
      </c>
      <c r="C1457" s="25"/>
    </row>
    <row r="1458" customFormat="false" ht="15" hidden="false" customHeight="true" outlineLevel="2" collapsed="false">
      <c r="A1458" s="51" t="s">
        <v>2464</v>
      </c>
      <c r="B1458" s="52" t="s">
        <v>2465</v>
      </c>
      <c r="C1458" s="53"/>
    </row>
    <row r="1459" customFormat="false" ht="15" hidden="false" customHeight="true" outlineLevel="3" collapsed="false">
      <c r="A1459" s="54" t="s">
        <v>2466</v>
      </c>
      <c r="B1459" s="55" t="s">
        <v>2467</v>
      </c>
      <c r="C1459" s="56"/>
    </row>
    <row r="1460" customFormat="false" ht="15" hidden="false" customHeight="true" outlineLevel="4" collapsed="false">
      <c r="A1460" s="57" t="s">
        <v>1417</v>
      </c>
      <c r="B1460" s="58" t="s">
        <v>1418</v>
      </c>
      <c r="C1460" s="25"/>
    </row>
    <row r="1461" customFormat="false" ht="15" hidden="false" customHeight="true" outlineLevel="4" collapsed="false">
      <c r="A1461" s="57" t="s">
        <v>1419</v>
      </c>
      <c r="B1461" s="58" t="s">
        <v>1420</v>
      </c>
      <c r="C1461" s="25"/>
    </row>
    <row r="1462" customFormat="false" ht="15" hidden="false" customHeight="true" outlineLevel="3" collapsed="false">
      <c r="A1462" s="54" t="s">
        <v>2468</v>
      </c>
      <c r="B1462" s="55" t="s">
        <v>2469</v>
      </c>
      <c r="C1462" s="56"/>
    </row>
    <row r="1463" customFormat="false" ht="15" hidden="false" customHeight="true" outlineLevel="4" collapsed="false">
      <c r="A1463" s="57" t="s">
        <v>1421</v>
      </c>
      <c r="B1463" s="58" t="s">
        <v>1418</v>
      </c>
      <c r="C1463" s="25"/>
    </row>
    <row r="1464" customFormat="false" ht="15" hidden="false" customHeight="true" outlineLevel="4" collapsed="false">
      <c r="A1464" s="57" t="s">
        <v>1422</v>
      </c>
      <c r="B1464" s="58" t="s">
        <v>1420</v>
      </c>
      <c r="C1464" s="25"/>
    </row>
    <row r="1465" customFormat="false" ht="15" hidden="false" customHeight="true" outlineLevel="2" collapsed="false">
      <c r="A1465" s="51" t="s">
        <v>2470</v>
      </c>
      <c r="B1465" s="52" t="s">
        <v>2471</v>
      </c>
      <c r="C1465" s="53"/>
    </row>
    <row r="1466" customFormat="false" ht="15" hidden="false" customHeight="true" outlineLevel="3" collapsed="false">
      <c r="A1466" s="54" t="s">
        <v>2472</v>
      </c>
      <c r="B1466" s="55" t="s">
        <v>2473</v>
      </c>
      <c r="C1466" s="56"/>
    </row>
    <row r="1467" customFormat="false" ht="15" hidden="false" customHeight="true" outlineLevel="4" collapsed="false">
      <c r="A1467" s="57" t="s">
        <v>1423</v>
      </c>
      <c r="B1467" s="58" t="s">
        <v>391</v>
      </c>
      <c r="C1467" s="25"/>
    </row>
    <row r="1468" customFormat="false" ht="15" hidden="false" customHeight="true" outlineLevel="4" collapsed="false">
      <c r="A1468" s="57" t="s">
        <v>1424</v>
      </c>
      <c r="B1468" s="58" t="s">
        <v>393</v>
      </c>
      <c r="C1468" s="25"/>
    </row>
    <row r="1469" customFormat="false" ht="15" hidden="false" customHeight="true" outlineLevel="4" collapsed="false">
      <c r="A1469" s="57" t="s">
        <v>1425</v>
      </c>
      <c r="B1469" s="58" t="s">
        <v>395</v>
      </c>
      <c r="C1469" s="25"/>
    </row>
    <row r="1470" customFormat="false" ht="15" hidden="false" customHeight="true" outlineLevel="4" collapsed="false">
      <c r="A1470" s="57" t="s">
        <v>1426</v>
      </c>
      <c r="B1470" s="58" t="s">
        <v>397</v>
      </c>
      <c r="C1470" s="25"/>
    </row>
    <row r="1471" customFormat="false" ht="15" hidden="false" customHeight="true" outlineLevel="4" collapsed="false">
      <c r="A1471" s="57" t="s">
        <v>1427</v>
      </c>
      <c r="B1471" s="58" t="s">
        <v>399</v>
      </c>
      <c r="C1471" s="25"/>
    </row>
    <row r="1472" customFormat="false" ht="15" hidden="false" customHeight="true" outlineLevel="4" collapsed="false">
      <c r="A1472" s="57" t="s">
        <v>1428</v>
      </c>
      <c r="B1472" s="58" t="s">
        <v>401</v>
      </c>
      <c r="C1472" s="25"/>
    </row>
    <row r="1473" customFormat="false" ht="15" hidden="false" customHeight="true" outlineLevel="3" collapsed="false">
      <c r="A1473" s="54" t="s">
        <v>2474</v>
      </c>
      <c r="B1473" s="55" t="s">
        <v>2475</v>
      </c>
      <c r="C1473" s="56"/>
    </row>
    <row r="1474" customFormat="false" ht="15" hidden="false" customHeight="true" outlineLevel="4" collapsed="false">
      <c r="A1474" s="57" t="s">
        <v>1429</v>
      </c>
      <c r="B1474" s="58" t="s">
        <v>391</v>
      </c>
      <c r="C1474" s="25"/>
    </row>
    <row r="1475" customFormat="false" ht="15" hidden="false" customHeight="true" outlineLevel="4" collapsed="false">
      <c r="A1475" s="57" t="s">
        <v>1430</v>
      </c>
      <c r="B1475" s="58" t="s">
        <v>393</v>
      </c>
      <c r="C1475" s="25"/>
    </row>
    <row r="1476" customFormat="false" ht="15" hidden="false" customHeight="true" outlineLevel="4" collapsed="false">
      <c r="A1476" s="57" t="s">
        <v>1431</v>
      </c>
      <c r="B1476" s="58" t="s">
        <v>395</v>
      </c>
      <c r="C1476" s="25"/>
    </row>
    <row r="1477" customFormat="false" ht="15" hidden="false" customHeight="true" outlineLevel="4" collapsed="false">
      <c r="A1477" s="57" t="s">
        <v>1432</v>
      </c>
      <c r="B1477" s="58" t="s">
        <v>397</v>
      </c>
      <c r="C1477" s="25"/>
    </row>
    <row r="1478" customFormat="false" ht="15" hidden="false" customHeight="true" outlineLevel="4" collapsed="false">
      <c r="A1478" s="57" t="s">
        <v>1433</v>
      </c>
      <c r="B1478" s="58" t="s">
        <v>399</v>
      </c>
      <c r="C1478" s="25"/>
    </row>
    <row r="1479" customFormat="false" ht="15" hidden="false" customHeight="true" outlineLevel="4" collapsed="false">
      <c r="A1479" s="57" t="s">
        <v>1434</v>
      </c>
      <c r="B1479" s="58" t="s">
        <v>401</v>
      </c>
      <c r="C1479" s="25"/>
    </row>
    <row r="1480" customFormat="false" ht="15" hidden="false" customHeight="true" outlineLevel="2" collapsed="false">
      <c r="A1480" s="51" t="s">
        <v>2476</v>
      </c>
      <c r="B1480" s="52" t="s">
        <v>2477</v>
      </c>
      <c r="C1480" s="53"/>
    </row>
    <row r="1481" customFormat="false" ht="15" hidden="false" customHeight="true" outlineLevel="3" collapsed="false">
      <c r="A1481" s="54" t="s">
        <v>2478</v>
      </c>
      <c r="B1481" s="55" t="s">
        <v>2479</v>
      </c>
      <c r="C1481" s="56"/>
    </row>
    <row r="1482" customFormat="false" ht="15" hidden="false" customHeight="true" outlineLevel="4" collapsed="false">
      <c r="A1482" s="57" t="s">
        <v>1435</v>
      </c>
      <c r="B1482" s="58" t="s">
        <v>1436</v>
      </c>
      <c r="C1482" s="25"/>
    </row>
    <row r="1483" customFormat="false" ht="15" hidden="false" customHeight="true" outlineLevel="4" collapsed="false">
      <c r="A1483" s="57" t="s">
        <v>1437</v>
      </c>
      <c r="B1483" s="58" t="s">
        <v>1438</v>
      </c>
      <c r="C1483" s="25"/>
    </row>
    <row r="1484" customFormat="false" ht="15" hidden="false" customHeight="true" outlineLevel="4" collapsed="false">
      <c r="A1484" s="57" t="s">
        <v>1439</v>
      </c>
      <c r="B1484" s="58" t="s">
        <v>1440</v>
      </c>
      <c r="C1484" s="25"/>
    </row>
    <row r="1485" customFormat="false" ht="15" hidden="false" customHeight="true" outlineLevel="4" collapsed="false">
      <c r="A1485" s="57" t="s">
        <v>1441</v>
      </c>
      <c r="B1485" s="58" t="s">
        <v>1442</v>
      </c>
      <c r="C1485" s="25"/>
    </row>
    <row r="1486" customFormat="false" ht="15" hidden="false" customHeight="true" outlineLevel="4" collapsed="false">
      <c r="A1486" s="57" t="s">
        <v>1443</v>
      </c>
      <c r="B1486" s="58" t="s">
        <v>1444</v>
      </c>
      <c r="C1486" s="25"/>
    </row>
    <row r="1487" customFormat="false" ht="15" hidden="false" customHeight="true" outlineLevel="3" collapsed="false">
      <c r="A1487" s="54" t="s">
        <v>2480</v>
      </c>
      <c r="B1487" s="55" t="s">
        <v>2181</v>
      </c>
      <c r="C1487" s="56"/>
    </row>
    <row r="1488" customFormat="false" ht="15" hidden="false" customHeight="true" outlineLevel="4" collapsed="false">
      <c r="A1488" s="57" t="s">
        <v>1445</v>
      </c>
      <c r="B1488" s="58" t="s">
        <v>1446</v>
      </c>
      <c r="C1488" s="25"/>
    </row>
    <row r="1489" customFormat="false" ht="15" hidden="false" customHeight="true" outlineLevel="4" collapsed="false">
      <c r="A1489" s="57" t="s">
        <v>1447</v>
      </c>
      <c r="B1489" s="58" t="s">
        <v>1448</v>
      </c>
      <c r="C1489" s="25"/>
    </row>
    <row r="1490" customFormat="false" ht="15" hidden="false" customHeight="true" outlineLevel="2" collapsed="false">
      <c r="A1490" s="51" t="s">
        <v>2481</v>
      </c>
      <c r="B1490" s="52" t="s">
        <v>2482</v>
      </c>
      <c r="C1490" s="53"/>
    </row>
    <row r="1491" customFormat="false" ht="15" hidden="false" customHeight="true" outlineLevel="3" collapsed="false">
      <c r="A1491" s="54" t="s">
        <v>2483</v>
      </c>
      <c r="B1491" s="55" t="s">
        <v>2484</v>
      </c>
      <c r="C1491" s="56"/>
    </row>
    <row r="1492" customFormat="false" ht="15" hidden="false" customHeight="true" outlineLevel="4" collapsed="false">
      <c r="A1492" s="57" t="s">
        <v>1449</v>
      </c>
      <c r="B1492" s="58" t="s">
        <v>374</v>
      </c>
      <c r="C1492" s="25"/>
    </row>
    <row r="1493" customFormat="false" ht="15" hidden="false" customHeight="true" outlineLevel="4" collapsed="false">
      <c r="A1493" s="57" t="s">
        <v>1450</v>
      </c>
      <c r="B1493" s="58" t="s">
        <v>1451</v>
      </c>
      <c r="C1493" s="25"/>
    </row>
    <row r="1494" customFormat="false" ht="15" hidden="false" customHeight="true" outlineLevel="3" collapsed="false">
      <c r="A1494" s="54" t="s">
        <v>2483</v>
      </c>
      <c r="B1494" s="55" t="s">
        <v>2485</v>
      </c>
      <c r="C1494" s="56"/>
    </row>
    <row r="1495" customFormat="false" ht="15" hidden="false" customHeight="true" outlineLevel="4" collapsed="false">
      <c r="A1495" s="57" t="s">
        <v>1452</v>
      </c>
      <c r="B1495" s="58" t="s">
        <v>368</v>
      </c>
      <c r="C1495" s="25"/>
    </row>
    <row r="1496" customFormat="false" ht="15" hidden="false" customHeight="true" outlineLevel="4" collapsed="false">
      <c r="A1496" s="57" t="s">
        <v>1453</v>
      </c>
      <c r="B1496" s="58" t="s">
        <v>370</v>
      </c>
      <c r="C1496" s="25"/>
    </row>
    <row r="1497" customFormat="false" ht="15" hidden="false" customHeight="true" outlineLevel="4" collapsed="false">
      <c r="A1497" s="57" t="s">
        <v>1454</v>
      </c>
      <c r="B1497" s="58" t="s">
        <v>372</v>
      </c>
      <c r="C1497" s="25"/>
    </row>
    <row r="1498" customFormat="false" ht="15" hidden="false" customHeight="true" outlineLevel="4" collapsed="false">
      <c r="A1498" s="57" t="s">
        <v>1455</v>
      </c>
      <c r="B1498" s="58" t="s">
        <v>374</v>
      </c>
      <c r="C1498" s="25"/>
    </row>
    <row r="1499" customFormat="false" ht="15" hidden="false" customHeight="true" outlineLevel="4" collapsed="false">
      <c r="A1499" s="57" t="s">
        <v>1456</v>
      </c>
      <c r="B1499" s="58" t="s">
        <v>381</v>
      </c>
      <c r="C1499" s="25"/>
    </row>
    <row r="1500" customFormat="false" ht="15" hidden="false" customHeight="true" outlineLevel="4" collapsed="false">
      <c r="A1500" s="57" t="s">
        <v>1457</v>
      </c>
      <c r="B1500" s="58" t="s">
        <v>383</v>
      </c>
      <c r="C1500" s="25"/>
    </row>
    <row r="1501" customFormat="false" ht="15" hidden="false" customHeight="true" outlineLevel="4" collapsed="false">
      <c r="A1501" s="57" t="s">
        <v>1458</v>
      </c>
      <c r="B1501" s="58" t="s">
        <v>385</v>
      </c>
      <c r="C1501" s="25"/>
    </row>
    <row r="1502" customFormat="false" ht="15" hidden="false" customHeight="true" outlineLevel="4" collapsed="false">
      <c r="A1502" s="57" t="s">
        <v>1459</v>
      </c>
      <c r="B1502" s="58" t="s">
        <v>387</v>
      </c>
      <c r="C1502" s="25"/>
    </row>
    <row r="1503" customFormat="false" ht="15" hidden="false" customHeight="true" outlineLevel="4" collapsed="false">
      <c r="A1503" s="57" t="s">
        <v>1460</v>
      </c>
      <c r="B1503" s="58" t="s">
        <v>389</v>
      </c>
      <c r="C1503" s="25"/>
    </row>
    <row r="1504" customFormat="false" ht="15" hidden="false" customHeight="true" outlineLevel="3" collapsed="false">
      <c r="A1504" s="54" t="s">
        <v>2486</v>
      </c>
      <c r="B1504" s="55" t="s">
        <v>2158</v>
      </c>
      <c r="C1504" s="56"/>
    </row>
    <row r="1505" customFormat="false" ht="15" hidden="false" customHeight="true" outlineLevel="4" collapsed="false">
      <c r="A1505" s="57" t="s">
        <v>1461</v>
      </c>
      <c r="B1505" s="58" t="s">
        <v>368</v>
      </c>
      <c r="C1505" s="25"/>
    </row>
    <row r="1506" customFormat="false" ht="15" hidden="false" customHeight="true" outlineLevel="4" collapsed="false">
      <c r="A1506" s="57" t="s">
        <v>1462</v>
      </c>
      <c r="B1506" s="58" t="s">
        <v>370</v>
      </c>
      <c r="C1506" s="25"/>
    </row>
    <row r="1507" customFormat="false" ht="15" hidden="false" customHeight="true" outlineLevel="4" collapsed="false">
      <c r="A1507" s="57" t="s">
        <v>1463</v>
      </c>
      <c r="B1507" s="58" t="s">
        <v>372</v>
      </c>
      <c r="C1507" s="25"/>
    </row>
    <row r="1508" customFormat="false" ht="15" hidden="false" customHeight="true" outlineLevel="4" collapsed="false">
      <c r="A1508" s="57" t="s">
        <v>1464</v>
      </c>
      <c r="B1508" s="58" t="s">
        <v>374</v>
      </c>
      <c r="C1508" s="25"/>
    </row>
    <row r="1509" customFormat="false" ht="15" hidden="false" customHeight="true" outlineLevel="4" collapsed="false">
      <c r="A1509" s="57" t="s">
        <v>1465</v>
      </c>
      <c r="B1509" s="58" t="s">
        <v>381</v>
      </c>
      <c r="C1509" s="25"/>
    </row>
    <row r="1510" customFormat="false" ht="15" hidden="false" customHeight="true" outlineLevel="4" collapsed="false">
      <c r="A1510" s="57" t="s">
        <v>1466</v>
      </c>
      <c r="B1510" s="58" t="s">
        <v>383</v>
      </c>
      <c r="C1510" s="25"/>
    </row>
    <row r="1511" customFormat="false" ht="15" hidden="false" customHeight="true" outlineLevel="4" collapsed="false">
      <c r="A1511" s="57" t="s">
        <v>1467</v>
      </c>
      <c r="B1511" s="58" t="s">
        <v>385</v>
      </c>
      <c r="C1511" s="25"/>
    </row>
    <row r="1512" customFormat="false" ht="15" hidden="false" customHeight="true" outlineLevel="4" collapsed="false">
      <c r="A1512" s="57" t="s">
        <v>1468</v>
      </c>
      <c r="B1512" s="58" t="s">
        <v>387</v>
      </c>
      <c r="C1512" s="25"/>
    </row>
    <row r="1513" customFormat="false" ht="15" hidden="false" customHeight="true" outlineLevel="4" collapsed="false">
      <c r="A1513" s="57" t="s">
        <v>1469</v>
      </c>
      <c r="B1513" s="58" t="s">
        <v>389</v>
      </c>
      <c r="C1513" s="25"/>
    </row>
    <row r="1514" customFormat="false" ht="15" hidden="false" customHeight="true" outlineLevel="3" collapsed="false">
      <c r="A1514" s="54" t="s">
        <v>2487</v>
      </c>
      <c r="B1514" s="55" t="s">
        <v>2169</v>
      </c>
      <c r="C1514" s="56"/>
    </row>
    <row r="1515" customFormat="false" ht="15" hidden="false" customHeight="true" outlineLevel="4" collapsed="false">
      <c r="A1515" s="57" t="s">
        <v>1470</v>
      </c>
      <c r="B1515" s="58" t="s">
        <v>391</v>
      </c>
      <c r="C1515" s="25"/>
    </row>
    <row r="1516" customFormat="false" ht="15" hidden="false" customHeight="true" outlineLevel="4" collapsed="false">
      <c r="A1516" s="57" t="s">
        <v>1471</v>
      </c>
      <c r="B1516" s="58" t="s">
        <v>393</v>
      </c>
      <c r="C1516" s="25"/>
    </row>
    <row r="1517" customFormat="false" ht="15" hidden="false" customHeight="true" outlineLevel="4" collapsed="false">
      <c r="A1517" s="57" t="s">
        <v>1472</v>
      </c>
      <c r="B1517" s="58" t="s">
        <v>395</v>
      </c>
      <c r="C1517" s="25"/>
    </row>
    <row r="1518" customFormat="false" ht="15" hidden="false" customHeight="true" outlineLevel="4" collapsed="false">
      <c r="A1518" s="57" t="s">
        <v>1473</v>
      </c>
      <c r="B1518" s="58" t="s">
        <v>397</v>
      </c>
      <c r="C1518" s="25"/>
    </row>
    <row r="1519" customFormat="false" ht="15" hidden="false" customHeight="true" outlineLevel="4" collapsed="false">
      <c r="A1519" s="57" t="s">
        <v>1474</v>
      </c>
      <c r="B1519" s="58" t="s">
        <v>399</v>
      </c>
      <c r="C1519" s="25"/>
    </row>
    <row r="1520" customFormat="false" ht="15" hidden="false" customHeight="true" outlineLevel="4" collapsed="false">
      <c r="A1520" s="57" t="s">
        <v>1475</v>
      </c>
      <c r="B1520" s="58" t="s">
        <v>401</v>
      </c>
      <c r="C1520" s="25"/>
    </row>
    <row r="1521" customFormat="false" ht="15" hidden="false" customHeight="true" outlineLevel="4" collapsed="false">
      <c r="A1521" s="57" t="s">
        <v>1476</v>
      </c>
      <c r="B1521" s="58" t="s">
        <v>602</v>
      </c>
      <c r="C1521" s="25"/>
    </row>
    <row r="1522" customFormat="false" ht="15" hidden="false" customHeight="true" outlineLevel="3" collapsed="false">
      <c r="A1522" s="54" t="s">
        <v>2488</v>
      </c>
      <c r="B1522" s="55" t="s">
        <v>2489</v>
      </c>
      <c r="C1522" s="56"/>
    </row>
    <row r="1523" customFormat="false" ht="15" hidden="false" customHeight="true" outlineLevel="4" collapsed="false">
      <c r="A1523" s="57" t="s">
        <v>1477</v>
      </c>
      <c r="B1523" s="58" t="s">
        <v>1418</v>
      </c>
      <c r="C1523" s="25"/>
    </row>
    <row r="1524" customFormat="false" ht="15" hidden="false" customHeight="true" outlineLevel="4" collapsed="false">
      <c r="A1524" s="57" t="s">
        <v>1478</v>
      </c>
      <c r="B1524" s="58" t="s">
        <v>1420</v>
      </c>
      <c r="C1524" s="25"/>
    </row>
    <row r="1525" customFormat="false" ht="15" hidden="false" customHeight="true" outlineLevel="2" collapsed="false">
      <c r="A1525" s="51" t="s">
        <v>2490</v>
      </c>
      <c r="B1525" s="52" t="s">
        <v>2491</v>
      </c>
      <c r="C1525" s="53"/>
    </row>
    <row r="1526" customFormat="false" ht="15" hidden="false" customHeight="true" outlineLevel="3" collapsed="false">
      <c r="A1526" s="54" t="s">
        <v>2492</v>
      </c>
      <c r="B1526" s="55" t="s">
        <v>1024</v>
      </c>
      <c r="C1526" s="56"/>
    </row>
    <row r="1527" customFormat="false" ht="15" hidden="false" customHeight="true" outlineLevel="4" collapsed="false">
      <c r="A1527" s="57" t="s">
        <v>1479</v>
      </c>
      <c r="B1527" s="58" t="s">
        <v>1480</v>
      </c>
      <c r="C1527" s="25"/>
    </row>
    <row r="1528" customFormat="false" ht="15" hidden="false" customHeight="true" outlineLevel="4" collapsed="false">
      <c r="A1528" s="57" t="s">
        <v>1481</v>
      </c>
      <c r="B1528" s="58" t="s">
        <v>1482</v>
      </c>
      <c r="C1528" s="25"/>
    </row>
    <row r="1529" customFormat="false" ht="15" hidden="false" customHeight="true" outlineLevel="3" collapsed="false">
      <c r="A1529" s="54" t="s">
        <v>2493</v>
      </c>
      <c r="B1529" s="55" t="s">
        <v>1026</v>
      </c>
      <c r="C1529" s="56"/>
    </row>
    <row r="1530" customFormat="false" ht="15" hidden="false" customHeight="true" outlineLevel="4" collapsed="false">
      <c r="A1530" s="57" t="s">
        <v>1483</v>
      </c>
      <c r="B1530" s="58" t="s">
        <v>1484</v>
      </c>
      <c r="C1530" s="25"/>
    </row>
    <row r="1531" customFormat="false" ht="15" hidden="false" customHeight="true" outlineLevel="4" collapsed="false">
      <c r="A1531" s="57" t="s">
        <v>1485</v>
      </c>
      <c r="B1531" s="58" t="s">
        <v>1486</v>
      </c>
      <c r="C1531" s="25"/>
    </row>
    <row r="1532" customFormat="false" ht="15" hidden="false" customHeight="true" outlineLevel="3" collapsed="false">
      <c r="A1532" s="54" t="s">
        <v>1487</v>
      </c>
      <c r="B1532" s="55" t="s">
        <v>1028</v>
      </c>
      <c r="C1532" s="25"/>
    </row>
    <row r="1533" customFormat="false" ht="15" hidden="false" customHeight="true" outlineLevel="3" collapsed="false">
      <c r="A1533" s="54" t="s">
        <v>2494</v>
      </c>
      <c r="B1533" s="55" t="s">
        <v>1030</v>
      </c>
      <c r="C1533" s="56"/>
    </row>
    <row r="1534" customFormat="false" ht="15" hidden="false" customHeight="true" outlineLevel="4" collapsed="false">
      <c r="A1534" s="57" t="s">
        <v>1488</v>
      </c>
      <c r="B1534" s="58" t="s">
        <v>1489</v>
      </c>
      <c r="C1534" s="25"/>
    </row>
    <row r="1535" customFormat="false" ht="15" hidden="false" customHeight="true" outlineLevel="4" collapsed="false">
      <c r="A1535" s="57" t="s">
        <v>1490</v>
      </c>
      <c r="B1535" s="58" t="s">
        <v>1491</v>
      </c>
      <c r="C1535" s="25"/>
    </row>
    <row r="1536" customFormat="false" ht="15" hidden="false" customHeight="true" outlineLevel="3" collapsed="false">
      <c r="A1536" s="54" t="s">
        <v>2495</v>
      </c>
      <c r="B1536" s="55" t="s">
        <v>1034</v>
      </c>
      <c r="C1536" s="56"/>
    </row>
    <row r="1537" customFormat="false" ht="15" hidden="false" customHeight="true" outlineLevel="4" collapsed="false">
      <c r="A1537" s="57" t="s">
        <v>1492</v>
      </c>
      <c r="B1537" s="58" t="s">
        <v>1493</v>
      </c>
      <c r="C1537" s="25"/>
    </row>
    <row r="1538" customFormat="false" ht="15" hidden="false" customHeight="true" outlineLevel="4" collapsed="false">
      <c r="A1538" s="57" t="s">
        <v>1494</v>
      </c>
      <c r="B1538" s="58" t="s">
        <v>1495</v>
      </c>
      <c r="C1538" s="25"/>
    </row>
    <row r="1539" customFormat="false" ht="15" hidden="false" customHeight="true" outlineLevel="3" collapsed="false">
      <c r="A1539" s="54" t="s">
        <v>2496</v>
      </c>
      <c r="B1539" s="55" t="s">
        <v>1036</v>
      </c>
      <c r="C1539" s="56"/>
    </row>
    <row r="1540" customFormat="false" ht="15" hidden="false" customHeight="true" outlineLevel="4" collapsed="false">
      <c r="A1540" s="57" t="s">
        <v>1496</v>
      </c>
      <c r="B1540" s="58" t="s">
        <v>1497</v>
      </c>
      <c r="C1540" s="25"/>
    </row>
    <row r="1541" customFormat="false" ht="15" hidden="false" customHeight="true" outlineLevel="4" collapsed="false">
      <c r="A1541" s="57" t="s">
        <v>1498</v>
      </c>
      <c r="B1541" s="58" t="s">
        <v>1499</v>
      </c>
      <c r="C1541" s="25"/>
    </row>
    <row r="1542" customFormat="false" ht="15" hidden="false" customHeight="true" outlineLevel="3" collapsed="false">
      <c r="A1542" s="54" t="s">
        <v>1500</v>
      </c>
      <c r="B1542" s="55" t="s">
        <v>1038</v>
      </c>
      <c r="C1542" s="25"/>
    </row>
    <row r="1543" customFormat="false" ht="15" hidden="false" customHeight="true" outlineLevel="1" collapsed="false">
      <c r="A1543" s="49" t="s">
        <v>2497</v>
      </c>
      <c r="B1543" s="49" t="s">
        <v>2498</v>
      </c>
      <c r="C1543" s="50"/>
    </row>
    <row r="1544" customFormat="false" ht="15" hidden="false" customHeight="true" outlineLevel="2" collapsed="false">
      <c r="A1544" s="51" t="s">
        <v>2499</v>
      </c>
      <c r="B1544" s="52" t="s">
        <v>407</v>
      </c>
      <c r="C1544" s="53"/>
    </row>
    <row r="1545" customFormat="false" ht="15" hidden="false" customHeight="true" outlineLevel="3" collapsed="false">
      <c r="A1545" s="54" t="s">
        <v>2500</v>
      </c>
      <c r="B1545" s="55" t="s">
        <v>2501</v>
      </c>
      <c r="C1545" s="56"/>
    </row>
    <row r="1546" customFormat="false" ht="15" hidden="false" customHeight="true" outlineLevel="4" collapsed="false">
      <c r="A1546" s="57" t="s">
        <v>1501</v>
      </c>
      <c r="B1546" s="58" t="s">
        <v>1502</v>
      </c>
      <c r="C1546" s="25"/>
    </row>
    <row r="1547" customFormat="false" ht="15" hidden="false" customHeight="true" outlineLevel="4" collapsed="false">
      <c r="A1547" s="57" t="s">
        <v>1503</v>
      </c>
      <c r="B1547" s="58" t="s">
        <v>1504</v>
      </c>
      <c r="C1547" s="25"/>
    </row>
    <row r="1548" customFormat="false" ht="15" hidden="false" customHeight="true" outlineLevel="3" collapsed="false">
      <c r="A1548" s="54" t="s">
        <v>2502</v>
      </c>
      <c r="B1548" s="55" t="s">
        <v>1540</v>
      </c>
      <c r="C1548" s="56"/>
    </row>
    <row r="1549" customFormat="false" ht="15" hidden="false" customHeight="true" outlineLevel="4" collapsed="false">
      <c r="A1549" s="57" t="s">
        <v>1505</v>
      </c>
      <c r="B1549" s="58" t="s">
        <v>1502</v>
      </c>
      <c r="C1549" s="25"/>
    </row>
    <row r="1550" customFormat="false" ht="15" hidden="false" customHeight="true" outlineLevel="4" collapsed="false">
      <c r="A1550" s="57" t="s">
        <v>1506</v>
      </c>
      <c r="B1550" s="58" t="s">
        <v>1504</v>
      </c>
      <c r="C1550" s="25"/>
    </row>
    <row r="1551" customFormat="false" ht="15" hidden="false" customHeight="true" outlineLevel="2" collapsed="false">
      <c r="A1551" s="51" t="s">
        <v>2503</v>
      </c>
      <c r="B1551" s="52" t="s">
        <v>1328</v>
      </c>
      <c r="C1551" s="53"/>
    </row>
    <row r="1552" customFormat="false" ht="15" hidden="false" customHeight="true" outlineLevel="3" collapsed="false">
      <c r="A1552" s="54" t="s">
        <v>2504</v>
      </c>
      <c r="B1552" s="55" t="s">
        <v>2505</v>
      </c>
      <c r="C1552" s="56"/>
    </row>
    <row r="1553" customFormat="false" ht="15" hidden="false" customHeight="true" outlineLevel="4" collapsed="false">
      <c r="A1553" s="57" t="s">
        <v>1507</v>
      </c>
      <c r="B1553" s="58" t="s">
        <v>1502</v>
      </c>
      <c r="C1553" s="25"/>
    </row>
    <row r="1554" customFormat="false" ht="15" hidden="false" customHeight="true" outlineLevel="4" collapsed="false">
      <c r="A1554" s="57" t="s">
        <v>1508</v>
      </c>
      <c r="B1554" s="58" t="s">
        <v>1504</v>
      </c>
      <c r="C1554" s="25"/>
    </row>
    <row r="1555" customFormat="false" ht="15" hidden="false" customHeight="true" outlineLevel="3" collapsed="false">
      <c r="A1555" s="54" t="s">
        <v>2506</v>
      </c>
      <c r="B1555" s="55" t="s">
        <v>2507</v>
      </c>
      <c r="C1555" s="56"/>
    </row>
    <row r="1556" customFormat="false" ht="15" hidden="false" customHeight="true" outlineLevel="4" collapsed="false">
      <c r="A1556" s="57" t="s">
        <v>1509</v>
      </c>
      <c r="B1556" s="58" t="s">
        <v>1502</v>
      </c>
      <c r="C1556" s="25"/>
    </row>
    <row r="1557" customFormat="false" ht="15" hidden="false" customHeight="true" outlineLevel="4" collapsed="false">
      <c r="A1557" s="57" t="s">
        <v>1510</v>
      </c>
      <c r="B1557" s="58" t="s">
        <v>1504</v>
      </c>
      <c r="C1557" s="25"/>
    </row>
    <row r="1558" customFormat="false" ht="15" hidden="false" customHeight="true" outlineLevel="3" collapsed="false">
      <c r="A1558" s="54" t="s">
        <v>2508</v>
      </c>
      <c r="B1558" s="55" t="s">
        <v>2509</v>
      </c>
      <c r="C1558" s="56"/>
    </row>
    <row r="1559" customFormat="false" ht="15" hidden="false" customHeight="true" outlineLevel="4" collapsed="false">
      <c r="A1559" s="57" t="s">
        <v>1511</v>
      </c>
      <c r="B1559" s="58" t="s">
        <v>1502</v>
      </c>
      <c r="C1559" s="25"/>
    </row>
    <row r="1560" customFormat="false" ht="15" hidden="false" customHeight="true" outlineLevel="4" collapsed="false">
      <c r="A1560" s="57" t="s">
        <v>1512</v>
      </c>
      <c r="B1560" s="58" t="s">
        <v>1504</v>
      </c>
      <c r="C1560" s="25"/>
    </row>
    <row r="1561" customFormat="false" ht="15" hidden="false" customHeight="true" outlineLevel="3" collapsed="false">
      <c r="A1561" s="54" t="s">
        <v>1513</v>
      </c>
      <c r="B1561" s="55" t="s">
        <v>1514</v>
      </c>
      <c r="C1561" s="25"/>
    </row>
    <row r="1562" customFormat="false" ht="15" hidden="false" customHeight="true" outlineLevel="3" collapsed="false">
      <c r="A1562" s="54" t="s">
        <v>1515</v>
      </c>
      <c r="B1562" s="55" t="s">
        <v>1516</v>
      </c>
      <c r="C1562" s="25"/>
    </row>
    <row r="1563" customFormat="false" ht="15" hidden="false" customHeight="true" outlineLevel="2" collapsed="false">
      <c r="A1563" s="51" t="s">
        <v>2510</v>
      </c>
      <c r="B1563" s="52" t="s">
        <v>1892</v>
      </c>
      <c r="C1563" s="53"/>
    </row>
    <row r="1564" customFormat="false" ht="15" hidden="false" customHeight="true" outlineLevel="3" collapsed="false">
      <c r="A1564" s="54" t="s">
        <v>2511</v>
      </c>
      <c r="B1564" s="55" t="s">
        <v>2512</v>
      </c>
      <c r="C1564" s="56"/>
    </row>
    <row r="1565" customFormat="false" ht="15" hidden="false" customHeight="true" outlineLevel="4" collapsed="false">
      <c r="A1565" s="57" t="s">
        <v>1517</v>
      </c>
      <c r="B1565" s="58" t="s">
        <v>1502</v>
      </c>
      <c r="C1565" s="25"/>
    </row>
    <row r="1566" customFormat="false" ht="15" hidden="false" customHeight="true" outlineLevel="4" collapsed="false">
      <c r="A1566" s="57" t="s">
        <v>1518</v>
      </c>
      <c r="B1566" s="58" t="s">
        <v>1504</v>
      </c>
      <c r="C1566" s="25"/>
    </row>
    <row r="1567" customFormat="false" ht="15" hidden="false" customHeight="true" outlineLevel="3" collapsed="false">
      <c r="A1567" s="54" t="s">
        <v>2513</v>
      </c>
      <c r="B1567" s="55" t="s">
        <v>2514</v>
      </c>
      <c r="C1567" s="56"/>
    </row>
    <row r="1568" customFormat="false" ht="15" hidden="false" customHeight="true" outlineLevel="4" collapsed="false">
      <c r="A1568" s="57" t="s">
        <v>1519</v>
      </c>
      <c r="B1568" s="58" t="s">
        <v>1502</v>
      </c>
      <c r="C1568" s="25"/>
    </row>
    <row r="1569" customFormat="false" ht="15" hidden="false" customHeight="true" outlineLevel="4" collapsed="false">
      <c r="A1569" s="57" t="s">
        <v>1520</v>
      </c>
      <c r="B1569" s="58" t="s">
        <v>1504</v>
      </c>
      <c r="C1569" s="25"/>
    </row>
    <row r="1570" customFormat="false" ht="15" hidden="false" customHeight="true" outlineLevel="2" collapsed="false">
      <c r="A1570" s="51" t="s">
        <v>2515</v>
      </c>
      <c r="B1570" s="52" t="s">
        <v>1528</v>
      </c>
      <c r="C1570" s="53"/>
    </row>
    <row r="1571" customFormat="false" ht="15" hidden="false" customHeight="true" outlineLevel="3" collapsed="false">
      <c r="A1571" s="54" t="s">
        <v>2516</v>
      </c>
      <c r="B1571" s="55" t="s">
        <v>254</v>
      </c>
      <c r="C1571" s="56"/>
    </row>
    <row r="1572" customFormat="false" ht="15" hidden="false" customHeight="true" outlineLevel="4" collapsed="false">
      <c r="A1572" s="57" t="s">
        <v>1521</v>
      </c>
      <c r="B1572" s="58" t="s">
        <v>1502</v>
      </c>
      <c r="C1572" s="25"/>
    </row>
    <row r="1573" customFormat="false" ht="15" hidden="false" customHeight="true" outlineLevel="4" collapsed="false">
      <c r="A1573" s="57" t="s">
        <v>1522</v>
      </c>
      <c r="B1573" s="58" t="s">
        <v>1504</v>
      </c>
      <c r="C1573" s="25"/>
    </row>
    <row r="1574" customFormat="false" ht="15" hidden="false" customHeight="true" outlineLevel="3" collapsed="false">
      <c r="A1574" s="54" t="s">
        <v>2517</v>
      </c>
      <c r="B1574" s="55" t="s">
        <v>256</v>
      </c>
      <c r="C1574" s="56"/>
    </row>
    <row r="1575" customFormat="false" ht="15" hidden="false" customHeight="true" outlineLevel="4" collapsed="false">
      <c r="A1575" s="57" t="s">
        <v>1523</v>
      </c>
      <c r="B1575" s="58" t="s">
        <v>1502</v>
      </c>
      <c r="C1575" s="25"/>
    </row>
    <row r="1576" customFormat="false" ht="15" hidden="false" customHeight="true" outlineLevel="4" collapsed="false">
      <c r="A1576" s="57" t="s">
        <v>1524</v>
      </c>
      <c r="B1576" s="58" t="s">
        <v>1504</v>
      </c>
      <c r="C1576" s="25"/>
    </row>
    <row r="1577" customFormat="false" ht="15" hidden="false" customHeight="true" outlineLevel="2" collapsed="false">
      <c r="A1577" s="51" t="s">
        <v>2518</v>
      </c>
      <c r="B1577" s="52" t="s">
        <v>2519</v>
      </c>
      <c r="C1577" s="53"/>
    </row>
    <row r="1578" customFormat="false" ht="15" hidden="false" customHeight="true" outlineLevel="3" collapsed="false">
      <c r="A1578" s="54" t="s">
        <v>1525</v>
      </c>
      <c r="B1578" s="55" t="s">
        <v>407</v>
      </c>
      <c r="C1578" s="25"/>
    </row>
    <row r="1579" customFormat="false" ht="15" hidden="false" customHeight="true" outlineLevel="3" collapsed="false">
      <c r="A1579" s="54" t="s">
        <v>1526</v>
      </c>
      <c r="B1579" s="55" t="s">
        <v>1328</v>
      </c>
      <c r="C1579" s="25"/>
    </row>
    <row r="1580" customFormat="false" ht="15" hidden="false" customHeight="true" outlineLevel="3" collapsed="false">
      <c r="A1580" s="54" t="s">
        <v>1527</v>
      </c>
      <c r="B1580" s="55" t="s">
        <v>1528</v>
      </c>
      <c r="C1580" s="25"/>
    </row>
    <row r="1581" customFormat="false" ht="15" hidden="false" customHeight="true" outlineLevel="3" collapsed="false">
      <c r="A1581" s="54" t="s">
        <v>1529</v>
      </c>
      <c r="B1581" s="55" t="s">
        <v>1530</v>
      </c>
      <c r="C1581" s="25"/>
    </row>
    <row r="1582" customFormat="false" ht="15" hidden="false" customHeight="true" outlineLevel="3" collapsed="false">
      <c r="A1582" s="54" t="s">
        <v>1531</v>
      </c>
      <c r="B1582" s="55" t="s">
        <v>409</v>
      </c>
      <c r="C1582" s="25"/>
    </row>
    <row r="1583" customFormat="false" ht="15" hidden="false" customHeight="true" outlineLevel="3" collapsed="false">
      <c r="A1583" s="54" t="s">
        <v>1532</v>
      </c>
      <c r="B1583" s="55" t="s">
        <v>411</v>
      </c>
      <c r="C1583" s="25"/>
    </row>
    <row r="1584" customFormat="false" ht="15" hidden="false" customHeight="true" outlineLevel="3" collapsed="false">
      <c r="A1584" s="54" t="s">
        <v>1533</v>
      </c>
      <c r="B1584" s="55" t="s">
        <v>413</v>
      </c>
      <c r="C1584" s="25"/>
    </row>
    <row r="1585" customFormat="false" ht="15" hidden="false" customHeight="true" outlineLevel="3" collapsed="false">
      <c r="A1585" s="54" t="s">
        <v>1534</v>
      </c>
      <c r="B1585" s="55" t="s">
        <v>1535</v>
      </c>
      <c r="C1585" s="25"/>
    </row>
    <row r="1586" customFormat="false" ht="19.5" hidden="false" customHeight="true" outlineLevel="0" collapsed="false">
      <c r="A1586" s="48" t="s">
        <v>2520</v>
      </c>
      <c r="B1586" s="48"/>
      <c r="C1586" s="48"/>
    </row>
    <row r="1587" customFormat="false" ht="15" hidden="false" customHeight="true" outlineLevel="1" collapsed="false">
      <c r="A1587" s="49" t="s">
        <v>2521</v>
      </c>
      <c r="B1587" s="49" t="s">
        <v>2522</v>
      </c>
      <c r="C1587" s="50"/>
    </row>
    <row r="1588" customFormat="false" ht="15" hidden="false" customHeight="true" outlineLevel="2" collapsed="false">
      <c r="A1588" s="51" t="s">
        <v>2523</v>
      </c>
      <c r="B1588" s="52" t="s">
        <v>407</v>
      </c>
      <c r="C1588" s="53"/>
    </row>
    <row r="1589" customFormat="false" ht="15" hidden="false" customHeight="true" outlineLevel="3" collapsed="false">
      <c r="A1589" s="54" t="s">
        <v>2524</v>
      </c>
      <c r="B1589" s="55" t="s">
        <v>2525</v>
      </c>
      <c r="C1589" s="56"/>
    </row>
    <row r="1590" customFormat="false" ht="15" hidden="false" customHeight="true" outlineLevel="4" collapsed="false">
      <c r="A1590" s="57" t="s">
        <v>1536</v>
      </c>
      <c r="B1590" s="58" t="s">
        <v>1502</v>
      </c>
      <c r="C1590" s="25"/>
    </row>
    <row r="1591" customFormat="false" ht="15" hidden="false" customHeight="true" outlineLevel="4" collapsed="false">
      <c r="A1591" s="57" t="s">
        <v>1538</v>
      </c>
      <c r="B1591" s="58" t="s">
        <v>1504</v>
      </c>
      <c r="C1591" s="25"/>
    </row>
    <row r="1592" customFormat="false" ht="15" hidden="false" customHeight="true" outlineLevel="3" collapsed="false">
      <c r="A1592" s="54" t="s">
        <v>1539</v>
      </c>
      <c r="B1592" s="55" t="s">
        <v>1540</v>
      </c>
      <c r="C1592" s="25"/>
    </row>
    <row r="1593" customFormat="false" ht="15" hidden="false" customHeight="true" outlineLevel="4" collapsed="false">
      <c r="A1593" s="57" t="s">
        <v>1536</v>
      </c>
      <c r="B1593" s="58" t="s">
        <v>1502</v>
      </c>
      <c r="C1593" s="25"/>
    </row>
    <row r="1594" customFormat="false" ht="15" hidden="false" customHeight="true" outlineLevel="4" collapsed="false">
      <c r="A1594" s="57" t="s">
        <v>1538</v>
      </c>
      <c r="B1594" s="58" t="s">
        <v>1504</v>
      </c>
      <c r="C1594" s="25"/>
    </row>
    <row r="1595" customFormat="false" ht="15" hidden="false" customHeight="true" outlineLevel="2" collapsed="false">
      <c r="A1595" s="51" t="s">
        <v>2526</v>
      </c>
      <c r="B1595" s="52" t="s">
        <v>1328</v>
      </c>
      <c r="C1595" s="53"/>
    </row>
    <row r="1596" customFormat="false" ht="15" hidden="false" customHeight="true" outlineLevel="3" collapsed="false">
      <c r="A1596" s="54" t="s">
        <v>2527</v>
      </c>
      <c r="B1596" s="55" t="s">
        <v>2528</v>
      </c>
      <c r="C1596" s="56"/>
    </row>
    <row r="1597" customFormat="false" ht="15" hidden="false" customHeight="true" outlineLevel="4" collapsed="false">
      <c r="A1597" s="57" t="s">
        <v>1541</v>
      </c>
      <c r="B1597" s="58" t="s">
        <v>1502</v>
      </c>
      <c r="C1597" s="25"/>
    </row>
    <row r="1598" customFormat="false" ht="15" hidden="false" customHeight="true" outlineLevel="4" collapsed="false">
      <c r="A1598" s="57" t="s">
        <v>1542</v>
      </c>
      <c r="B1598" s="58" t="s">
        <v>1504</v>
      </c>
      <c r="C1598" s="25"/>
    </row>
    <row r="1599" customFormat="false" ht="15" hidden="false" customHeight="true" outlineLevel="3" collapsed="false">
      <c r="A1599" s="54" t="s">
        <v>2529</v>
      </c>
      <c r="B1599" s="55" t="s">
        <v>2530</v>
      </c>
      <c r="C1599" s="56"/>
    </row>
    <row r="1600" customFormat="false" ht="15" hidden="false" customHeight="true" outlineLevel="4" collapsed="false">
      <c r="A1600" s="57" t="s">
        <v>1543</v>
      </c>
      <c r="B1600" s="58" t="s">
        <v>1502</v>
      </c>
      <c r="C1600" s="25"/>
    </row>
    <row r="1601" customFormat="false" ht="15" hidden="false" customHeight="true" outlineLevel="4" collapsed="false">
      <c r="A1601" s="57" t="s">
        <v>1544</v>
      </c>
      <c r="B1601" s="58" t="s">
        <v>1504</v>
      </c>
      <c r="C1601" s="25"/>
    </row>
    <row r="1602" customFormat="false" ht="15" hidden="false" customHeight="true" outlineLevel="2" collapsed="false">
      <c r="A1602" s="51" t="s">
        <v>2531</v>
      </c>
      <c r="B1602" s="52" t="s">
        <v>1892</v>
      </c>
      <c r="C1602" s="53"/>
    </row>
    <row r="1603" customFormat="false" ht="15" hidden="false" customHeight="true" outlineLevel="3" collapsed="false">
      <c r="A1603" s="54" t="s">
        <v>2532</v>
      </c>
      <c r="B1603" s="55" t="s">
        <v>2533</v>
      </c>
      <c r="C1603" s="56"/>
    </row>
    <row r="1604" customFormat="false" ht="15" hidden="false" customHeight="true" outlineLevel="4" collapsed="false">
      <c r="A1604" s="57" t="s">
        <v>1545</v>
      </c>
      <c r="B1604" s="58" t="s">
        <v>1502</v>
      </c>
      <c r="C1604" s="25"/>
    </row>
    <row r="1605" customFormat="false" ht="15" hidden="false" customHeight="true" outlineLevel="4" collapsed="false">
      <c r="A1605" s="57" t="s">
        <v>1546</v>
      </c>
      <c r="B1605" s="58" t="s">
        <v>1504</v>
      </c>
      <c r="C1605" s="25"/>
    </row>
    <row r="1606" customFormat="false" ht="15" hidden="false" customHeight="true" outlineLevel="3" collapsed="false">
      <c r="A1606" s="54" t="s">
        <v>2534</v>
      </c>
      <c r="B1606" s="55" t="s">
        <v>2514</v>
      </c>
      <c r="C1606" s="56"/>
    </row>
    <row r="1607" customFormat="false" ht="15" hidden="false" customHeight="true" outlineLevel="4" collapsed="false">
      <c r="A1607" s="57" t="s">
        <v>1547</v>
      </c>
      <c r="B1607" s="58" t="s">
        <v>1502</v>
      </c>
      <c r="C1607" s="25"/>
    </row>
    <row r="1608" customFormat="false" ht="15" hidden="false" customHeight="true" outlineLevel="4" collapsed="false">
      <c r="A1608" s="57" t="s">
        <v>1548</v>
      </c>
      <c r="B1608" s="58" t="s">
        <v>1504</v>
      </c>
      <c r="C1608" s="25"/>
    </row>
    <row r="1609" customFormat="false" ht="15" hidden="false" customHeight="true" outlineLevel="2" collapsed="false">
      <c r="A1609" s="51" t="s">
        <v>2535</v>
      </c>
      <c r="B1609" s="52" t="s">
        <v>1528</v>
      </c>
      <c r="C1609" s="53"/>
    </row>
    <row r="1610" customFormat="false" ht="15" hidden="false" customHeight="true" outlineLevel="3" collapsed="false">
      <c r="A1610" s="54" t="s">
        <v>2536</v>
      </c>
      <c r="B1610" s="55" t="s">
        <v>254</v>
      </c>
      <c r="C1610" s="56"/>
    </row>
    <row r="1611" customFormat="false" ht="15" hidden="false" customHeight="true" outlineLevel="4" collapsed="false">
      <c r="A1611" s="57" t="s">
        <v>1549</v>
      </c>
      <c r="B1611" s="58" t="s">
        <v>1502</v>
      </c>
      <c r="C1611" s="25"/>
    </row>
    <row r="1612" customFormat="false" ht="15" hidden="false" customHeight="true" outlineLevel="4" collapsed="false">
      <c r="A1612" s="57" t="s">
        <v>1550</v>
      </c>
      <c r="B1612" s="58" t="s">
        <v>1504</v>
      </c>
      <c r="C1612" s="25"/>
    </row>
    <row r="1613" customFormat="false" ht="15" hidden="false" customHeight="true" outlineLevel="3" collapsed="false">
      <c r="A1613" s="54" t="s">
        <v>2537</v>
      </c>
      <c r="B1613" s="55" t="s">
        <v>256</v>
      </c>
      <c r="C1613" s="56"/>
    </row>
    <row r="1614" customFormat="false" ht="15" hidden="false" customHeight="true" outlineLevel="4" collapsed="false">
      <c r="A1614" s="57" t="s">
        <v>1551</v>
      </c>
      <c r="B1614" s="58" t="s">
        <v>1502</v>
      </c>
      <c r="C1614" s="25"/>
    </row>
    <row r="1615" customFormat="false" ht="15" hidden="false" customHeight="true" outlineLevel="4" collapsed="false">
      <c r="A1615" s="57" t="s">
        <v>1552</v>
      </c>
      <c r="B1615" s="58" t="s">
        <v>1504</v>
      </c>
      <c r="C1615" s="25"/>
    </row>
    <row r="1616" customFormat="false" ht="15" hidden="false" customHeight="true" outlineLevel="2" collapsed="false">
      <c r="A1616" s="51" t="s">
        <v>2538</v>
      </c>
      <c r="B1616" s="52" t="s">
        <v>2539</v>
      </c>
      <c r="C1616" s="53"/>
    </row>
    <row r="1617" customFormat="false" ht="15" hidden="false" customHeight="true" outlineLevel="3" collapsed="false">
      <c r="A1617" s="54" t="s">
        <v>2540</v>
      </c>
      <c r="B1617" s="55" t="s">
        <v>2541</v>
      </c>
      <c r="C1617" s="56"/>
    </row>
    <row r="1618" customFormat="false" ht="15" hidden="false" customHeight="true" outlineLevel="4" collapsed="false">
      <c r="A1618" s="57" t="s">
        <v>1553</v>
      </c>
      <c r="B1618" s="58" t="s">
        <v>1502</v>
      </c>
      <c r="C1618" s="25"/>
    </row>
    <row r="1619" customFormat="false" ht="15" hidden="false" customHeight="true" outlineLevel="4" collapsed="false">
      <c r="A1619" s="57" t="s">
        <v>1554</v>
      </c>
      <c r="B1619" s="58" t="s">
        <v>1504</v>
      </c>
      <c r="C1619" s="25"/>
    </row>
    <row r="1620" customFormat="false" ht="15" hidden="false" customHeight="true" outlineLevel="3" collapsed="false">
      <c r="A1620" s="54" t="s">
        <v>2542</v>
      </c>
      <c r="B1620" s="55" t="s">
        <v>2543</v>
      </c>
      <c r="C1620" s="56"/>
    </row>
    <row r="1621" customFormat="false" ht="15" hidden="false" customHeight="true" outlineLevel="4" collapsed="false">
      <c r="A1621" s="57" t="s">
        <v>1555</v>
      </c>
      <c r="B1621" s="58" t="s">
        <v>1502</v>
      </c>
      <c r="C1621" s="25"/>
    </row>
    <row r="1622" customFormat="false" ht="15" hidden="false" customHeight="true" outlineLevel="4" collapsed="false">
      <c r="A1622" s="57" t="s">
        <v>1556</v>
      </c>
      <c r="B1622" s="58" t="s">
        <v>1504</v>
      </c>
      <c r="C1622" s="25"/>
    </row>
    <row r="1623" customFormat="false" ht="15" hidden="false" customHeight="true" outlineLevel="3" collapsed="false">
      <c r="A1623" s="54" t="s">
        <v>2544</v>
      </c>
      <c r="B1623" s="55" t="s">
        <v>2545</v>
      </c>
      <c r="C1623" s="56"/>
    </row>
    <row r="1624" customFormat="false" ht="15" hidden="false" customHeight="true" outlineLevel="4" collapsed="false">
      <c r="A1624" s="57" t="s">
        <v>1557</v>
      </c>
      <c r="B1624" s="58" t="s">
        <v>1502</v>
      </c>
      <c r="C1624" s="25"/>
    </row>
    <row r="1625" customFormat="false" ht="15" hidden="false" customHeight="true" outlineLevel="4" collapsed="false">
      <c r="A1625" s="57" t="s">
        <v>1558</v>
      </c>
      <c r="B1625" s="58" t="s">
        <v>1504</v>
      </c>
      <c r="C1625" s="25"/>
    </row>
    <row r="1626" customFormat="false" ht="15" hidden="false" customHeight="true" outlineLevel="3" collapsed="false">
      <c r="A1626" s="54" t="s">
        <v>2546</v>
      </c>
      <c r="B1626" s="55" t="s">
        <v>2507</v>
      </c>
      <c r="C1626" s="56"/>
    </row>
    <row r="1627" customFormat="false" ht="15" hidden="false" customHeight="true" outlineLevel="4" collapsed="false">
      <c r="A1627" s="57" t="s">
        <v>1559</v>
      </c>
      <c r="B1627" s="58" t="s">
        <v>1502</v>
      </c>
      <c r="C1627" s="25"/>
    </row>
    <row r="1628" customFormat="false" ht="15" hidden="false" customHeight="true" outlineLevel="4" collapsed="false">
      <c r="A1628" s="57" t="s">
        <v>1560</v>
      </c>
      <c r="B1628" s="58" t="s">
        <v>1504</v>
      </c>
      <c r="C1628" s="25"/>
    </row>
    <row r="1629" customFormat="false" ht="15" hidden="false" customHeight="true" outlineLevel="3" collapsed="false">
      <c r="A1629" s="54" t="s">
        <v>2547</v>
      </c>
      <c r="B1629" s="55" t="s">
        <v>2548</v>
      </c>
      <c r="C1629" s="56"/>
    </row>
    <row r="1630" customFormat="false" ht="15" hidden="false" customHeight="true" outlineLevel="4" collapsed="false">
      <c r="A1630" s="57" t="s">
        <v>1561</v>
      </c>
      <c r="B1630" s="58" t="s">
        <v>1502</v>
      </c>
      <c r="C1630" s="25"/>
    </row>
    <row r="1631" customFormat="false" ht="15" hidden="false" customHeight="true" outlineLevel="4" collapsed="false">
      <c r="A1631" s="57" t="s">
        <v>1562</v>
      </c>
      <c r="B1631" s="58" t="s">
        <v>1504</v>
      </c>
      <c r="C1631" s="25"/>
    </row>
    <row r="1632" customFormat="false" ht="15" hidden="false" customHeight="true" outlineLevel="3" collapsed="false">
      <c r="A1632" s="54" t="s">
        <v>2549</v>
      </c>
      <c r="B1632" s="55" t="s">
        <v>1528</v>
      </c>
      <c r="C1632" s="56"/>
    </row>
    <row r="1633" customFormat="false" ht="15" hidden="false" customHeight="true" outlineLevel="4" collapsed="false">
      <c r="A1633" s="57" t="s">
        <v>1563</v>
      </c>
      <c r="B1633" s="58" t="s">
        <v>1502</v>
      </c>
      <c r="C1633" s="25"/>
    </row>
    <row r="1634" customFormat="false" ht="15" hidden="false" customHeight="true" outlineLevel="4" collapsed="false">
      <c r="A1634" s="57" t="s">
        <v>1564</v>
      </c>
      <c r="B1634" s="58" t="s">
        <v>1504</v>
      </c>
      <c r="C1634" s="25"/>
    </row>
    <row r="1635" customFormat="false" ht="15" hidden="false" customHeight="true" outlineLevel="1" collapsed="false">
      <c r="A1635" s="49" t="s">
        <v>2550</v>
      </c>
      <c r="B1635" s="49" t="s">
        <v>2551</v>
      </c>
      <c r="C1635" s="50"/>
    </row>
    <row r="1636" customFormat="false" ht="15" hidden="false" customHeight="true" outlineLevel="2" collapsed="false">
      <c r="A1636" s="51" t="s">
        <v>2552</v>
      </c>
      <c r="B1636" s="52" t="s">
        <v>2553</v>
      </c>
      <c r="C1636" s="53"/>
    </row>
    <row r="1637" customFormat="false" ht="15" hidden="false" customHeight="true" outlineLevel="3" collapsed="false">
      <c r="A1637" s="54" t="s">
        <v>1565</v>
      </c>
      <c r="B1637" s="55" t="s">
        <v>1328</v>
      </c>
      <c r="C1637" s="25"/>
    </row>
    <row r="1638" customFormat="false" ht="15" hidden="false" customHeight="true" outlineLevel="2" collapsed="false">
      <c r="A1638" s="51" t="s">
        <v>2554</v>
      </c>
      <c r="B1638" s="52" t="s">
        <v>2555</v>
      </c>
      <c r="C1638" s="53"/>
    </row>
    <row r="1639" customFormat="false" ht="15" hidden="false" customHeight="true" outlineLevel="3" collapsed="false">
      <c r="A1639" s="54" t="s">
        <v>1566</v>
      </c>
      <c r="B1639" s="55" t="s">
        <v>254</v>
      </c>
      <c r="C1639" s="25"/>
    </row>
    <row r="1640" customFormat="false" ht="15" hidden="false" customHeight="true" outlineLevel="3" collapsed="false">
      <c r="A1640" s="54" t="s">
        <v>1567</v>
      </c>
      <c r="B1640" s="55" t="s">
        <v>256</v>
      </c>
      <c r="C1640" s="25"/>
    </row>
    <row r="1641" customFormat="false" ht="15" hidden="false" customHeight="true" outlineLevel="2" collapsed="false">
      <c r="A1641" s="51" t="s">
        <v>2556</v>
      </c>
      <c r="B1641" s="52" t="s">
        <v>2557</v>
      </c>
      <c r="C1641" s="53"/>
    </row>
    <row r="1642" customFormat="false" ht="15" hidden="false" customHeight="true" outlineLevel="3" collapsed="false">
      <c r="A1642" s="54" t="s">
        <v>1568</v>
      </c>
      <c r="B1642" s="55" t="s">
        <v>1569</v>
      </c>
      <c r="C1642" s="25"/>
    </row>
    <row r="1643" customFormat="false" ht="15" hidden="false" customHeight="true" outlineLevel="2" collapsed="false">
      <c r="A1643" s="51" t="s">
        <v>2558</v>
      </c>
      <c r="B1643" s="52" t="s">
        <v>2559</v>
      </c>
      <c r="C1643" s="53"/>
    </row>
    <row r="1644" customFormat="false" ht="15" hidden="false" customHeight="true" outlineLevel="3" collapsed="false">
      <c r="A1644" s="54" t="s">
        <v>1570</v>
      </c>
      <c r="B1644" s="55" t="s">
        <v>275</v>
      </c>
      <c r="C1644" s="25"/>
    </row>
    <row r="1645" customFormat="false" ht="15" hidden="false" customHeight="true" outlineLevel="3" collapsed="false">
      <c r="A1645" s="54" t="s">
        <v>1571</v>
      </c>
      <c r="B1645" s="55" t="s">
        <v>277</v>
      </c>
      <c r="C1645" s="25"/>
    </row>
    <row r="1646" customFormat="false" ht="15" hidden="false" customHeight="true" outlineLevel="2" collapsed="false">
      <c r="A1646" s="51" t="s">
        <v>2560</v>
      </c>
      <c r="B1646" s="52" t="s">
        <v>2561</v>
      </c>
      <c r="C1646" s="53"/>
    </row>
    <row r="1647" customFormat="false" ht="15" hidden="false" customHeight="true" outlineLevel="3" collapsed="false">
      <c r="A1647" s="54" t="s">
        <v>1572</v>
      </c>
      <c r="B1647" s="55" t="s">
        <v>1573</v>
      </c>
      <c r="C1647" s="25"/>
    </row>
    <row r="1648" customFormat="false" ht="15" hidden="false" customHeight="true" outlineLevel="1" collapsed="false">
      <c r="A1648" s="49" t="s">
        <v>2562</v>
      </c>
      <c r="B1648" s="49" t="s">
        <v>2563</v>
      </c>
      <c r="C1648" s="50"/>
    </row>
    <row r="1649" customFormat="false" ht="15" hidden="false" customHeight="true" outlineLevel="2" collapsed="false">
      <c r="A1649" s="51" t="s">
        <v>2564</v>
      </c>
      <c r="B1649" s="52" t="s">
        <v>154</v>
      </c>
      <c r="C1649" s="53"/>
    </row>
    <row r="1650" customFormat="false" ht="15" hidden="false" customHeight="true" outlineLevel="3" collapsed="false">
      <c r="A1650" s="54" t="s">
        <v>1574</v>
      </c>
      <c r="B1650" s="55" t="s">
        <v>374</v>
      </c>
      <c r="C1650" s="25"/>
    </row>
    <row r="1651" customFormat="false" ht="15" hidden="false" customHeight="true" outlineLevel="2" collapsed="false">
      <c r="A1651" s="51" t="s">
        <v>2565</v>
      </c>
      <c r="B1651" s="52" t="s">
        <v>156</v>
      </c>
      <c r="C1651" s="53"/>
    </row>
    <row r="1652" customFormat="false" ht="15" hidden="false" customHeight="true" outlineLevel="3" collapsed="false">
      <c r="A1652" s="54" t="s">
        <v>1575</v>
      </c>
      <c r="B1652" s="55" t="s">
        <v>1576</v>
      </c>
      <c r="C1652" s="25"/>
    </row>
    <row r="1653" customFormat="false" ht="15" hidden="false" customHeight="true" outlineLevel="3" collapsed="false">
      <c r="A1653" s="54" t="s">
        <v>1577</v>
      </c>
      <c r="B1653" s="55" t="s">
        <v>374</v>
      </c>
      <c r="C1653" s="25"/>
    </row>
    <row r="1654" customFormat="false" ht="15" hidden="false" customHeight="true" outlineLevel="3" collapsed="false">
      <c r="A1654" s="54" t="s">
        <v>1578</v>
      </c>
      <c r="B1654" s="55" t="s">
        <v>1579</v>
      </c>
      <c r="C1654" s="25"/>
    </row>
    <row r="1655" customFormat="false" ht="15" hidden="false" customHeight="true" outlineLevel="3" collapsed="false">
      <c r="A1655" s="54" t="s">
        <v>1580</v>
      </c>
      <c r="B1655" s="55" t="s">
        <v>383</v>
      </c>
      <c r="C1655" s="25"/>
    </row>
    <row r="1656" customFormat="false" ht="15" hidden="false" customHeight="true" outlineLevel="3" collapsed="false">
      <c r="A1656" s="54" t="s">
        <v>1581</v>
      </c>
      <c r="B1656" s="55" t="s">
        <v>385</v>
      </c>
      <c r="C1656" s="25"/>
    </row>
    <row r="1657" customFormat="false" ht="15" hidden="false" customHeight="true" outlineLevel="3" collapsed="false">
      <c r="A1657" s="54" t="s">
        <v>1582</v>
      </c>
      <c r="B1657" s="55" t="s">
        <v>387</v>
      </c>
      <c r="C1657" s="25"/>
    </row>
    <row r="1658" customFormat="false" ht="15" hidden="false" customHeight="true" outlineLevel="2" collapsed="false">
      <c r="A1658" s="51" t="s">
        <v>2566</v>
      </c>
      <c r="B1658" s="52" t="s">
        <v>158</v>
      </c>
      <c r="C1658" s="53"/>
    </row>
    <row r="1659" customFormat="false" ht="15" hidden="false" customHeight="true" outlineLevel="3" collapsed="false">
      <c r="A1659" s="54" t="s">
        <v>1583</v>
      </c>
      <c r="B1659" s="55" t="s">
        <v>395</v>
      </c>
      <c r="C1659" s="25"/>
    </row>
    <row r="1660" customFormat="false" ht="15" hidden="false" customHeight="true" outlineLevel="3" collapsed="false">
      <c r="A1660" s="54" t="s">
        <v>1584</v>
      </c>
      <c r="B1660" s="55" t="s">
        <v>397</v>
      </c>
      <c r="C1660" s="25"/>
    </row>
    <row r="1661" customFormat="false" ht="15" hidden="false" customHeight="true" outlineLevel="3" collapsed="false">
      <c r="A1661" s="54" t="s">
        <v>1585</v>
      </c>
      <c r="B1661" s="55" t="s">
        <v>399</v>
      </c>
      <c r="C1661" s="25"/>
    </row>
    <row r="1662" customFormat="false" ht="15" hidden="false" customHeight="true" outlineLevel="2" collapsed="false">
      <c r="A1662" s="51" t="s">
        <v>2567</v>
      </c>
      <c r="B1662" s="52" t="s">
        <v>160</v>
      </c>
      <c r="C1662" s="53"/>
    </row>
    <row r="1663" customFormat="false" ht="15" hidden="false" customHeight="true" outlineLevel="3" collapsed="false">
      <c r="A1663" s="54" t="s">
        <v>1586</v>
      </c>
      <c r="B1663" s="55" t="s">
        <v>1587</v>
      </c>
      <c r="C1663" s="25"/>
    </row>
    <row r="1664" customFormat="false" ht="15" hidden="false" customHeight="true" outlineLevel="3" collapsed="false">
      <c r="A1664" s="54" t="s">
        <v>1588</v>
      </c>
      <c r="B1664" s="55" t="s">
        <v>1589</v>
      </c>
      <c r="C1664" s="25"/>
    </row>
    <row r="1665" customFormat="false" ht="15" hidden="false" customHeight="true" outlineLevel="2" collapsed="false">
      <c r="A1665" s="51" t="s">
        <v>2568</v>
      </c>
      <c r="B1665" s="52" t="s">
        <v>2569</v>
      </c>
      <c r="C1665" s="53"/>
    </row>
    <row r="1666" customFormat="false" ht="15" hidden="false" customHeight="true" outlineLevel="3" collapsed="false">
      <c r="A1666" s="54" t="s">
        <v>2570</v>
      </c>
      <c r="B1666" s="55" t="s">
        <v>2571</v>
      </c>
      <c r="C1666" s="56"/>
    </row>
    <row r="1667" customFormat="false" ht="15" hidden="false" customHeight="true" outlineLevel="4" collapsed="false">
      <c r="A1667" s="57" t="s">
        <v>1590</v>
      </c>
      <c r="B1667" s="58" t="s">
        <v>1591</v>
      </c>
      <c r="C1667" s="25"/>
    </row>
    <row r="1668" customFormat="false" ht="15" hidden="false" customHeight="true" outlineLevel="4" collapsed="false">
      <c r="A1668" s="57" t="s">
        <v>1592</v>
      </c>
      <c r="B1668" s="58" t="s">
        <v>374</v>
      </c>
      <c r="C1668" s="25"/>
    </row>
    <row r="1669" customFormat="false" ht="15" hidden="false" customHeight="true" outlineLevel="3" collapsed="false">
      <c r="A1669" s="54" t="s">
        <v>2572</v>
      </c>
      <c r="B1669" s="55" t="s">
        <v>2573</v>
      </c>
      <c r="C1669" s="56"/>
    </row>
    <row r="1670" customFormat="false" ht="15" hidden="false" customHeight="true" outlineLevel="4" collapsed="false">
      <c r="A1670" s="57" t="s">
        <v>1593</v>
      </c>
      <c r="B1670" s="58" t="s">
        <v>1591</v>
      </c>
      <c r="C1670" s="25"/>
    </row>
    <row r="1671" customFormat="false" ht="15" hidden="false" customHeight="true" outlineLevel="4" collapsed="false">
      <c r="A1671" s="57" t="s">
        <v>1594</v>
      </c>
      <c r="B1671" s="58" t="s">
        <v>374</v>
      </c>
      <c r="C1671" s="25"/>
    </row>
    <row r="1672" customFormat="false" ht="15" hidden="false" customHeight="true" outlineLevel="4" collapsed="false">
      <c r="A1672" s="57" t="s">
        <v>1595</v>
      </c>
      <c r="B1672" s="58" t="s">
        <v>1579</v>
      </c>
      <c r="C1672" s="25"/>
    </row>
    <row r="1673" customFormat="false" ht="15" hidden="false" customHeight="true" outlineLevel="3" collapsed="false">
      <c r="A1673" s="54" t="s">
        <v>1596</v>
      </c>
      <c r="B1673" s="55" t="s">
        <v>1597</v>
      </c>
      <c r="C1673" s="25"/>
    </row>
    <row r="1674" customFormat="false" ht="15" hidden="false" customHeight="true" outlineLevel="3" collapsed="false">
      <c r="A1674" s="54" t="s">
        <v>2574</v>
      </c>
      <c r="B1674" s="55" t="s">
        <v>2575</v>
      </c>
      <c r="C1674" s="56"/>
    </row>
    <row r="1675" customFormat="false" ht="15" hidden="false" customHeight="true" outlineLevel="4" collapsed="false">
      <c r="A1675" s="57" t="s">
        <v>1598</v>
      </c>
      <c r="B1675" s="58" t="s">
        <v>1418</v>
      </c>
      <c r="C1675" s="25"/>
    </row>
    <row r="1676" customFormat="false" ht="15" hidden="false" customHeight="true" outlineLevel="4" collapsed="false">
      <c r="A1676" s="57" t="s">
        <v>1599</v>
      </c>
      <c r="B1676" s="58" t="s">
        <v>1420</v>
      </c>
      <c r="C1676" s="25"/>
    </row>
    <row r="1677" customFormat="false" ht="15" hidden="false" customHeight="true" outlineLevel="1" collapsed="false">
      <c r="A1677" s="49" t="s">
        <v>2576</v>
      </c>
      <c r="B1677" s="49" t="s">
        <v>2577</v>
      </c>
      <c r="C1677" s="50"/>
    </row>
    <row r="1678" customFormat="false" ht="15" hidden="false" customHeight="true" outlineLevel="2" collapsed="false">
      <c r="A1678" s="51" t="s">
        <v>2578</v>
      </c>
      <c r="B1678" s="52" t="s">
        <v>2579</v>
      </c>
      <c r="C1678" s="53"/>
    </row>
    <row r="1679" customFormat="false" ht="15" hidden="false" customHeight="true" outlineLevel="3" collapsed="false">
      <c r="A1679" s="54" t="s">
        <v>1600</v>
      </c>
      <c r="B1679" s="55" t="s">
        <v>1502</v>
      </c>
      <c r="C1679" s="25"/>
    </row>
    <row r="1680" customFormat="false" ht="15" hidden="false" customHeight="true" outlineLevel="3" collapsed="false">
      <c r="A1680" s="54" t="s">
        <v>1601</v>
      </c>
      <c r="B1680" s="55" t="s">
        <v>1504</v>
      </c>
      <c r="C1680" s="25"/>
    </row>
    <row r="1681" customFormat="false" ht="15" hidden="false" customHeight="true" outlineLevel="1" collapsed="false">
      <c r="A1681" s="49" t="s">
        <v>2580</v>
      </c>
      <c r="B1681" s="49" t="s">
        <v>2581</v>
      </c>
      <c r="C1681" s="50"/>
    </row>
    <row r="1682" customFormat="false" ht="15" hidden="false" customHeight="true" outlineLevel="2" collapsed="false">
      <c r="A1682" s="51" t="s">
        <v>2582</v>
      </c>
      <c r="B1682" s="52" t="s">
        <v>2583</v>
      </c>
      <c r="C1682" s="53"/>
    </row>
    <row r="1683" customFormat="false" ht="15" hidden="false" customHeight="true" outlineLevel="3" collapsed="false">
      <c r="A1683" s="54" t="s">
        <v>1602</v>
      </c>
      <c r="B1683" s="55" t="s">
        <v>1502</v>
      </c>
      <c r="C1683" s="25"/>
    </row>
    <row r="1684" customFormat="false" ht="15" hidden="false" customHeight="true" outlineLevel="3" collapsed="false">
      <c r="A1684" s="54" t="s">
        <v>1603</v>
      </c>
      <c r="B1684" s="55" t="s">
        <v>1504</v>
      </c>
      <c r="C1684" s="25"/>
    </row>
    <row r="1685" customFormat="false" ht="15" hidden="false" customHeight="true" outlineLevel="1" collapsed="false">
      <c r="A1685" s="49" t="s">
        <v>2584</v>
      </c>
      <c r="B1685" s="49" t="s">
        <v>2585</v>
      </c>
      <c r="C1685" s="50"/>
    </row>
    <row r="1686" customFormat="false" ht="15" hidden="false" customHeight="true" outlineLevel="2" collapsed="false">
      <c r="A1686" s="51" t="s">
        <v>1604</v>
      </c>
      <c r="B1686" s="52" t="s">
        <v>1605</v>
      </c>
      <c r="C1686" s="25"/>
    </row>
    <row r="1687" customFormat="false" ht="15" hidden="false" customHeight="true" outlineLevel="2" collapsed="false">
      <c r="A1687" s="51" t="s">
        <v>1606</v>
      </c>
      <c r="B1687" s="52" t="s">
        <v>1607</v>
      </c>
      <c r="C1687" s="25"/>
    </row>
    <row r="1688" customFormat="false" ht="15" hidden="false" customHeight="true" outlineLevel="2" collapsed="false">
      <c r="A1688" s="51" t="s">
        <v>1608</v>
      </c>
      <c r="B1688" s="52" t="s">
        <v>140</v>
      </c>
      <c r="C1688" s="25"/>
    </row>
    <row r="1689" customFormat="false" ht="15" hidden="false" customHeight="true" outlineLevel="2" collapsed="false">
      <c r="A1689" s="51" t="s">
        <v>2586</v>
      </c>
      <c r="B1689" s="52" t="s">
        <v>207</v>
      </c>
      <c r="C1689" s="53"/>
    </row>
    <row r="1690" customFormat="false" ht="15" hidden="false" customHeight="true" outlineLevel="3" collapsed="false">
      <c r="A1690" s="54" t="s">
        <v>1609</v>
      </c>
      <c r="B1690" s="55" t="s">
        <v>763</v>
      </c>
      <c r="C1690" s="25"/>
    </row>
    <row r="1691" customFormat="false" ht="15" hidden="false" customHeight="true" outlineLevel="3" collapsed="false">
      <c r="A1691" s="54" t="s">
        <v>1610</v>
      </c>
      <c r="B1691" s="55" t="s">
        <v>372</v>
      </c>
      <c r="C1691" s="25"/>
    </row>
    <row r="1692" customFormat="false" ht="15" hidden="false" customHeight="true" outlineLevel="3" collapsed="false">
      <c r="A1692" s="54" t="s">
        <v>1611</v>
      </c>
      <c r="B1692" s="55" t="s">
        <v>374</v>
      </c>
      <c r="C1692" s="25"/>
    </row>
    <row r="1693" customFormat="false" ht="15" hidden="false" customHeight="true" outlineLevel="3" collapsed="false">
      <c r="A1693" s="54" t="s">
        <v>1612</v>
      </c>
      <c r="B1693" s="55" t="s">
        <v>381</v>
      </c>
      <c r="C1693" s="25"/>
    </row>
    <row r="1694" customFormat="false" ht="15" hidden="false" customHeight="true" outlineLevel="3" collapsed="false">
      <c r="A1694" s="54" t="s">
        <v>1613</v>
      </c>
      <c r="B1694" s="55" t="s">
        <v>383</v>
      </c>
      <c r="C1694" s="25"/>
    </row>
    <row r="1695" customFormat="false" ht="15" hidden="false" customHeight="true" outlineLevel="3" collapsed="false">
      <c r="A1695" s="54" t="s">
        <v>1614</v>
      </c>
      <c r="B1695" s="55" t="s">
        <v>387</v>
      </c>
      <c r="C1695" s="25"/>
    </row>
    <row r="1696" customFormat="false" ht="15" hidden="false" customHeight="true" outlineLevel="2" collapsed="false">
      <c r="A1696" s="51" t="s">
        <v>2587</v>
      </c>
      <c r="B1696" s="52" t="s">
        <v>2588</v>
      </c>
      <c r="C1696" s="53"/>
    </row>
    <row r="1697" customFormat="false" ht="15" hidden="false" customHeight="true" outlineLevel="3" collapsed="false">
      <c r="A1697" s="54" t="s">
        <v>1615</v>
      </c>
      <c r="B1697" s="55" t="s">
        <v>1616</v>
      </c>
      <c r="C1697" s="25"/>
    </row>
    <row r="1698" customFormat="false" ht="15" hidden="false" customHeight="true" outlineLevel="3" collapsed="false">
      <c r="A1698" s="54" t="s">
        <v>1617</v>
      </c>
      <c r="B1698" s="55" t="s">
        <v>1618</v>
      </c>
      <c r="C1698" s="25"/>
    </row>
    <row r="1699" customFormat="false" ht="15" hidden="false" customHeight="true" outlineLevel="3" collapsed="false">
      <c r="A1699" s="54" t="s">
        <v>1619</v>
      </c>
      <c r="B1699" s="55" t="s">
        <v>1620</v>
      </c>
      <c r="C1699" s="25"/>
    </row>
    <row r="1700" customFormat="false" ht="15" hidden="false" customHeight="true" outlineLevel="2" collapsed="false">
      <c r="A1700" s="51" t="s">
        <v>2589</v>
      </c>
      <c r="B1700" s="52" t="s">
        <v>2590</v>
      </c>
      <c r="C1700" s="53"/>
    </row>
    <row r="1701" customFormat="false" ht="15" hidden="false" customHeight="true" outlineLevel="3" collapsed="false">
      <c r="A1701" s="54" t="s">
        <v>1621</v>
      </c>
      <c r="B1701" s="55" t="s">
        <v>992</v>
      </c>
      <c r="C1701" s="25"/>
    </row>
    <row r="1702" customFormat="false" ht="15" hidden="false" customHeight="true" outlineLevel="3" collapsed="false">
      <c r="A1702" s="54" t="s">
        <v>1622</v>
      </c>
      <c r="B1702" s="55" t="s">
        <v>154</v>
      </c>
      <c r="C1702" s="25"/>
    </row>
    <row r="1703" customFormat="false" ht="15" hidden="false" customHeight="true" outlineLevel="3" collapsed="false">
      <c r="A1703" s="54" t="s">
        <v>1623</v>
      </c>
      <c r="B1703" s="55" t="s">
        <v>995</v>
      </c>
      <c r="C1703" s="25"/>
    </row>
    <row r="1704" customFormat="false" ht="15" hidden="false" customHeight="true" outlineLevel="3" collapsed="false">
      <c r="A1704" s="54" t="s">
        <v>1624</v>
      </c>
      <c r="B1704" s="55" t="s">
        <v>156</v>
      </c>
      <c r="C1704" s="25"/>
    </row>
    <row r="1705" customFormat="false" ht="15" hidden="false" customHeight="true" outlineLevel="3" collapsed="false">
      <c r="A1705" s="54" t="s">
        <v>1625</v>
      </c>
      <c r="B1705" s="55" t="s">
        <v>158</v>
      </c>
      <c r="C1705" s="25"/>
    </row>
    <row r="1706" customFormat="false" ht="15" hidden="false" customHeight="true" outlineLevel="3" collapsed="false">
      <c r="A1706" s="54" t="s">
        <v>1626</v>
      </c>
      <c r="B1706" s="55" t="s">
        <v>160</v>
      </c>
      <c r="C1706" s="25"/>
    </row>
    <row r="1707" customFormat="false" ht="15" hidden="false" customHeight="true" outlineLevel="2" collapsed="false">
      <c r="A1707" s="51" t="s">
        <v>2591</v>
      </c>
      <c r="B1707" s="52" t="s">
        <v>2592</v>
      </c>
      <c r="C1707" s="53"/>
    </row>
    <row r="1708" customFormat="false" ht="15" hidden="false" customHeight="true" outlineLevel="3" collapsed="false">
      <c r="A1708" s="54" t="s">
        <v>1627</v>
      </c>
      <c r="B1708" s="55" t="s">
        <v>1628</v>
      </c>
      <c r="C1708" s="25"/>
    </row>
    <row r="1709" customFormat="false" ht="15" hidden="false" customHeight="true" outlineLevel="3" collapsed="false">
      <c r="A1709" s="54" t="s">
        <v>1629</v>
      </c>
      <c r="B1709" s="55" t="s">
        <v>1630</v>
      </c>
      <c r="C1709" s="25"/>
    </row>
    <row r="1710" customFormat="false" ht="15" hidden="false" customHeight="true" outlineLevel="3" collapsed="false">
      <c r="A1710" s="54" t="s">
        <v>1631</v>
      </c>
      <c r="B1710" s="55" t="s">
        <v>1632</v>
      </c>
      <c r="C1710" s="25"/>
    </row>
    <row r="1711" customFormat="false" ht="15" hidden="false" customHeight="true" outlineLevel="3" collapsed="false">
      <c r="A1711" s="54" t="s">
        <v>1633</v>
      </c>
      <c r="B1711" s="55" t="s">
        <v>1634</v>
      </c>
      <c r="C1711" s="25"/>
    </row>
    <row r="1712" customFormat="false" ht="15" hidden="false" customHeight="true" outlineLevel="2" collapsed="false">
      <c r="A1712" s="51" t="s">
        <v>2593</v>
      </c>
      <c r="B1712" s="52" t="s">
        <v>1642</v>
      </c>
      <c r="C1712" s="53"/>
    </row>
    <row r="1713" customFormat="false" ht="15" hidden="false" customHeight="true" outlineLevel="3" collapsed="false">
      <c r="A1713" s="54" t="s">
        <v>1635</v>
      </c>
      <c r="B1713" s="55" t="s">
        <v>1004</v>
      </c>
      <c r="C1713" s="25"/>
    </row>
    <row r="1714" customFormat="false" ht="15" hidden="false" customHeight="true" outlineLevel="3" collapsed="false">
      <c r="A1714" s="54" t="s">
        <v>1636</v>
      </c>
      <c r="B1714" s="55" t="s">
        <v>1637</v>
      </c>
      <c r="C1714" s="25"/>
    </row>
    <row r="1715" customFormat="false" ht="15" hidden="false" customHeight="true" outlineLevel="3" collapsed="false">
      <c r="A1715" s="54" t="s">
        <v>1638</v>
      </c>
      <c r="B1715" s="55" t="s">
        <v>1323</v>
      </c>
      <c r="C1715" s="25"/>
    </row>
    <row r="1716" customFormat="false" ht="15" hidden="false" customHeight="true" outlineLevel="3" collapsed="false">
      <c r="A1716" s="54" t="s">
        <v>1639</v>
      </c>
      <c r="B1716" s="55" t="s">
        <v>1640</v>
      </c>
      <c r="C1716" s="25"/>
    </row>
    <row r="1717" customFormat="false" ht="15" hidden="false" customHeight="true" outlineLevel="3" collapsed="false">
      <c r="A1717" s="54" t="s">
        <v>1641</v>
      </c>
      <c r="B1717" s="55" t="s">
        <v>1642</v>
      </c>
      <c r="C1717" s="25"/>
    </row>
    <row r="1718" customFormat="false" ht="15" hidden="false" customHeight="true" outlineLevel="1" collapsed="false">
      <c r="A1718" s="49" t="s">
        <v>2594</v>
      </c>
      <c r="B1718" s="49" t="s">
        <v>2595</v>
      </c>
      <c r="C1718" s="50"/>
    </row>
    <row r="1719" customFormat="false" ht="15" hidden="false" customHeight="true" outlineLevel="2" collapsed="false">
      <c r="A1719" s="51" t="s">
        <v>2596</v>
      </c>
      <c r="B1719" s="52" t="s">
        <v>2416</v>
      </c>
      <c r="C1719" s="53"/>
    </row>
    <row r="1720" customFormat="false" ht="15" hidden="false" customHeight="true" outlineLevel="3" collapsed="false">
      <c r="A1720" s="54" t="s">
        <v>1643</v>
      </c>
      <c r="B1720" s="55" t="s">
        <v>407</v>
      </c>
      <c r="C1720" s="25"/>
    </row>
    <row r="1721" customFormat="false" ht="15" hidden="false" customHeight="true" outlineLevel="3" collapsed="false">
      <c r="A1721" s="54" t="s">
        <v>1644</v>
      </c>
      <c r="B1721" s="55" t="s">
        <v>1328</v>
      </c>
      <c r="C1721" s="25"/>
    </row>
    <row r="1722" customFormat="false" ht="15" hidden="false" customHeight="true" outlineLevel="3" collapsed="false">
      <c r="A1722" s="54" t="s">
        <v>2597</v>
      </c>
      <c r="B1722" s="55" t="s">
        <v>2418</v>
      </c>
      <c r="C1722" s="56"/>
    </row>
    <row r="1723" customFormat="false" ht="15" hidden="false" customHeight="true" outlineLevel="4" collapsed="false">
      <c r="A1723" s="57" t="s">
        <v>1645</v>
      </c>
      <c r="B1723" s="58" t="s">
        <v>154</v>
      </c>
      <c r="C1723" s="25"/>
    </row>
    <row r="1724" customFormat="false" ht="15" hidden="false" customHeight="true" outlineLevel="4" collapsed="false">
      <c r="A1724" s="57" t="s">
        <v>1646</v>
      </c>
      <c r="B1724" s="58" t="s">
        <v>156</v>
      </c>
      <c r="C1724" s="25"/>
    </row>
    <row r="1725" customFormat="false" ht="15" hidden="false" customHeight="true" outlineLevel="4" collapsed="false">
      <c r="A1725" s="57" t="s">
        <v>1647</v>
      </c>
      <c r="B1725" s="58" t="s">
        <v>158</v>
      </c>
      <c r="C1725" s="25"/>
    </row>
    <row r="1726" customFormat="false" ht="15" hidden="false" customHeight="true" outlineLevel="4" collapsed="false">
      <c r="A1726" s="57" t="s">
        <v>1648</v>
      </c>
      <c r="B1726" s="58" t="s">
        <v>160</v>
      </c>
      <c r="C1726" s="25"/>
    </row>
    <row r="1727" customFormat="false" ht="15" hidden="false" customHeight="true" outlineLevel="2" collapsed="false">
      <c r="A1727" s="51" t="s">
        <v>2598</v>
      </c>
      <c r="B1727" s="52" t="s">
        <v>2420</v>
      </c>
      <c r="C1727" s="53"/>
    </row>
    <row r="1728" customFormat="false" ht="15" hidden="false" customHeight="true" outlineLevel="3" collapsed="false">
      <c r="A1728" s="54" t="s">
        <v>1649</v>
      </c>
      <c r="B1728" s="55" t="s">
        <v>154</v>
      </c>
      <c r="C1728" s="25"/>
    </row>
    <row r="1729" customFormat="false" ht="15" hidden="false" customHeight="true" outlineLevel="3" collapsed="false">
      <c r="A1729" s="54" t="s">
        <v>1650</v>
      </c>
      <c r="B1729" s="55" t="s">
        <v>160</v>
      </c>
      <c r="C1729" s="25"/>
    </row>
    <row r="1730" customFormat="false" ht="15" hidden="false" customHeight="true" outlineLevel="1" collapsed="false">
      <c r="A1730" s="49" t="s">
        <v>2599</v>
      </c>
      <c r="B1730" s="49" t="s">
        <v>2600</v>
      </c>
      <c r="C1730" s="50"/>
    </row>
    <row r="1731" customFormat="false" ht="15" hidden="false" customHeight="true" outlineLevel="2" collapsed="false">
      <c r="A1731" s="51" t="s">
        <v>1651</v>
      </c>
      <c r="B1731" s="52" t="s">
        <v>1652</v>
      </c>
      <c r="C1731" s="25"/>
    </row>
    <row r="1732" customFormat="false" ht="15" hidden="false" customHeight="true" outlineLevel="2" collapsed="false">
      <c r="A1732" s="51" t="s">
        <v>2601</v>
      </c>
      <c r="B1732" s="52" t="s">
        <v>2602</v>
      </c>
      <c r="C1732" s="53"/>
    </row>
    <row r="1733" customFormat="false" ht="15" hidden="false" customHeight="true" outlineLevel="3" collapsed="false">
      <c r="A1733" s="54" t="s">
        <v>1653</v>
      </c>
      <c r="B1733" s="55" t="s">
        <v>1654</v>
      </c>
      <c r="C1733" s="25"/>
    </row>
    <row r="1734" customFormat="false" ht="15" hidden="false" customHeight="true" outlineLevel="3" collapsed="false">
      <c r="A1734" s="54" t="s">
        <v>1655</v>
      </c>
      <c r="B1734" s="55" t="s">
        <v>1656</v>
      </c>
      <c r="C1734" s="25"/>
    </row>
    <row r="1735" customFormat="false" ht="15" hidden="false" customHeight="true" outlineLevel="3" collapsed="false">
      <c r="A1735" s="54" t="s">
        <v>1657</v>
      </c>
      <c r="B1735" s="55" t="s">
        <v>1658</v>
      </c>
      <c r="C1735" s="25"/>
    </row>
    <row r="1736" customFormat="false" ht="15" hidden="false" customHeight="true" outlineLevel="3" collapsed="false">
      <c r="A1736" s="54" t="s">
        <v>1659</v>
      </c>
      <c r="B1736" s="55" t="s">
        <v>1446</v>
      </c>
      <c r="C1736" s="25"/>
    </row>
    <row r="1737" customFormat="false" ht="15" hidden="false" customHeight="true" outlineLevel="3" collapsed="false">
      <c r="A1737" s="54" t="s">
        <v>1660</v>
      </c>
      <c r="B1737" s="55" t="s">
        <v>1448</v>
      </c>
      <c r="C1737" s="25"/>
    </row>
    <row r="1738" customFormat="false" ht="15" hidden="false" customHeight="true" outlineLevel="2" collapsed="false">
      <c r="A1738" s="51" t="s">
        <v>1661</v>
      </c>
      <c r="B1738" s="52" t="s">
        <v>142</v>
      </c>
      <c r="C1738" s="25"/>
    </row>
    <row r="1739" customFormat="false" ht="15" hidden="false" customHeight="true" outlineLevel="2" collapsed="false">
      <c r="A1739" s="51" t="s">
        <v>1662</v>
      </c>
      <c r="B1739" s="52" t="s">
        <v>1663</v>
      </c>
      <c r="C1739" s="25"/>
    </row>
    <row r="1740" customFormat="false" ht="15" hidden="false" customHeight="true" outlineLevel="2" collapsed="false">
      <c r="A1740" s="51" t="s">
        <v>1664</v>
      </c>
      <c r="B1740" s="52" t="s">
        <v>1665</v>
      </c>
      <c r="C1740" s="25"/>
    </row>
    <row r="1741" customFormat="false" ht="15" hidden="false" customHeight="true" outlineLevel="2" collapsed="false">
      <c r="A1741" s="51" t="s">
        <v>1666</v>
      </c>
      <c r="B1741" s="52" t="s">
        <v>1667</v>
      </c>
      <c r="C1741" s="25"/>
    </row>
    <row r="1742" customFormat="false" ht="15" hidden="false" customHeight="true" outlineLevel="2" collapsed="false">
      <c r="A1742" s="51" t="s">
        <v>2603</v>
      </c>
      <c r="B1742" s="52" t="s">
        <v>2604</v>
      </c>
      <c r="C1742" s="53"/>
    </row>
    <row r="1743" customFormat="false" ht="15" hidden="false" customHeight="true" outlineLevel="3" collapsed="false">
      <c r="A1743" s="54" t="s">
        <v>1668</v>
      </c>
      <c r="B1743" s="55" t="s">
        <v>1361</v>
      </c>
      <c r="C1743" s="25"/>
    </row>
    <row r="1744" customFormat="false" ht="15" hidden="false" customHeight="true" outlineLevel="3" collapsed="false">
      <c r="A1744" s="54" t="s">
        <v>1669</v>
      </c>
      <c r="B1744" s="55" t="s">
        <v>1670</v>
      </c>
      <c r="C1744" s="25"/>
    </row>
    <row r="1745" customFormat="false" ht="15" hidden="false" customHeight="true" outlineLevel="3" collapsed="false">
      <c r="A1745" s="54" t="s">
        <v>1671</v>
      </c>
      <c r="B1745" s="55" t="s">
        <v>136</v>
      </c>
      <c r="C1745" s="25"/>
    </row>
    <row r="1746" customFormat="false" ht="15" hidden="false" customHeight="true" outlineLevel="2" collapsed="false">
      <c r="A1746" s="51" t="s">
        <v>2605</v>
      </c>
      <c r="B1746" s="52" t="s">
        <v>2433</v>
      </c>
      <c r="C1746" s="53"/>
    </row>
    <row r="1747" customFormat="false" ht="15" hidden="false" customHeight="true" outlineLevel="3" collapsed="false">
      <c r="A1747" s="54" t="s">
        <v>1672</v>
      </c>
      <c r="B1747" s="55" t="s">
        <v>1366</v>
      </c>
      <c r="C1747" s="25"/>
    </row>
    <row r="1748" customFormat="false" ht="15" hidden="false" customHeight="true" outlineLevel="3" collapsed="false">
      <c r="A1748" s="54" t="s">
        <v>1673</v>
      </c>
      <c r="B1748" s="55" t="s">
        <v>1674</v>
      </c>
      <c r="C1748" s="25"/>
    </row>
    <row r="1749" customFormat="false" ht="15" hidden="false" customHeight="true" outlineLevel="2" collapsed="false">
      <c r="A1749" s="51" t="s">
        <v>2606</v>
      </c>
      <c r="B1749" s="52" t="s">
        <v>2607</v>
      </c>
      <c r="C1749" s="53"/>
    </row>
    <row r="1750" customFormat="false" ht="15" hidden="false" customHeight="true" outlineLevel="3" collapsed="false">
      <c r="A1750" s="54" t="s">
        <v>1675</v>
      </c>
      <c r="B1750" s="55" t="s">
        <v>1676</v>
      </c>
      <c r="C1750" s="25"/>
    </row>
    <row r="1751" customFormat="false" ht="15" hidden="false" customHeight="true" outlineLevel="1" collapsed="false">
      <c r="A1751" s="49" t="s">
        <v>2608</v>
      </c>
      <c r="B1751" s="49" t="s">
        <v>2609</v>
      </c>
      <c r="C1751" s="50"/>
    </row>
    <row r="1752" customFormat="false" ht="15" hidden="false" customHeight="true" outlineLevel="2" collapsed="false">
      <c r="A1752" s="51" t="s">
        <v>1677</v>
      </c>
      <c r="B1752" s="52" t="s">
        <v>1678</v>
      </c>
      <c r="C1752" s="25"/>
    </row>
    <row r="1753" customFormat="false" ht="15" hidden="false" customHeight="true" outlineLevel="1" collapsed="false">
      <c r="A1753" s="49" t="s">
        <v>2610</v>
      </c>
      <c r="B1753" s="49" t="s">
        <v>2611</v>
      </c>
      <c r="C1753" s="50"/>
    </row>
    <row r="1754" customFormat="false" ht="15" hidden="false" customHeight="true" outlineLevel="2" collapsed="false">
      <c r="A1754" s="51" t="s">
        <v>1679</v>
      </c>
      <c r="B1754" s="52" t="s">
        <v>1680</v>
      </c>
      <c r="C1754" s="25"/>
    </row>
    <row r="1755" customFormat="false" ht="15" hidden="false" customHeight="true" outlineLevel="2" collapsed="false">
      <c r="A1755" s="51" t="s">
        <v>1681</v>
      </c>
      <c r="B1755" s="52" t="s">
        <v>1682</v>
      </c>
      <c r="C1755" s="25"/>
    </row>
    <row r="1756" customFormat="false" ht="19.5" hidden="false" customHeight="true" outlineLevel="0" collapsed="false">
      <c r="A1756" s="48" t="s">
        <v>2612</v>
      </c>
      <c r="B1756" s="48"/>
      <c r="C1756" s="48"/>
    </row>
    <row r="1757" customFormat="false" ht="15" hidden="false" customHeight="true" outlineLevel="1" collapsed="false">
      <c r="A1757" s="49" t="s">
        <v>2613</v>
      </c>
      <c r="B1757" s="49" t="s">
        <v>2614</v>
      </c>
      <c r="C1757" s="50"/>
    </row>
    <row r="1758" customFormat="false" ht="15" hidden="false" customHeight="true" outlineLevel="2" collapsed="false">
      <c r="A1758" s="51" t="s">
        <v>1683</v>
      </c>
      <c r="B1758" s="52" t="s">
        <v>1684</v>
      </c>
      <c r="C1758" s="25"/>
    </row>
    <row r="1759" customFormat="false" ht="15" hidden="false" customHeight="true" outlineLevel="1" collapsed="false">
      <c r="A1759" s="49" t="s">
        <v>2615</v>
      </c>
      <c r="B1759" s="49" t="s">
        <v>2616</v>
      </c>
      <c r="C1759" s="50"/>
    </row>
    <row r="1760" customFormat="false" ht="15" hidden="false" customHeight="true" outlineLevel="2" collapsed="false">
      <c r="A1760" s="51" t="s">
        <v>1686</v>
      </c>
      <c r="B1760" s="52" t="s">
        <v>1687</v>
      </c>
      <c r="C1760" s="25"/>
    </row>
    <row r="1761" customFormat="false" ht="15" hidden="false" customHeight="true" outlineLevel="2" collapsed="false">
      <c r="A1761" s="51" t="s">
        <v>1688</v>
      </c>
      <c r="B1761" s="52" t="s">
        <v>1689</v>
      </c>
      <c r="C1761" s="25"/>
    </row>
    <row r="1762" customFormat="false" ht="15" hidden="false" customHeight="true" outlineLevel="2" collapsed="false">
      <c r="A1762" s="51" t="s">
        <v>1690</v>
      </c>
      <c r="B1762" s="52" t="s">
        <v>1691</v>
      </c>
      <c r="C1762" s="25"/>
    </row>
    <row r="1763" customFormat="false" ht="15" hidden="false" customHeight="true" outlineLevel="1" collapsed="false">
      <c r="A1763" s="49" t="s">
        <v>2617</v>
      </c>
      <c r="B1763" s="49" t="s">
        <v>2618</v>
      </c>
      <c r="C1763" s="50"/>
    </row>
    <row r="1764" customFormat="false" ht="15" hidden="false" customHeight="true" outlineLevel="2" collapsed="false">
      <c r="A1764" s="51" t="s">
        <v>1692</v>
      </c>
      <c r="B1764" s="52" t="s">
        <v>1693</v>
      </c>
      <c r="C1764" s="25"/>
    </row>
    <row r="1765" customFormat="false" ht="15" hidden="false" customHeight="true" outlineLevel="1" collapsed="false">
      <c r="A1765" s="49" t="s">
        <v>2619</v>
      </c>
      <c r="B1765" s="49" t="s">
        <v>2620</v>
      </c>
      <c r="C1765" s="50"/>
    </row>
    <row r="1766" customFormat="false" ht="15" hidden="false" customHeight="true" outlineLevel="2" collapsed="false">
      <c r="A1766" s="51" t="s">
        <v>1694</v>
      </c>
      <c r="B1766" s="52" t="s">
        <v>1695</v>
      </c>
      <c r="C1766" s="25"/>
    </row>
    <row r="1767" customFormat="false" ht="15" hidden="false" customHeight="true" outlineLevel="1" collapsed="false">
      <c r="A1767" s="49" t="s">
        <v>2621</v>
      </c>
      <c r="B1767" s="49" t="s">
        <v>2622</v>
      </c>
      <c r="C1767" s="50"/>
    </row>
    <row r="1768" customFormat="false" ht="15" hidden="false" customHeight="true" outlineLevel="2" collapsed="false">
      <c r="A1768" s="51" t="s">
        <v>1696</v>
      </c>
      <c r="B1768" s="52" t="s">
        <v>1697</v>
      </c>
      <c r="C1768" s="25"/>
    </row>
    <row r="1769" customFormat="false" ht="15" hidden="false" customHeight="true" outlineLevel="1" collapsed="false">
      <c r="A1769" s="49" t="s">
        <v>2623</v>
      </c>
      <c r="B1769" s="49" t="s">
        <v>2624</v>
      </c>
      <c r="C1769" s="50"/>
    </row>
    <row r="1770" customFormat="false" ht="15" hidden="false" customHeight="true" outlineLevel="2" collapsed="false">
      <c r="A1770" s="51" t="s">
        <v>1698</v>
      </c>
      <c r="B1770" s="52" t="s">
        <v>1699</v>
      </c>
      <c r="C1770" s="25"/>
    </row>
    <row r="1771" customFormat="false" ht="15" hidden="false" customHeight="true" outlineLevel="1" collapsed="false">
      <c r="A1771" s="49" t="s">
        <v>2625</v>
      </c>
      <c r="B1771" s="49" t="s">
        <v>2626</v>
      </c>
      <c r="C1771" s="50"/>
    </row>
    <row r="1772" customFormat="false" ht="15" hidden="false" customHeight="true" outlineLevel="2" collapsed="false">
      <c r="A1772" s="51" t="s">
        <v>1700</v>
      </c>
      <c r="B1772" s="52" t="s">
        <v>1701</v>
      </c>
      <c r="C1772" s="25"/>
    </row>
    <row r="1773" customFormat="false" ht="15" hidden="false" customHeight="true" outlineLevel="2" collapsed="false">
      <c r="A1773" s="51" t="s">
        <v>1702</v>
      </c>
      <c r="B1773" s="52" t="s">
        <v>1703</v>
      </c>
      <c r="C1773" s="25"/>
    </row>
    <row r="1774" customFormat="false" ht="15" hidden="false" customHeight="true" outlineLevel="1" collapsed="false">
      <c r="A1774" s="49" t="s">
        <v>2627</v>
      </c>
      <c r="B1774" s="49" t="s">
        <v>2628</v>
      </c>
      <c r="C1774" s="50"/>
    </row>
    <row r="1775" customFormat="false" ht="15" hidden="false" customHeight="true" outlineLevel="2" collapsed="false">
      <c r="A1775" s="51" t="s">
        <v>1704</v>
      </c>
      <c r="B1775" s="52" t="s">
        <v>1705</v>
      </c>
      <c r="C1775" s="25"/>
    </row>
    <row r="1776" customFormat="false" ht="15" hidden="false" customHeight="true" outlineLevel="2" collapsed="false">
      <c r="A1776" s="51" t="s">
        <v>1706</v>
      </c>
      <c r="B1776" s="52" t="s">
        <v>1082</v>
      </c>
      <c r="C1776" s="25"/>
    </row>
    <row r="1777" customFormat="false" ht="19.5" hidden="false" customHeight="true" outlineLevel="0" collapsed="false">
      <c r="A1777" s="48" t="s">
        <v>2629</v>
      </c>
      <c r="B1777" s="48"/>
      <c r="C1777" s="48"/>
    </row>
    <row r="1778" customFormat="false" ht="21.75" hidden="false" customHeight="true" outlineLevel="1" collapsed="false">
      <c r="A1778" s="49" t="s">
        <v>2630</v>
      </c>
      <c r="B1778" s="49" t="s">
        <v>2631</v>
      </c>
      <c r="C1778" s="50"/>
    </row>
    <row r="1779" customFormat="false" ht="19.5" hidden="false" customHeight="true" outlineLevel="2" collapsed="false">
      <c r="A1779" s="51" t="s">
        <v>1724</v>
      </c>
      <c r="B1779" s="1" t="s">
        <v>1725</v>
      </c>
    </row>
    <row r="1780" customFormat="false" ht="15" hidden="false" customHeight="true" outlineLevel="2" collapsed="false">
      <c r="A1780" s="51" t="s">
        <v>1727</v>
      </c>
      <c r="B1780" s="1" t="s">
        <v>1728</v>
      </c>
    </row>
    <row r="1781" customFormat="false" ht="15" hidden="false" customHeight="true" outlineLevel="2" collapsed="false">
      <c r="A1781" s="51" t="s">
        <v>1729</v>
      </c>
      <c r="B1781" s="52" t="s">
        <v>1730</v>
      </c>
      <c r="C1781" s="25"/>
    </row>
    <row r="1782" customFormat="false" ht="15" hidden="false" customHeight="true" outlineLevel="1" collapsed="false">
      <c r="A1782" s="49" t="s">
        <v>1731</v>
      </c>
      <c r="B1782" s="49" t="s">
        <v>1732</v>
      </c>
      <c r="C1782" s="50"/>
    </row>
    <row r="1783" customFormat="false" ht="15" hidden="false" customHeight="true" outlineLevel="1" collapsed="false">
      <c r="A1783" s="49" t="s">
        <v>1733</v>
      </c>
      <c r="B1783" s="49" t="s">
        <v>1734</v>
      </c>
      <c r="C1783" s="50"/>
    </row>
    <row r="1784" customFormat="false" ht="15" hidden="false" customHeight="true" outlineLevel="1" collapsed="false">
      <c r="A1784" s="49" t="s">
        <v>1735</v>
      </c>
      <c r="B1784" s="49" t="s">
        <v>1736</v>
      </c>
      <c r="C1784" s="50"/>
    </row>
    <row r="1785" customFormat="false" ht="15" hidden="false" customHeight="true" outlineLevel="1" collapsed="false">
      <c r="A1785" s="49" t="s">
        <v>1737</v>
      </c>
      <c r="B1785" s="1" t="s">
        <v>1738</v>
      </c>
    </row>
    <row r="1786" customFormat="false" ht="15" hidden="false" customHeight="true" outlineLevel="1" collapsed="false">
      <c r="A1786" s="49" t="s">
        <v>1739</v>
      </c>
      <c r="B1786" s="49" t="s">
        <v>1740</v>
      </c>
      <c r="C1786" s="50"/>
    </row>
    <row r="1787" customFormat="false" ht="15" hidden="false" customHeight="true" outlineLevel="1" collapsed="false">
      <c r="A1787" s="48" t="s">
        <v>2632</v>
      </c>
      <c r="B1787" s="48"/>
      <c r="C1787" s="48"/>
    </row>
    <row r="1788" customFormat="false" ht="15" hidden="false" customHeight="true" outlineLevel="1" collapsed="false">
      <c r="A1788" s="61" t="s">
        <v>2633</v>
      </c>
      <c r="B1788" s="61"/>
      <c r="C1788" s="61"/>
    </row>
    <row r="1789" customFormat="false" ht="15" hidden="false" customHeight="true" outlineLevel="1" collapsed="false">
      <c r="A1789" s="49" t="s">
        <v>1707</v>
      </c>
      <c r="B1789" s="49" t="s">
        <v>1708</v>
      </c>
      <c r="C1789" s="25"/>
    </row>
    <row r="1790" customFormat="false" ht="15" hidden="false" customHeight="true" outlineLevel="0" collapsed="false">
      <c r="A1790" s="49" t="s">
        <v>1710</v>
      </c>
      <c r="B1790" s="49" t="s">
        <v>1711</v>
      </c>
      <c r="C1790" s="25"/>
    </row>
    <row r="1791" customFormat="false" ht="15" hidden="false" customHeight="true" outlineLevel="0" collapsed="false">
      <c r="A1791" s="49" t="s">
        <v>1712</v>
      </c>
      <c r="B1791" s="49" t="s">
        <v>1713</v>
      </c>
      <c r="C1791" s="25"/>
    </row>
    <row r="1792" customFormat="false" ht="15" hidden="false" customHeight="true" outlineLevel="0" collapsed="false">
      <c r="A1792" s="49" t="s">
        <v>1714</v>
      </c>
      <c r="B1792" s="49" t="s">
        <v>1715</v>
      </c>
      <c r="C1792" s="25"/>
    </row>
    <row r="1793" customFormat="false" ht="15" hidden="false" customHeight="true" outlineLevel="0" collapsed="false">
      <c r="A1793" s="61" t="s">
        <v>2634</v>
      </c>
      <c r="B1793" s="61"/>
      <c r="C1793" s="61"/>
    </row>
    <row r="1794" customFormat="false" ht="15" hidden="false" customHeight="true" outlineLevel="0" collapsed="false">
      <c r="A1794" s="49" t="s">
        <v>1716</v>
      </c>
      <c r="B1794" s="49" t="s">
        <v>1717</v>
      </c>
      <c r="C1794" s="25"/>
    </row>
    <row r="1795" customFormat="false" ht="15" hidden="false" customHeight="true" outlineLevel="0" collapsed="false">
      <c r="A1795" s="49" t="s">
        <v>1718</v>
      </c>
      <c r="B1795" s="49" t="s">
        <v>1719</v>
      </c>
      <c r="C1795" s="25"/>
    </row>
    <row r="1796" customFormat="false" ht="15" hidden="false" customHeight="true" outlineLevel="0" collapsed="false">
      <c r="A1796" s="49" t="s">
        <v>1720</v>
      </c>
      <c r="B1796" s="49" t="s">
        <v>1721</v>
      </c>
      <c r="C1796" s="25"/>
    </row>
    <row r="1797" customFormat="false" ht="15" hidden="false" customHeight="true" outlineLevel="0" collapsed="false">
      <c r="A1797" s="49" t="s">
        <v>1722</v>
      </c>
      <c r="B1797" s="49" t="s">
        <v>1723</v>
      </c>
      <c r="C1797" s="25"/>
    </row>
    <row r="1799" customFormat="false" ht="15" hidden="false" customHeight="true" outlineLevel="0" collapsed="false">
      <c r="A1799" s="26" t="s">
        <v>1741</v>
      </c>
      <c r="B1799" s="36"/>
      <c r="C1799" s="27" t="n">
        <f aca="false">SUM(C5:C1789)</f>
        <v>10</v>
      </c>
    </row>
  </sheetData>
  <mergeCells count="14">
    <mergeCell ref="A1:C1"/>
    <mergeCell ref="A2:C2"/>
    <mergeCell ref="A5:C5"/>
    <mergeCell ref="A193:C193"/>
    <mergeCell ref="A432:C432"/>
    <mergeCell ref="A938:C938"/>
    <mergeCell ref="A1124:C1124"/>
    <mergeCell ref="A1179:C1179"/>
    <mergeCell ref="A1586:C1586"/>
    <mergeCell ref="A1756:C1756"/>
    <mergeCell ref="A1777:C1777"/>
    <mergeCell ref="A1787:C1787"/>
    <mergeCell ref="A1788:C1788"/>
    <mergeCell ref="A1793:C179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1" width="16"/>
  </cols>
  <sheetData>
    <row r="1" customFormat="false" ht="24" hidden="false" customHeight="true" outlineLevel="0" collapsed="false">
      <c r="A1" s="18" t="s">
        <v>2635</v>
      </c>
      <c r="B1" s="18"/>
      <c r="C1" s="18"/>
      <c r="D1" s="18"/>
      <c r="E1" s="18"/>
      <c r="F1" s="18"/>
    </row>
    <row r="2" customFormat="false" ht="39.75" hidden="false" customHeight="true" outlineLevel="0" collapsed="false">
      <c r="A2" s="19" t="s">
        <v>2636</v>
      </c>
      <c r="B2" s="19"/>
      <c r="C2" s="19"/>
      <c r="D2" s="19"/>
      <c r="E2" s="19"/>
      <c r="F2" s="19"/>
    </row>
    <row r="4" customFormat="false" ht="27.75" hidden="false" customHeight="true" outlineLevel="0" collapsed="false">
      <c r="A4" s="62" t="s">
        <v>2637</v>
      </c>
      <c r="B4" s="62"/>
      <c r="C4" s="62"/>
      <c r="D4" s="62"/>
      <c r="E4" s="62"/>
      <c r="F4" s="62"/>
    </row>
    <row r="5" customFormat="false" ht="27.75" hidden="false" customHeight="true" outlineLevel="0" collapsed="false">
      <c r="A5" s="62" t="s">
        <v>2638</v>
      </c>
      <c r="B5" s="62"/>
      <c r="C5" s="62"/>
      <c r="D5" s="62"/>
      <c r="E5" s="62"/>
      <c r="F5" s="62"/>
    </row>
    <row r="6" customFormat="false" ht="27.75" hidden="false" customHeight="true" outlineLevel="0" collapsed="false">
      <c r="A6" s="62" t="s">
        <v>2639</v>
      </c>
      <c r="B6" s="62"/>
      <c r="C6" s="62"/>
      <c r="D6" s="62"/>
      <c r="E6" s="62"/>
      <c r="F6" s="62"/>
    </row>
    <row r="7" customFormat="false" ht="27.75" hidden="false" customHeight="true" outlineLevel="0" collapsed="false">
      <c r="A7" s="62" t="s">
        <v>2640</v>
      </c>
      <c r="B7" s="62"/>
      <c r="C7" s="62"/>
      <c r="D7" s="62"/>
      <c r="E7" s="62"/>
      <c r="F7" s="62"/>
    </row>
    <row r="8" customFormat="false" ht="27.75" hidden="false" customHeight="true" outlineLevel="0" collapsed="false">
      <c r="A8" s="62" t="s">
        <v>2641</v>
      </c>
      <c r="B8" s="62"/>
      <c r="C8" s="62"/>
      <c r="D8" s="62"/>
      <c r="E8" s="62"/>
      <c r="F8" s="62"/>
    </row>
    <row r="9" customFormat="false" ht="27.75" hidden="false" customHeight="true" outlineLevel="0" collapsed="false">
      <c r="A9" s="62" t="s">
        <v>2642</v>
      </c>
      <c r="B9" s="62"/>
      <c r="C9" s="62"/>
      <c r="D9" s="62"/>
      <c r="E9" s="62"/>
      <c r="F9" s="62"/>
    </row>
    <row r="10" customFormat="false" ht="27.75" hidden="false" customHeight="true" outlineLevel="0" collapsed="false">
      <c r="A10" s="62" t="s">
        <v>2643</v>
      </c>
      <c r="B10" s="62"/>
      <c r="C10" s="62"/>
      <c r="D10" s="62"/>
      <c r="E10" s="62"/>
      <c r="F10" s="62"/>
    </row>
    <row r="11" customFormat="false" ht="27.75" hidden="false" customHeight="true" outlineLevel="0" collapsed="false">
      <c r="A11" s="62" t="s">
        <v>2644</v>
      </c>
      <c r="B11" s="62"/>
      <c r="C11" s="62"/>
      <c r="D11" s="62"/>
      <c r="E11" s="62"/>
      <c r="F11" s="62"/>
    </row>
    <row r="13" customFormat="false" ht="15" hidden="false" customHeight="true" outlineLevel="0" collapsed="false">
      <c r="A13" s="63" t="s">
        <v>2645</v>
      </c>
    </row>
    <row r="14" customFormat="false" ht="699.75" hidden="false" customHeight="true" outlineLevel="0" collapsed="false">
      <c r="A14" s="64" t="s">
        <v>2646</v>
      </c>
      <c r="B14" s="64"/>
      <c r="C14" s="64"/>
      <c r="D14" s="64"/>
      <c r="E14" s="64"/>
      <c r="F14" s="64"/>
    </row>
    <row r="15" customFormat="false" ht="15" hidden="false" customHeight="true" outlineLevel="0" collapsed="false">
      <c r="A15" s="64"/>
      <c r="B15" s="64"/>
      <c r="C15" s="64"/>
      <c r="D15" s="64"/>
      <c r="E15" s="64"/>
      <c r="F15" s="64"/>
    </row>
    <row r="16" customFormat="false" ht="15" hidden="false" customHeight="true" outlineLevel="0" collapsed="false">
      <c r="A16" s="64"/>
      <c r="B16" s="64"/>
      <c r="C16" s="64"/>
      <c r="D16" s="64"/>
      <c r="E16" s="64"/>
      <c r="F16" s="64"/>
    </row>
  </sheetData>
  <mergeCells count="11">
    <mergeCell ref="A1:F1"/>
    <mergeCell ref="A2:F2"/>
    <mergeCell ref="A4:F4"/>
    <mergeCell ref="A5:F5"/>
    <mergeCell ref="A6:F6"/>
    <mergeCell ref="A7:F7"/>
    <mergeCell ref="A8:F8"/>
    <mergeCell ref="A9:F9"/>
    <mergeCell ref="A10:F10"/>
    <mergeCell ref="A11:F11"/>
    <mergeCell ref="A14:F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2026-08-16T09:14:10Z</dcterms:created>
  <dc:creator>openpyxl</dc:creator>
  <dc:description/>
  <dc:language>en-US</dc:language>
  <cp:lastModifiedBy/>
  <dcterms:modified xsi:type="dcterms:W3CDTF">2026-09-12T13:26:03Z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